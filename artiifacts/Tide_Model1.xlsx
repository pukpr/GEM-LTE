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ul\github\pukpr\GEM-LTE\"/>
    </mc:Choice>
  </mc:AlternateContent>
  <xr:revisionPtr revIDLastSave="0" documentId="8_{1AFC2828-69DA-4736-B11A-163BE941AAF2}" xr6:coauthVersionLast="47" xr6:coauthVersionMax="47" xr10:uidLastSave="{00000000-0000-0000-0000-000000000000}"/>
  <bookViews>
    <workbookView xWindow="1190" yWindow="5370" windowWidth="17970" windowHeight="12060" xr2:uid="{DAE159C9-8762-4103-AFAC-C544AADE87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R8" i="1" a="1"/>
  <c r="R8" i="1" s="1"/>
  <c r="O749" i="1" a="1"/>
  <c r="O749" i="1" s="1"/>
  <c r="O748" i="1"/>
  <c r="O748" i="1" a="1"/>
  <c r="O747" i="1" a="1"/>
  <c r="O747" i="1" s="1"/>
  <c r="O746" i="1" a="1"/>
  <c r="O746" i="1" s="1"/>
  <c r="O745" i="1" a="1"/>
  <c r="O745" i="1" s="1"/>
  <c r="O744" i="1" a="1"/>
  <c r="O744" i="1" s="1"/>
  <c r="O743" i="1" a="1"/>
  <c r="O743" i="1" s="1"/>
  <c r="O742" i="1" a="1"/>
  <c r="O742" i="1" s="1"/>
  <c r="O741" i="1" a="1"/>
  <c r="O741" i="1" s="1"/>
  <c r="O740" i="1" a="1"/>
  <c r="O740" i="1" s="1"/>
  <c r="O739" i="1" a="1"/>
  <c r="O739" i="1" s="1"/>
  <c r="O738" i="1"/>
  <c r="O738" i="1" a="1"/>
  <c r="O737" i="1" a="1"/>
  <c r="O737" i="1" s="1"/>
  <c r="O736" i="1" a="1"/>
  <c r="O736" i="1" s="1"/>
  <c r="O735" i="1" a="1"/>
  <c r="O735" i="1" s="1"/>
  <c r="O734" i="1" a="1"/>
  <c r="O734" i="1" s="1"/>
  <c r="O733" i="1"/>
  <c r="O733" i="1" a="1"/>
  <c r="O732" i="1"/>
  <c r="O732" i="1" a="1"/>
  <c r="O731" i="1" a="1"/>
  <c r="O731" i="1" s="1"/>
  <c r="O730" i="1" a="1"/>
  <c r="O730" i="1" s="1"/>
  <c r="O729" i="1" a="1"/>
  <c r="O729" i="1" s="1"/>
  <c r="O728" i="1"/>
  <c r="O728" i="1" a="1"/>
  <c r="O727" i="1" a="1"/>
  <c r="O727" i="1" s="1"/>
  <c r="O726" i="1" a="1"/>
  <c r="O726" i="1" s="1"/>
  <c r="O725" i="1"/>
  <c r="O725" i="1" a="1"/>
  <c r="O724" i="1"/>
  <c r="O724" i="1" a="1"/>
  <c r="O723" i="1" a="1"/>
  <c r="O723" i="1" s="1"/>
  <c r="O722" i="1"/>
  <c r="O722" i="1" a="1"/>
  <c r="O721" i="1" a="1"/>
  <c r="O721" i="1" s="1"/>
  <c r="O720" i="1" a="1"/>
  <c r="O720" i="1" s="1"/>
  <c r="O719" i="1" a="1"/>
  <c r="O719" i="1" s="1"/>
  <c r="O718" i="1"/>
  <c r="O718" i="1" a="1"/>
  <c r="O717" i="1" a="1"/>
  <c r="O717" i="1" s="1"/>
  <c r="O716" i="1" a="1"/>
  <c r="O716" i="1" s="1"/>
  <c r="O715" i="1" a="1"/>
  <c r="O715" i="1" s="1"/>
  <c r="O714" i="1"/>
  <c r="O714" i="1" a="1"/>
  <c r="O713" i="1" a="1"/>
  <c r="O713" i="1" s="1"/>
  <c r="O712" i="1"/>
  <c r="O712" i="1" a="1"/>
  <c r="O711" i="1" a="1"/>
  <c r="O711" i="1" s="1"/>
  <c r="O710" i="1" a="1"/>
  <c r="O710" i="1" s="1"/>
  <c r="O709" i="1"/>
  <c r="O709" i="1" a="1"/>
  <c r="O708" i="1"/>
  <c r="O708" i="1" a="1"/>
  <c r="O707" i="1" a="1"/>
  <c r="O707" i="1" s="1"/>
  <c r="O706" i="1" a="1"/>
  <c r="O706" i="1" s="1"/>
  <c r="O705" i="1"/>
  <c r="O705" i="1" a="1"/>
  <c r="O704" i="1" a="1"/>
  <c r="O704" i="1" s="1"/>
  <c r="O703" i="1" a="1"/>
  <c r="O703" i="1" s="1"/>
  <c r="O702" i="1" a="1"/>
  <c r="O702" i="1" s="1"/>
  <c r="O701" i="1" a="1"/>
  <c r="O701" i="1" s="1"/>
  <c r="O700" i="1"/>
  <c r="O700" i="1" a="1"/>
  <c r="O699" i="1" a="1"/>
  <c r="O699" i="1" s="1"/>
  <c r="O698" i="1" a="1"/>
  <c r="O698" i="1" s="1"/>
  <c r="O697" i="1" a="1"/>
  <c r="O697" i="1" s="1"/>
  <c r="O696" i="1" a="1"/>
  <c r="O696" i="1" s="1"/>
  <c r="O695" i="1" a="1"/>
  <c r="O695" i="1" s="1"/>
  <c r="O694" i="1" a="1"/>
  <c r="O694" i="1" s="1"/>
  <c r="O693" i="1"/>
  <c r="O693" i="1" a="1"/>
  <c r="O692" i="1"/>
  <c r="O692" i="1" a="1"/>
  <c r="O691" i="1" a="1"/>
  <c r="O691" i="1" s="1"/>
  <c r="O690" i="1" a="1"/>
  <c r="O690" i="1" s="1"/>
  <c r="O689" i="1" a="1"/>
  <c r="O689" i="1" s="1"/>
  <c r="O688" i="1" a="1"/>
  <c r="O688" i="1" s="1"/>
  <c r="O687" i="1" a="1"/>
  <c r="O687" i="1" s="1"/>
  <c r="O686" i="1" a="1"/>
  <c r="O686" i="1" s="1"/>
  <c r="O685" i="1" a="1"/>
  <c r="O685" i="1" s="1"/>
  <c r="O684" i="1"/>
  <c r="O684" i="1" a="1"/>
  <c r="O683" i="1" a="1"/>
  <c r="O683" i="1" s="1"/>
  <c r="O682" i="1" a="1"/>
  <c r="O682" i="1" s="1"/>
  <c r="O681" i="1" a="1"/>
  <c r="O681" i="1" s="1"/>
  <c r="O680" i="1" a="1"/>
  <c r="O680" i="1" s="1"/>
  <c r="O679" i="1" a="1"/>
  <c r="O679" i="1" s="1"/>
  <c r="O678" i="1" a="1"/>
  <c r="O678" i="1" s="1"/>
  <c r="O677" i="1" a="1"/>
  <c r="O677" i="1" s="1"/>
  <c r="O676" i="1"/>
  <c r="O676" i="1" a="1"/>
  <c r="O675" i="1" a="1"/>
  <c r="O675" i="1" s="1"/>
  <c r="O674" i="1" a="1"/>
  <c r="O674" i="1" s="1"/>
  <c r="O673" i="1" a="1"/>
  <c r="O673" i="1" s="1"/>
  <c r="O672" i="1" a="1"/>
  <c r="O672" i="1" s="1"/>
  <c r="O671" i="1" a="1"/>
  <c r="O671" i="1" s="1"/>
  <c r="O670" i="1" a="1"/>
  <c r="O670" i="1" s="1"/>
  <c r="O669" i="1" a="1"/>
  <c r="O669" i="1" s="1"/>
  <c r="O668" i="1"/>
  <c r="O668" i="1" a="1"/>
  <c r="O667" i="1" a="1"/>
  <c r="O667" i="1" s="1"/>
  <c r="O666" i="1" a="1"/>
  <c r="O666" i="1" s="1"/>
  <c r="O665" i="1" a="1"/>
  <c r="O665" i="1" s="1"/>
  <c r="O664" i="1" a="1"/>
  <c r="O664" i="1" s="1"/>
  <c r="O663" i="1" a="1"/>
  <c r="O663" i="1" s="1"/>
  <c r="O662" i="1" a="1"/>
  <c r="O662" i="1" s="1"/>
  <c r="O661" i="1" a="1"/>
  <c r="O661" i="1" s="1"/>
  <c r="O660" i="1" a="1"/>
  <c r="O660" i="1" s="1"/>
  <c r="O659" i="1" a="1"/>
  <c r="O659" i="1" s="1"/>
  <c r="O658" i="1" a="1"/>
  <c r="O658" i="1" s="1"/>
  <c r="O657" i="1" a="1"/>
  <c r="O657" i="1" s="1"/>
  <c r="O656" i="1" a="1"/>
  <c r="O656" i="1" s="1"/>
  <c r="O655" i="1" a="1"/>
  <c r="O655" i="1" s="1"/>
  <c r="O654" i="1" a="1"/>
  <c r="O654" i="1" s="1"/>
  <c r="O653" i="1" a="1"/>
  <c r="O653" i="1" s="1"/>
  <c r="O652" i="1"/>
  <c r="O652" i="1" a="1"/>
  <c r="O651" i="1" a="1"/>
  <c r="O651" i="1" s="1"/>
  <c r="O650" i="1" a="1"/>
  <c r="O650" i="1" s="1"/>
  <c r="O649" i="1" a="1"/>
  <c r="O649" i="1" s="1"/>
  <c r="O648" i="1" a="1"/>
  <c r="O648" i="1" s="1"/>
  <c r="O647" i="1" a="1"/>
  <c r="O647" i="1" s="1"/>
  <c r="O646" i="1" a="1"/>
  <c r="O646" i="1" s="1"/>
  <c r="O645" i="1" a="1"/>
  <c r="O645" i="1" s="1"/>
  <c r="O644" i="1" a="1"/>
  <c r="O644" i="1" s="1"/>
  <c r="O643" i="1" a="1"/>
  <c r="O643" i="1" s="1"/>
  <c r="O642" i="1" a="1"/>
  <c r="O642" i="1" s="1"/>
  <c r="O641" i="1" a="1"/>
  <c r="O641" i="1" s="1"/>
  <c r="O640" i="1" a="1"/>
  <c r="O640" i="1" s="1"/>
  <c r="O639" i="1" a="1"/>
  <c r="O639" i="1" s="1"/>
  <c r="O638" i="1" a="1"/>
  <c r="O638" i="1" s="1"/>
  <c r="O637" i="1" a="1"/>
  <c r="O637" i="1" s="1"/>
  <c r="O636" i="1" a="1"/>
  <c r="O636" i="1" s="1"/>
  <c r="O635" i="1" a="1"/>
  <c r="O635" i="1" s="1"/>
  <c r="O634" i="1" a="1"/>
  <c r="O634" i="1" s="1"/>
  <c r="O633" i="1"/>
  <c r="O633" i="1" a="1"/>
  <c r="O632" i="1" a="1"/>
  <c r="O632" i="1" s="1"/>
  <c r="O631" i="1" a="1"/>
  <c r="O631" i="1" s="1"/>
  <c r="O630" i="1" a="1"/>
  <c r="O630" i="1" s="1"/>
  <c r="O629" i="1" a="1"/>
  <c r="O629" i="1" s="1"/>
  <c r="O628" i="1"/>
  <c r="O628" i="1" a="1"/>
  <c r="O627" i="1" a="1"/>
  <c r="O627" i="1" s="1"/>
  <c r="O626" i="1" a="1"/>
  <c r="O626" i="1" s="1"/>
  <c r="O625" i="1" a="1"/>
  <c r="O625" i="1" s="1"/>
  <c r="O624" i="1" a="1"/>
  <c r="O624" i="1" s="1"/>
  <c r="O623" i="1" a="1"/>
  <c r="O623" i="1" s="1"/>
  <c r="O622" i="1" a="1"/>
  <c r="O622" i="1" s="1"/>
  <c r="O621" i="1"/>
  <c r="O621" i="1" a="1"/>
  <c r="O620" i="1"/>
  <c r="O620" i="1" a="1"/>
  <c r="O619" i="1" a="1"/>
  <c r="O619" i="1" s="1"/>
  <c r="O618" i="1" a="1"/>
  <c r="O618" i="1" s="1"/>
  <c r="O617" i="1"/>
  <c r="O617" i="1" a="1"/>
  <c r="O616" i="1" a="1"/>
  <c r="O616" i="1" s="1"/>
  <c r="O615" i="1" a="1"/>
  <c r="O615" i="1" s="1"/>
  <c r="O614" i="1" a="1"/>
  <c r="O614" i="1" s="1"/>
  <c r="O613" i="1" a="1"/>
  <c r="O613" i="1" s="1"/>
  <c r="O612" i="1"/>
  <c r="O612" i="1" a="1"/>
  <c r="O611" i="1" a="1"/>
  <c r="O611" i="1" s="1"/>
  <c r="O610" i="1" a="1"/>
  <c r="O610" i="1" s="1"/>
  <c r="O609" i="1" a="1"/>
  <c r="O609" i="1" s="1"/>
  <c r="O608" i="1" a="1"/>
  <c r="O608" i="1" s="1"/>
  <c r="O607" i="1" a="1"/>
  <c r="O607" i="1" s="1"/>
  <c r="O606" i="1" a="1"/>
  <c r="O606" i="1" s="1"/>
  <c r="O605" i="1"/>
  <c r="O605" i="1" a="1"/>
  <c r="O604" i="1" a="1"/>
  <c r="O604" i="1" s="1"/>
  <c r="O603" i="1" a="1"/>
  <c r="O603" i="1" s="1"/>
  <c r="O602" i="1" a="1"/>
  <c r="O602" i="1" s="1"/>
  <c r="O601" i="1" a="1"/>
  <c r="O601" i="1" s="1"/>
  <c r="O600" i="1" a="1"/>
  <c r="O600" i="1" s="1"/>
  <c r="O599" i="1" a="1"/>
  <c r="O599" i="1" s="1"/>
  <c r="O598" i="1" a="1"/>
  <c r="O598" i="1" s="1"/>
  <c r="O597" i="1" a="1"/>
  <c r="O597" i="1" s="1"/>
  <c r="O596" i="1" a="1"/>
  <c r="O596" i="1" s="1"/>
  <c r="O595" i="1" a="1"/>
  <c r="O595" i="1" s="1"/>
  <c r="O594" i="1" a="1"/>
  <c r="O594" i="1" s="1"/>
  <c r="O593" i="1"/>
  <c r="O593" i="1" a="1"/>
  <c r="O592" i="1" a="1"/>
  <c r="O592" i="1" s="1"/>
  <c r="O591" i="1" a="1"/>
  <c r="O591" i="1" s="1"/>
  <c r="O590" i="1" a="1"/>
  <c r="O590" i="1" s="1"/>
  <c r="O589" i="1" a="1"/>
  <c r="O589" i="1" s="1"/>
  <c r="O588" i="1" a="1"/>
  <c r="O588" i="1" s="1"/>
  <c r="O587" i="1" a="1"/>
  <c r="O587" i="1" s="1"/>
  <c r="O586" i="1" a="1"/>
  <c r="O586" i="1" s="1"/>
  <c r="O585" i="1"/>
  <c r="O585" i="1" a="1"/>
  <c r="O584" i="1" a="1"/>
  <c r="O584" i="1" s="1"/>
  <c r="O583" i="1" a="1"/>
  <c r="O583" i="1" s="1"/>
  <c r="O582" i="1" a="1"/>
  <c r="O582" i="1" s="1"/>
  <c r="O581" i="1"/>
  <c r="O581" i="1" a="1"/>
  <c r="O580" i="1" a="1"/>
  <c r="O580" i="1" s="1"/>
  <c r="O579" i="1" a="1"/>
  <c r="O579" i="1" s="1"/>
  <c r="O578" i="1" a="1"/>
  <c r="O578" i="1" s="1"/>
  <c r="O577" i="1"/>
  <c r="O577" i="1" a="1"/>
  <c r="O576" i="1" a="1"/>
  <c r="O576" i="1" s="1"/>
  <c r="O575" i="1" a="1"/>
  <c r="O575" i="1" s="1"/>
  <c r="O574" i="1" a="1"/>
  <c r="O574" i="1" s="1"/>
  <c r="O573" i="1" a="1"/>
  <c r="O573" i="1" s="1"/>
  <c r="O572" i="1" a="1"/>
  <c r="O572" i="1" s="1"/>
  <c r="O571" i="1" a="1"/>
  <c r="O571" i="1" s="1"/>
  <c r="O570" i="1" a="1"/>
  <c r="O570" i="1" s="1"/>
  <c r="O569" i="1" a="1"/>
  <c r="O569" i="1" s="1"/>
  <c r="O568" i="1" a="1"/>
  <c r="O568" i="1" s="1"/>
  <c r="O567" i="1" a="1"/>
  <c r="O567" i="1" s="1"/>
  <c r="O566" i="1" a="1"/>
  <c r="O566" i="1" s="1"/>
  <c r="O565" i="1"/>
  <c r="O565" i="1" a="1"/>
  <c r="O564" i="1" a="1"/>
  <c r="O564" i="1" s="1"/>
  <c r="O563" i="1" a="1"/>
  <c r="O563" i="1" s="1"/>
  <c r="O562" i="1" a="1"/>
  <c r="O562" i="1" s="1"/>
  <c r="O561" i="1" a="1"/>
  <c r="O561" i="1" s="1"/>
  <c r="O560" i="1" a="1"/>
  <c r="O560" i="1" s="1"/>
  <c r="O559" i="1" a="1"/>
  <c r="O559" i="1" s="1"/>
  <c r="O558" i="1" a="1"/>
  <c r="O558" i="1" s="1"/>
  <c r="O557" i="1" a="1"/>
  <c r="O557" i="1" s="1"/>
  <c r="O556" i="1" a="1"/>
  <c r="O556" i="1" s="1"/>
  <c r="O555" i="1" a="1"/>
  <c r="O555" i="1" s="1"/>
  <c r="O554" i="1" a="1"/>
  <c r="O554" i="1" s="1"/>
  <c r="O553" i="1" a="1"/>
  <c r="O553" i="1" s="1"/>
  <c r="O552" i="1" a="1"/>
  <c r="O552" i="1" s="1"/>
  <c r="O551" i="1" a="1"/>
  <c r="O551" i="1" s="1"/>
  <c r="O550" i="1" a="1"/>
  <c r="O550" i="1" s="1"/>
  <c r="O549" i="1" a="1"/>
  <c r="O549" i="1" s="1"/>
  <c r="O548" i="1" a="1"/>
  <c r="O548" i="1" s="1"/>
  <c r="O547" i="1" a="1"/>
  <c r="O547" i="1" s="1"/>
  <c r="O546" i="1" a="1"/>
  <c r="O546" i="1" s="1"/>
  <c r="O545" i="1" a="1"/>
  <c r="O545" i="1" s="1"/>
  <c r="O544" i="1" a="1"/>
  <c r="O544" i="1" s="1"/>
  <c r="O543" i="1" a="1"/>
  <c r="O543" i="1" s="1"/>
  <c r="O542" i="1" a="1"/>
  <c r="O542" i="1" s="1"/>
  <c r="O541" i="1" a="1"/>
  <c r="O541" i="1" s="1"/>
  <c r="O540" i="1"/>
  <c r="O540" i="1" a="1"/>
  <c r="O539" i="1" a="1"/>
  <c r="O539" i="1" s="1"/>
  <c r="O538" i="1" a="1"/>
  <c r="O538" i="1" s="1"/>
  <c r="O537" i="1" a="1"/>
  <c r="O537" i="1" s="1"/>
  <c r="O536" i="1" a="1"/>
  <c r="O536" i="1" s="1"/>
  <c r="O535" i="1" a="1"/>
  <c r="O535" i="1" s="1"/>
  <c r="O534" i="1" a="1"/>
  <c r="O534" i="1" s="1"/>
  <c r="O533" i="1" a="1"/>
  <c r="O533" i="1" s="1"/>
  <c r="O532" i="1" a="1"/>
  <c r="O532" i="1" s="1"/>
  <c r="O531" i="1" a="1"/>
  <c r="O531" i="1" s="1"/>
  <c r="O530" i="1" a="1"/>
  <c r="O530" i="1" s="1"/>
  <c r="O529" i="1" a="1"/>
  <c r="O529" i="1" s="1"/>
  <c r="O528" i="1" a="1"/>
  <c r="O528" i="1" s="1"/>
  <c r="O527" i="1" a="1"/>
  <c r="O527" i="1" s="1"/>
  <c r="O526" i="1" a="1"/>
  <c r="O526" i="1" s="1"/>
  <c r="O525" i="1" a="1"/>
  <c r="O525" i="1" s="1"/>
  <c r="O524" i="1"/>
  <c r="O524" i="1" a="1"/>
  <c r="O523" i="1" a="1"/>
  <c r="O523" i="1" s="1"/>
  <c r="O522" i="1" a="1"/>
  <c r="O522" i="1" s="1"/>
  <c r="O521" i="1" a="1"/>
  <c r="O521" i="1" s="1"/>
  <c r="O520" i="1" a="1"/>
  <c r="O520" i="1" s="1"/>
  <c r="O519" i="1" a="1"/>
  <c r="O519" i="1" s="1"/>
  <c r="O518" i="1" a="1"/>
  <c r="O518" i="1" s="1"/>
  <c r="O517" i="1" a="1"/>
  <c r="O517" i="1" s="1"/>
  <c r="O516" i="1" a="1"/>
  <c r="O516" i="1" s="1"/>
  <c r="O515" i="1" a="1"/>
  <c r="O515" i="1" s="1"/>
  <c r="O514" i="1" a="1"/>
  <c r="O514" i="1" s="1"/>
  <c r="O513" i="1" a="1"/>
  <c r="O513" i="1" s="1"/>
  <c r="O512" i="1" a="1"/>
  <c r="O512" i="1" s="1"/>
  <c r="O511" i="1" a="1"/>
  <c r="O511" i="1" s="1"/>
  <c r="O510" i="1" a="1"/>
  <c r="O510" i="1" s="1"/>
  <c r="O509" i="1" a="1"/>
  <c r="O509" i="1" s="1"/>
  <c r="O508" i="1" a="1"/>
  <c r="O508" i="1" s="1"/>
  <c r="O507" i="1" a="1"/>
  <c r="O507" i="1" s="1"/>
  <c r="O506" i="1" a="1"/>
  <c r="O506" i="1" s="1"/>
  <c r="O505" i="1"/>
  <c r="O505" i="1" a="1"/>
  <c r="O504" i="1" a="1"/>
  <c r="O504" i="1" s="1"/>
  <c r="O503" i="1" a="1"/>
  <c r="O503" i="1" s="1"/>
  <c r="O502" i="1" a="1"/>
  <c r="O502" i="1" s="1"/>
  <c r="O501" i="1" a="1"/>
  <c r="O501" i="1" s="1"/>
  <c r="O500" i="1"/>
  <c r="O500" i="1" a="1"/>
  <c r="O499" i="1" a="1"/>
  <c r="O499" i="1" s="1"/>
  <c r="O498" i="1" a="1"/>
  <c r="O498" i="1" s="1"/>
  <c r="O497" i="1" a="1"/>
  <c r="O497" i="1" s="1"/>
  <c r="O496" i="1" a="1"/>
  <c r="O496" i="1" s="1"/>
  <c r="O495" i="1" a="1"/>
  <c r="O495" i="1" s="1"/>
  <c r="O494" i="1" a="1"/>
  <c r="O494" i="1" s="1"/>
  <c r="O493" i="1"/>
  <c r="O493" i="1" a="1"/>
  <c r="O492" i="1"/>
  <c r="O492" i="1" a="1"/>
  <c r="O491" i="1" a="1"/>
  <c r="O491" i="1" s="1"/>
  <c r="O490" i="1" a="1"/>
  <c r="O490" i="1" s="1"/>
  <c r="O489" i="1"/>
  <c r="O489" i="1" a="1"/>
  <c r="O488" i="1" a="1"/>
  <c r="O488" i="1" s="1"/>
  <c r="O487" i="1" a="1"/>
  <c r="O487" i="1" s="1"/>
  <c r="O486" i="1" a="1"/>
  <c r="O486" i="1" s="1"/>
  <c r="O485" i="1" a="1"/>
  <c r="O485" i="1" s="1"/>
  <c r="O484" i="1"/>
  <c r="O484" i="1" a="1"/>
  <c r="O483" i="1" a="1"/>
  <c r="O483" i="1" s="1"/>
  <c r="O482" i="1" a="1"/>
  <c r="O482" i="1" s="1"/>
  <c r="O481" i="1" a="1"/>
  <c r="O481" i="1" s="1"/>
  <c r="O480" i="1" a="1"/>
  <c r="O480" i="1" s="1"/>
  <c r="O479" i="1" a="1"/>
  <c r="O479" i="1" s="1"/>
  <c r="O478" i="1" a="1"/>
  <c r="O478" i="1" s="1"/>
  <c r="O477" i="1"/>
  <c r="O477" i="1" a="1"/>
  <c r="O476" i="1" a="1"/>
  <c r="O476" i="1" s="1"/>
  <c r="O475" i="1" a="1"/>
  <c r="O475" i="1" s="1"/>
  <c r="O474" i="1" a="1"/>
  <c r="O474" i="1" s="1"/>
  <c r="O473" i="1" a="1"/>
  <c r="O473" i="1" s="1"/>
  <c r="O472" i="1" a="1"/>
  <c r="O472" i="1" s="1"/>
  <c r="O471" i="1" a="1"/>
  <c r="O471" i="1" s="1"/>
  <c r="O470" i="1" a="1"/>
  <c r="O470" i="1" s="1"/>
  <c r="O469" i="1" a="1"/>
  <c r="O469" i="1" s="1"/>
  <c r="O468" i="1" a="1"/>
  <c r="O468" i="1" s="1"/>
  <c r="O467" i="1" a="1"/>
  <c r="O467" i="1" s="1"/>
  <c r="O466" i="1" a="1"/>
  <c r="O466" i="1" s="1"/>
  <c r="O465" i="1"/>
  <c r="O465" i="1" a="1"/>
  <c r="O464" i="1" a="1"/>
  <c r="O464" i="1" s="1"/>
  <c r="O463" i="1" a="1"/>
  <c r="O463" i="1" s="1"/>
  <c r="O462" i="1" a="1"/>
  <c r="O462" i="1" s="1"/>
  <c r="O461" i="1" a="1"/>
  <c r="O461" i="1" s="1"/>
  <c r="O460" i="1" a="1"/>
  <c r="O460" i="1" s="1"/>
  <c r="O459" i="1" a="1"/>
  <c r="O459" i="1" s="1"/>
  <c r="O458" i="1" a="1"/>
  <c r="O458" i="1" s="1"/>
  <c r="O457" i="1"/>
  <c r="O457" i="1" a="1"/>
  <c r="O456" i="1" a="1"/>
  <c r="O456" i="1" s="1"/>
  <c r="O455" i="1" a="1"/>
  <c r="O455" i="1" s="1"/>
  <c r="O454" i="1" a="1"/>
  <c r="O454" i="1" s="1"/>
  <c r="O453" i="1"/>
  <c r="O453" i="1" a="1"/>
  <c r="O452" i="1" a="1"/>
  <c r="O452" i="1" s="1"/>
  <c r="O451" i="1" a="1"/>
  <c r="O451" i="1" s="1"/>
  <c r="O450" i="1" a="1"/>
  <c r="O450" i="1" s="1"/>
  <c r="O449" i="1"/>
  <c r="O449" i="1" a="1"/>
  <c r="O448" i="1" a="1"/>
  <c r="O448" i="1" s="1"/>
  <c r="O447" i="1" a="1"/>
  <c r="O447" i="1" s="1"/>
  <c r="O446" i="1" a="1"/>
  <c r="O446" i="1" s="1"/>
  <c r="O445" i="1" a="1"/>
  <c r="O445" i="1" s="1"/>
  <c r="O444" i="1" a="1"/>
  <c r="O444" i="1" s="1"/>
  <c r="O443" i="1" a="1"/>
  <c r="O443" i="1" s="1"/>
  <c r="O442" i="1" a="1"/>
  <c r="O442" i="1" s="1"/>
  <c r="O441" i="1" a="1"/>
  <c r="O441" i="1" s="1"/>
  <c r="O440" i="1" a="1"/>
  <c r="O440" i="1" s="1"/>
  <c r="O439" i="1" a="1"/>
  <c r="O439" i="1" s="1"/>
  <c r="O438" i="1" a="1"/>
  <c r="O438" i="1" s="1"/>
  <c r="O437" i="1"/>
  <c r="O437" i="1" a="1"/>
  <c r="O436" i="1" a="1"/>
  <c r="O436" i="1" s="1"/>
  <c r="O435" i="1" a="1"/>
  <c r="O435" i="1" s="1"/>
  <c r="O434" i="1" a="1"/>
  <c r="O434" i="1" s="1"/>
  <c r="O433" i="1" a="1"/>
  <c r="O433" i="1" s="1"/>
  <c r="O432" i="1" a="1"/>
  <c r="O432" i="1" s="1"/>
  <c r="O431" i="1" a="1"/>
  <c r="O431" i="1" s="1"/>
  <c r="O430" i="1" a="1"/>
  <c r="O430" i="1" s="1"/>
  <c r="O429" i="1" a="1"/>
  <c r="O429" i="1" s="1"/>
  <c r="O428" i="1" a="1"/>
  <c r="O428" i="1" s="1"/>
  <c r="O427" i="1" a="1"/>
  <c r="O427" i="1" s="1"/>
  <c r="O426" i="1" a="1"/>
  <c r="O426" i="1" s="1"/>
  <c r="O425" i="1" a="1"/>
  <c r="O425" i="1" s="1"/>
  <c r="O424" i="1" a="1"/>
  <c r="O424" i="1" s="1"/>
  <c r="O423" i="1" a="1"/>
  <c r="O423" i="1" s="1"/>
  <c r="O422" i="1" a="1"/>
  <c r="O422" i="1" s="1"/>
  <c r="O421" i="1" a="1"/>
  <c r="O421" i="1" s="1"/>
  <c r="O420" i="1" a="1"/>
  <c r="O420" i="1" s="1"/>
  <c r="O419" i="1" a="1"/>
  <c r="O419" i="1" s="1"/>
  <c r="O418" i="1" a="1"/>
  <c r="O418" i="1" s="1"/>
  <c r="O417" i="1" a="1"/>
  <c r="O417" i="1" s="1"/>
  <c r="O416" i="1" a="1"/>
  <c r="O416" i="1" s="1"/>
  <c r="O415" i="1" a="1"/>
  <c r="O415" i="1" s="1"/>
  <c r="O414" i="1" a="1"/>
  <c r="O414" i="1" s="1"/>
  <c r="O413" i="1" a="1"/>
  <c r="O413" i="1" s="1"/>
  <c r="O412" i="1"/>
  <c r="O412" i="1" a="1"/>
  <c r="O411" i="1" a="1"/>
  <c r="O411" i="1" s="1"/>
  <c r="O410" i="1" a="1"/>
  <c r="O410" i="1" s="1"/>
  <c r="O409" i="1" a="1"/>
  <c r="O409" i="1" s="1"/>
  <c r="O408" i="1" a="1"/>
  <c r="O408" i="1" s="1"/>
  <c r="O407" i="1" a="1"/>
  <c r="O407" i="1" s="1"/>
  <c r="O406" i="1" a="1"/>
  <c r="O406" i="1" s="1"/>
  <c r="O405" i="1" a="1"/>
  <c r="O405" i="1" s="1"/>
  <c r="O404" i="1" a="1"/>
  <c r="O404" i="1" s="1"/>
  <c r="O403" i="1" a="1"/>
  <c r="O403" i="1" s="1"/>
  <c r="O402" i="1" a="1"/>
  <c r="O402" i="1" s="1"/>
  <c r="O401" i="1" a="1"/>
  <c r="O401" i="1" s="1"/>
  <c r="O400" i="1" a="1"/>
  <c r="O400" i="1" s="1"/>
  <c r="O399" i="1" a="1"/>
  <c r="O399" i="1" s="1"/>
  <c r="O398" i="1" a="1"/>
  <c r="O398" i="1" s="1"/>
  <c r="O397" i="1" a="1"/>
  <c r="O397" i="1" s="1"/>
  <c r="O396" i="1"/>
  <c r="O396" i="1" a="1"/>
  <c r="O395" i="1" a="1"/>
  <c r="O395" i="1" s="1"/>
  <c r="O394" i="1" a="1"/>
  <c r="O394" i="1" s="1"/>
  <c r="O393" i="1" a="1"/>
  <c r="O393" i="1" s="1"/>
  <c r="O392" i="1" a="1"/>
  <c r="O392" i="1" s="1"/>
  <c r="O391" i="1" a="1"/>
  <c r="O391" i="1" s="1"/>
  <c r="O390" i="1" a="1"/>
  <c r="O390" i="1" s="1"/>
  <c r="O389" i="1" a="1"/>
  <c r="O389" i="1" s="1"/>
  <c r="O388" i="1" a="1"/>
  <c r="O388" i="1" s="1"/>
  <c r="O387" i="1" a="1"/>
  <c r="O387" i="1" s="1"/>
  <c r="O386" i="1" a="1"/>
  <c r="O386" i="1" s="1"/>
  <c r="O385" i="1" a="1"/>
  <c r="O385" i="1" s="1"/>
  <c r="O384" i="1" a="1"/>
  <c r="O384" i="1" s="1"/>
  <c r="O383" i="1" a="1"/>
  <c r="O383" i="1" s="1"/>
  <c r="O382" i="1" a="1"/>
  <c r="O382" i="1" s="1"/>
  <c r="O381" i="1" a="1"/>
  <c r="O381" i="1" s="1"/>
  <c r="O380" i="1" a="1"/>
  <c r="O380" i="1" s="1"/>
  <c r="O379" i="1" a="1"/>
  <c r="O379" i="1" s="1"/>
  <c r="O378" i="1" a="1"/>
  <c r="O378" i="1" s="1"/>
  <c r="O377" i="1" a="1"/>
  <c r="O377" i="1" s="1"/>
  <c r="O376" i="1" a="1"/>
  <c r="O376" i="1" s="1"/>
  <c r="O375" i="1" a="1"/>
  <c r="O375" i="1" s="1"/>
  <c r="O374" i="1" a="1"/>
  <c r="O374" i="1" s="1"/>
  <c r="O373" i="1"/>
  <c r="O373" i="1" a="1"/>
  <c r="O372" i="1" a="1"/>
  <c r="O372" i="1" s="1"/>
  <c r="O371" i="1" a="1"/>
  <c r="O371" i="1" s="1"/>
  <c r="O370" i="1" a="1"/>
  <c r="O370" i="1" s="1"/>
  <c r="O369" i="1"/>
  <c r="O369" i="1" a="1"/>
  <c r="O368" i="1" a="1"/>
  <c r="O368" i="1" s="1"/>
  <c r="O367" i="1" a="1"/>
  <c r="O367" i="1" s="1"/>
  <c r="O366" i="1" a="1"/>
  <c r="O366" i="1" s="1"/>
  <c r="O365" i="1"/>
  <c r="O365" i="1" a="1"/>
  <c r="O364" i="1" a="1"/>
  <c r="O364" i="1" s="1"/>
  <c r="O363" i="1" a="1"/>
  <c r="O363" i="1" s="1"/>
  <c r="O362" i="1"/>
  <c r="O362" i="1" a="1"/>
  <c r="O361" i="1" a="1"/>
  <c r="O361" i="1" s="1"/>
  <c r="O360" i="1" a="1"/>
  <c r="O360" i="1" s="1"/>
  <c r="O359" i="1" a="1"/>
  <c r="O359" i="1" s="1"/>
  <c r="O358" i="1" a="1"/>
  <c r="O358" i="1" s="1"/>
  <c r="O357" i="1" a="1"/>
  <c r="O357" i="1" s="1"/>
  <c r="O356" i="1"/>
  <c r="O356" i="1" a="1"/>
  <c r="O355" i="1" a="1"/>
  <c r="O355" i="1" s="1"/>
  <c r="O354" i="1" a="1"/>
  <c r="O354" i="1" s="1"/>
  <c r="O353" i="1" a="1"/>
  <c r="O353" i="1" s="1"/>
  <c r="O352" i="1" a="1"/>
  <c r="O352" i="1" s="1"/>
  <c r="O351" i="1" a="1"/>
  <c r="O351" i="1" s="1"/>
  <c r="O350" i="1" a="1"/>
  <c r="O350" i="1" s="1"/>
  <c r="O349" i="1" a="1"/>
  <c r="O349" i="1" s="1"/>
  <c r="O348" i="1" a="1"/>
  <c r="O348" i="1" s="1"/>
  <c r="O347" i="1" a="1"/>
  <c r="O347" i="1" s="1"/>
  <c r="O346" i="1" a="1"/>
  <c r="O346" i="1" s="1"/>
  <c r="O345" i="1" a="1"/>
  <c r="O345" i="1" s="1"/>
  <c r="O344" i="1" a="1"/>
  <c r="O344" i="1" s="1"/>
  <c r="O343" i="1" a="1"/>
  <c r="O343" i="1" s="1"/>
  <c r="O342" i="1" a="1"/>
  <c r="O342" i="1" s="1"/>
  <c r="O341" i="1"/>
  <c r="O341" i="1" a="1"/>
  <c r="O340" i="1" a="1"/>
  <c r="O340" i="1" s="1"/>
  <c r="O339" i="1" a="1"/>
  <c r="O339" i="1" s="1"/>
  <c r="O338" i="1" a="1"/>
  <c r="O338" i="1" s="1"/>
  <c r="O337" i="1"/>
  <c r="O337" i="1" a="1"/>
  <c r="O336" i="1" a="1"/>
  <c r="O336" i="1" s="1"/>
  <c r="O335" i="1"/>
  <c r="O335" i="1" a="1"/>
  <c r="O334" i="1"/>
  <c r="O334" i="1" a="1"/>
  <c r="O333" i="1" a="1"/>
  <c r="O333" i="1" s="1"/>
  <c r="O332" i="1"/>
  <c r="O332" i="1" a="1"/>
  <c r="O331" i="1" a="1"/>
  <c r="O331" i="1" s="1"/>
  <c r="O330" i="1" a="1"/>
  <c r="O330" i="1" s="1"/>
  <c r="O329" i="1" a="1"/>
  <c r="O329" i="1" s="1"/>
  <c r="O328" i="1" a="1"/>
  <c r="O328" i="1" s="1"/>
  <c r="O327" i="1"/>
  <c r="O327" i="1" a="1"/>
  <c r="O326" i="1" a="1"/>
  <c r="O326" i="1" s="1"/>
  <c r="O325" i="1" a="1"/>
  <c r="O325" i="1" s="1"/>
  <c r="O324" i="1"/>
  <c r="O324" i="1" a="1"/>
  <c r="O323" i="1" a="1"/>
  <c r="O323" i="1" s="1"/>
  <c r="O322" i="1" a="1"/>
  <c r="O322" i="1" s="1"/>
  <c r="O321" i="1" a="1"/>
  <c r="O321" i="1" s="1"/>
  <c r="O320" i="1" a="1"/>
  <c r="O320" i="1" s="1"/>
  <c r="O319" i="1"/>
  <c r="O319" i="1" a="1"/>
  <c r="O318" i="1" a="1"/>
  <c r="O318" i="1" s="1"/>
  <c r="O317" i="1" a="1"/>
  <c r="O317" i="1" s="1"/>
  <c r="O316" i="1"/>
  <c r="O316" i="1" a="1"/>
  <c r="O315" i="1" a="1"/>
  <c r="O315" i="1" s="1"/>
  <c r="O314" i="1" a="1"/>
  <c r="O314" i="1" s="1"/>
  <c r="O313" i="1" a="1"/>
  <c r="O313" i="1" s="1"/>
  <c r="O312" i="1" a="1"/>
  <c r="O312" i="1" s="1"/>
  <c r="O311" i="1"/>
  <c r="O311" i="1" a="1"/>
  <c r="O310" i="1" a="1"/>
  <c r="O310" i="1" s="1"/>
  <c r="O309" i="1" a="1"/>
  <c r="O309" i="1" s="1"/>
  <c r="O308" i="1"/>
  <c r="O308" i="1" a="1"/>
  <c r="O307" i="1" a="1"/>
  <c r="O307" i="1" s="1"/>
  <c r="O306" i="1" a="1"/>
  <c r="O306" i="1" s="1"/>
  <c r="O305" i="1" a="1"/>
  <c r="O305" i="1" s="1"/>
  <c r="O304" i="1" a="1"/>
  <c r="O304" i="1" s="1"/>
  <c r="O303" i="1"/>
  <c r="O303" i="1" a="1"/>
  <c r="O302" i="1" a="1"/>
  <c r="O302" i="1" s="1"/>
  <c r="O301" i="1" a="1"/>
  <c r="O301" i="1" s="1"/>
  <c r="O300" i="1"/>
  <c r="O300" i="1" a="1"/>
  <c r="O299" i="1" a="1"/>
  <c r="O299" i="1" s="1"/>
  <c r="O298" i="1" a="1"/>
  <c r="O298" i="1" s="1"/>
  <c r="O297" i="1" a="1"/>
  <c r="O297" i="1" s="1"/>
  <c r="O296" i="1" a="1"/>
  <c r="O296" i="1" s="1"/>
  <c r="O295" i="1"/>
  <c r="O295" i="1" a="1"/>
  <c r="O294" i="1" a="1"/>
  <c r="O294" i="1" s="1"/>
  <c r="O293" i="1" a="1"/>
  <c r="O293" i="1" s="1"/>
  <c r="O292" i="1"/>
  <c r="O292" i="1" a="1"/>
  <c r="O291" i="1" a="1"/>
  <c r="O291" i="1" s="1"/>
  <c r="O290" i="1" a="1"/>
  <c r="O290" i="1" s="1"/>
  <c r="O289" i="1" a="1"/>
  <c r="O289" i="1" s="1"/>
  <c r="O288" i="1" a="1"/>
  <c r="O288" i="1" s="1"/>
  <c r="O287" i="1"/>
  <c r="O287" i="1" a="1"/>
  <c r="O286" i="1" a="1"/>
  <c r="O286" i="1" s="1"/>
  <c r="O285" i="1" a="1"/>
  <c r="O285" i="1" s="1"/>
  <c r="O284" i="1"/>
  <c r="O284" i="1" a="1"/>
  <c r="O283" i="1" a="1"/>
  <c r="O283" i="1" s="1"/>
  <c r="O282" i="1" a="1"/>
  <c r="O282" i="1" s="1"/>
  <c r="O281" i="1" a="1"/>
  <c r="O281" i="1" s="1"/>
  <c r="O280" i="1" a="1"/>
  <c r="O280" i="1" s="1"/>
  <c r="O279" i="1"/>
  <c r="O279" i="1" a="1"/>
  <c r="O278" i="1" a="1"/>
  <c r="O278" i="1" s="1"/>
  <c r="O277" i="1" a="1"/>
  <c r="O277" i="1" s="1"/>
  <c r="O276" i="1"/>
  <c r="O276" i="1" a="1"/>
  <c r="O275" i="1" a="1"/>
  <c r="O275" i="1" s="1"/>
  <c r="O274" i="1" a="1"/>
  <c r="O274" i="1" s="1"/>
  <c r="O273" i="1" a="1"/>
  <c r="O273" i="1" s="1"/>
  <c r="O272" i="1" a="1"/>
  <c r="O272" i="1" s="1"/>
  <c r="O271" i="1"/>
  <c r="O271" i="1" a="1"/>
  <c r="O270" i="1" a="1"/>
  <c r="O270" i="1" s="1"/>
  <c r="O269" i="1" a="1"/>
  <c r="O269" i="1" s="1"/>
  <c r="O268" i="1"/>
  <c r="O268" i="1" a="1"/>
  <c r="O267" i="1" a="1"/>
  <c r="O267" i="1" s="1"/>
  <c r="O266" i="1" a="1"/>
  <c r="O266" i="1" s="1"/>
  <c r="O265" i="1" a="1"/>
  <c r="O265" i="1" s="1"/>
  <c r="O264" i="1" a="1"/>
  <c r="O264" i="1" s="1"/>
  <c r="O263" i="1"/>
  <c r="O263" i="1" a="1"/>
  <c r="O262" i="1" a="1"/>
  <c r="O262" i="1" s="1"/>
  <c r="O261" i="1" a="1"/>
  <c r="O261" i="1" s="1"/>
  <c r="O260" i="1"/>
  <c r="O260" i="1" a="1"/>
  <c r="O259" i="1" a="1"/>
  <c r="O259" i="1" s="1"/>
  <c r="O258" i="1" a="1"/>
  <c r="O258" i="1" s="1"/>
  <c r="O257" i="1" a="1"/>
  <c r="O257" i="1" s="1"/>
  <c r="O256" i="1" a="1"/>
  <c r="O256" i="1" s="1"/>
  <c r="O255" i="1"/>
  <c r="O255" i="1" a="1"/>
  <c r="O254" i="1" a="1"/>
  <c r="O254" i="1" s="1"/>
  <c r="O253" i="1" a="1"/>
  <c r="O253" i="1" s="1"/>
  <c r="O252" i="1"/>
  <c r="O252" i="1" a="1"/>
  <c r="O251" i="1" a="1"/>
  <c r="O251" i="1" s="1"/>
  <c r="O250" i="1" a="1"/>
  <c r="O250" i="1" s="1"/>
  <c r="O249" i="1" a="1"/>
  <c r="O249" i="1" s="1"/>
  <c r="O248" i="1" a="1"/>
  <c r="O248" i="1" s="1"/>
  <c r="O247" i="1" a="1"/>
  <c r="O247" i="1" s="1"/>
  <c r="O246" i="1" a="1"/>
  <c r="O246" i="1" s="1"/>
  <c r="O245" i="1" a="1"/>
  <c r="O245" i="1" s="1"/>
  <c r="O244" i="1"/>
  <c r="O244" i="1" a="1"/>
  <c r="O243" i="1" a="1"/>
  <c r="O243" i="1" s="1"/>
  <c r="O242" i="1" a="1"/>
  <c r="O242" i="1" s="1"/>
  <c r="O241" i="1" a="1"/>
  <c r="O241" i="1" s="1"/>
  <c r="O240" i="1" a="1"/>
  <c r="O240" i="1" s="1"/>
  <c r="O239" i="1" a="1"/>
  <c r="O239" i="1" s="1"/>
  <c r="O238" i="1" a="1"/>
  <c r="O238" i="1" s="1"/>
  <c r="O237" i="1" a="1"/>
  <c r="O237" i="1" s="1"/>
  <c r="O236" i="1"/>
  <c r="O236" i="1" a="1"/>
  <c r="O235" i="1" a="1"/>
  <c r="O235" i="1" s="1"/>
  <c r="O234" i="1" a="1"/>
  <c r="O234" i="1" s="1"/>
  <c r="O233" i="1" a="1"/>
  <c r="O233" i="1" s="1"/>
  <c r="O232" i="1" a="1"/>
  <c r="O232" i="1" s="1"/>
  <c r="O231" i="1" a="1"/>
  <c r="O231" i="1" s="1"/>
  <c r="O230" i="1" a="1"/>
  <c r="O230" i="1" s="1"/>
  <c r="O229" i="1" a="1"/>
  <c r="O229" i="1" s="1"/>
  <c r="O228" i="1"/>
  <c r="O228" i="1" a="1"/>
  <c r="O227" i="1" a="1"/>
  <c r="O227" i="1" s="1"/>
  <c r="O226" i="1" a="1"/>
  <c r="O226" i="1" s="1"/>
  <c r="O225" i="1" a="1"/>
  <c r="O225" i="1" s="1"/>
  <c r="O224" i="1" a="1"/>
  <c r="O224" i="1" s="1"/>
  <c r="O223" i="1" a="1"/>
  <c r="O223" i="1" s="1"/>
  <c r="O222" i="1" a="1"/>
  <c r="O222" i="1" s="1"/>
  <c r="O221" i="1" a="1"/>
  <c r="O221" i="1" s="1"/>
  <c r="O220" i="1"/>
  <c r="O220" i="1" a="1"/>
  <c r="O219" i="1" a="1"/>
  <c r="O219" i="1" s="1"/>
  <c r="O218" i="1" a="1"/>
  <c r="O218" i="1" s="1"/>
  <c r="O217" i="1" a="1"/>
  <c r="O217" i="1" s="1"/>
  <c r="O216" i="1" a="1"/>
  <c r="O216" i="1" s="1"/>
  <c r="O215" i="1" a="1"/>
  <c r="O215" i="1" s="1"/>
  <c r="O214" i="1" a="1"/>
  <c r="O214" i="1" s="1"/>
  <c r="O213" i="1" a="1"/>
  <c r="O213" i="1" s="1"/>
  <c r="O212" i="1"/>
  <c r="O212" i="1" a="1"/>
  <c r="O211" i="1" a="1"/>
  <c r="O211" i="1" s="1"/>
  <c r="O210" i="1" a="1"/>
  <c r="O210" i="1" s="1"/>
  <c r="O209" i="1" a="1"/>
  <c r="O209" i="1" s="1"/>
  <c r="O208" i="1" a="1"/>
  <c r="O208" i="1" s="1"/>
  <c r="O207" i="1" a="1"/>
  <c r="O207" i="1" s="1"/>
  <c r="O206" i="1" a="1"/>
  <c r="O206" i="1" s="1"/>
  <c r="O205" i="1" a="1"/>
  <c r="O205" i="1" s="1"/>
  <c r="O204" i="1"/>
  <c r="O204" i="1" a="1"/>
  <c r="O203" i="1" a="1"/>
  <c r="O203" i="1" s="1"/>
  <c r="O202" i="1" a="1"/>
  <c r="O202" i="1" s="1"/>
  <c r="O201" i="1" a="1"/>
  <c r="O201" i="1" s="1"/>
  <c r="O200" i="1" a="1"/>
  <c r="O200" i="1" s="1"/>
  <c r="O199" i="1" a="1"/>
  <c r="O199" i="1" s="1"/>
  <c r="O198" i="1" a="1"/>
  <c r="O198" i="1" s="1"/>
  <c r="O197" i="1" a="1"/>
  <c r="O197" i="1" s="1"/>
  <c r="O196" i="1"/>
  <c r="O196" i="1" a="1"/>
  <c r="O195" i="1" a="1"/>
  <c r="O195" i="1" s="1"/>
  <c r="O194" i="1" a="1"/>
  <c r="O194" i="1" s="1"/>
  <c r="O193" i="1" a="1"/>
  <c r="O193" i="1" s="1"/>
  <c r="O192" i="1" a="1"/>
  <c r="O192" i="1" s="1"/>
  <c r="O191" i="1" a="1"/>
  <c r="O191" i="1" s="1"/>
  <c r="O190" i="1" a="1"/>
  <c r="O190" i="1" s="1"/>
  <c r="O189" i="1" a="1"/>
  <c r="O189" i="1" s="1"/>
  <c r="O188" i="1"/>
  <c r="O188" i="1" a="1"/>
  <c r="O187" i="1" a="1"/>
  <c r="O187" i="1" s="1"/>
  <c r="O186" i="1" a="1"/>
  <c r="O186" i="1" s="1"/>
  <c r="O185" i="1" a="1"/>
  <c r="O185" i="1" s="1"/>
  <c r="O184" i="1" a="1"/>
  <c r="O184" i="1" s="1"/>
  <c r="O183" i="1" a="1"/>
  <c r="O183" i="1" s="1"/>
  <c r="O182" i="1" a="1"/>
  <c r="O182" i="1" s="1"/>
  <c r="O181" i="1" a="1"/>
  <c r="O181" i="1" s="1"/>
  <c r="O180" i="1"/>
  <c r="O180" i="1" a="1"/>
  <c r="O179" i="1" a="1"/>
  <c r="O179" i="1" s="1"/>
  <c r="O178" i="1" a="1"/>
  <c r="O178" i="1" s="1"/>
  <c r="O177" i="1" a="1"/>
  <c r="O177" i="1" s="1"/>
  <c r="O176" i="1" a="1"/>
  <c r="O176" i="1" s="1"/>
  <c r="O175" i="1" a="1"/>
  <c r="O175" i="1" s="1"/>
  <c r="O174" i="1" a="1"/>
  <c r="O174" i="1" s="1"/>
  <c r="O173" i="1" a="1"/>
  <c r="O173" i="1" s="1"/>
  <c r="O172" i="1"/>
  <c r="O172" i="1" a="1"/>
  <c r="O171" i="1" a="1"/>
  <c r="O171" i="1" s="1"/>
  <c r="O170" i="1" a="1"/>
  <c r="O170" i="1" s="1"/>
  <c r="O169" i="1" a="1"/>
  <c r="O169" i="1" s="1"/>
  <c r="O168" i="1" a="1"/>
  <c r="O168" i="1" s="1"/>
  <c r="O167" i="1" a="1"/>
  <c r="O167" i="1" s="1"/>
  <c r="O166" i="1" a="1"/>
  <c r="O166" i="1" s="1"/>
  <c r="O165" i="1" a="1"/>
  <c r="O165" i="1" s="1"/>
  <c r="O164" i="1"/>
  <c r="O164" i="1" a="1"/>
  <c r="O163" i="1" a="1"/>
  <c r="O163" i="1" s="1"/>
  <c r="O162" i="1" a="1"/>
  <c r="O162" i="1" s="1"/>
  <c r="O161" i="1" a="1"/>
  <c r="O161" i="1" s="1"/>
  <c r="O160" i="1" a="1"/>
  <c r="O160" i="1" s="1"/>
  <c r="O159" i="1" a="1"/>
  <c r="O159" i="1" s="1"/>
  <c r="O158" i="1" a="1"/>
  <c r="O158" i="1" s="1"/>
  <c r="O157" i="1" a="1"/>
  <c r="O157" i="1" s="1"/>
  <c r="O156" i="1"/>
  <c r="O156" i="1" a="1"/>
  <c r="O155" i="1" a="1"/>
  <c r="O155" i="1" s="1"/>
  <c r="O154" i="1" a="1"/>
  <c r="O154" i="1" s="1"/>
  <c r="O153" i="1" a="1"/>
  <c r="O153" i="1" s="1"/>
  <c r="O152" i="1" a="1"/>
  <c r="O152" i="1" s="1"/>
  <c r="O151" i="1" a="1"/>
  <c r="O151" i="1" s="1"/>
  <c r="O150" i="1" a="1"/>
  <c r="O150" i="1" s="1"/>
  <c r="O149" i="1" a="1"/>
  <c r="O149" i="1" s="1"/>
  <c r="O148" i="1"/>
  <c r="O148" i="1" a="1"/>
  <c r="O147" i="1" a="1"/>
  <c r="O147" i="1" s="1"/>
  <c r="O146" i="1" a="1"/>
  <c r="O146" i="1" s="1"/>
  <c r="O145" i="1" a="1"/>
  <c r="O145" i="1" s="1"/>
  <c r="O144" i="1" a="1"/>
  <c r="O144" i="1" s="1"/>
  <c r="O143" i="1" a="1"/>
  <c r="O143" i="1" s="1"/>
  <c r="O142" i="1" a="1"/>
  <c r="O142" i="1" s="1"/>
  <c r="O141" i="1" a="1"/>
  <c r="O141" i="1" s="1"/>
  <c r="O140" i="1"/>
  <c r="O140" i="1" a="1"/>
  <c r="O139" i="1" a="1"/>
  <c r="O139" i="1" s="1"/>
  <c r="O138" i="1" a="1"/>
  <c r="O138" i="1" s="1"/>
  <c r="O137" i="1" a="1"/>
  <c r="O137" i="1" s="1"/>
  <c r="O136" i="1" a="1"/>
  <c r="O136" i="1" s="1"/>
  <c r="O135" i="1" a="1"/>
  <c r="O135" i="1" s="1"/>
  <c r="O134" i="1" a="1"/>
  <c r="O134" i="1" s="1"/>
  <c r="O133" i="1" a="1"/>
  <c r="O133" i="1" s="1"/>
  <c r="O132" i="1"/>
  <c r="O132" i="1" a="1"/>
  <c r="O131" i="1" a="1"/>
  <c r="O131" i="1" s="1"/>
  <c r="O130" i="1" a="1"/>
  <c r="O130" i="1" s="1"/>
  <c r="O129" i="1" a="1"/>
  <c r="O129" i="1" s="1"/>
  <c r="O128" i="1" a="1"/>
  <c r="O128" i="1" s="1"/>
  <c r="O127" i="1" a="1"/>
  <c r="O127" i="1" s="1"/>
  <c r="O126" i="1" a="1"/>
  <c r="O126" i="1" s="1"/>
  <c r="O125" i="1" a="1"/>
  <c r="O125" i="1" s="1"/>
  <c r="O124" i="1"/>
  <c r="O124" i="1" a="1"/>
  <c r="O123" i="1" a="1"/>
  <c r="O123" i="1" s="1"/>
  <c r="O122" i="1" a="1"/>
  <c r="O122" i="1" s="1"/>
  <c r="O121" i="1" a="1"/>
  <c r="O121" i="1" s="1"/>
  <c r="O120" i="1" a="1"/>
  <c r="O120" i="1" s="1"/>
  <c r="O119" i="1" a="1"/>
  <c r="O119" i="1" s="1"/>
  <c r="O118" i="1" a="1"/>
  <c r="O118" i="1" s="1"/>
  <c r="O117" i="1" a="1"/>
  <c r="O117" i="1" s="1"/>
  <c r="O116" i="1"/>
  <c r="O116" i="1" a="1"/>
  <c r="O115" i="1" a="1"/>
  <c r="O115" i="1" s="1"/>
  <c r="O114" i="1" a="1"/>
  <c r="O114" i="1" s="1"/>
  <c r="O113" i="1" a="1"/>
  <c r="O113" i="1" s="1"/>
  <c r="O112" i="1" a="1"/>
  <c r="O112" i="1" s="1"/>
  <c r="O111" i="1" a="1"/>
  <c r="O111" i="1" s="1"/>
  <c r="O110" i="1" a="1"/>
  <c r="O110" i="1" s="1"/>
  <c r="O109" i="1" a="1"/>
  <c r="O109" i="1" s="1"/>
  <c r="O108" i="1"/>
  <c r="O108" i="1" a="1"/>
  <c r="O107" i="1" a="1"/>
  <c r="O107" i="1" s="1"/>
  <c r="O106" i="1" a="1"/>
  <c r="O106" i="1" s="1"/>
  <c r="O105" i="1" a="1"/>
  <c r="O105" i="1" s="1"/>
  <c r="O104" i="1" a="1"/>
  <c r="O104" i="1" s="1"/>
  <c r="O103" i="1" a="1"/>
  <c r="O103" i="1" s="1"/>
  <c r="O102" i="1" a="1"/>
  <c r="O102" i="1" s="1"/>
  <c r="O101" i="1" a="1"/>
  <c r="O101" i="1" s="1"/>
  <c r="O100" i="1"/>
  <c r="O100" i="1" a="1"/>
  <c r="O99" i="1" a="1"/>
  <c r="O99" i="1" s="1"/>
  <c r="O98" i="1" a="1"/>
  <c r="O98" i="1" s="1"/>
  <c r="O97" i="1" a="1"/>
  <c r="O97" i="1" s="1"/>
  <c r="O96" i="1" a="1"/>
  <c r="O96" i="1" s="1"/>
  <c r="O95" i="1" a="1"/>
  <c r="O95" i="1" s="1"/>
  <c r="O94" i="1" a="1"/>
  <c r="O94" i="1" s="1"/>
  <c r="O93" i="1" a="1"/>
  <c r="O93" i="1" s="1"/>
  <c r="O92" i="1"/>
  <c r="O92" i="1" a="1"/>
  <c r="O91" i="1" a="1"/>
  <c r="O91" i="1" s="1"/>
  <c r="O90" i="1" a="1"/>
  <c r="O90" i="1" s="1"/>
  <c r="O89" i="1" a="1"/>
  <c r="O89" i="1" s="1"/>
  <c r="O88" i="1" a="1"/>
  <c r="O88" i="1" s="1"/>
  <c r="O87" i="1" a="1"/>
  <c r="O87" i="1" s="1"/>
  <c r="O86" i="1" a="1"/>
  <c r="O86" i="1" s="1"/>
  <c r="O85" i="1" a="1"/>
  <c r="O85" i="1" s="1"/>
  <c r="O84" i="1"/>
  <c r="O84" i="1" a="1"/>
  <c r="O83" i="1" a="1"/>
  <c r="O83" i="1" s="1"/>
  <c r="O82" i="1" a="1"/>
  <c r="O82" i="1" s="1"/>
  <c r="O81" i="1" a="1"/>
  <c r="O81" i="1" s="1"/>
  <c r="O80" i="1" a="1"/>
  <c r="O80" i="1" s="1"/>
  <c r="O79" i="1" a="1"/>
  <c r="O79" i="1" s="1"/>
  <c r="O78" i="1" a="1"/>
  <c r="O78" i="1" s="1"/>
  <c r="O77" i="1" a="1"/>
  <c r="O77" i="1" s="1"/>
  <c r="O76" i="1"/>
  <c r="O76" i="1" a="1"/>
  <c r="O75" i="1" a="1"/>
  <c r="O75" i="1" s="1"/>
  <c r="O74" i="1" a="1"/>
  <c r="O74" i="1" s="1"/>
  <c r="O73" i="1" a="1"/>
  <c r="O73" i="1" s="1"/>
  <c r="O72" i="1" a="1"/>
  <c r="O72" i="1" s="1"/>
  <c r="O71" i="1" a="1"/>
  <c r="O71" i="1" s="1"/>
  <c r="O70" i="1" a="1"/>
  <c r="O70" i="1" s="1"/>
  <c r="O69" i="1" a="1"/>
  <c r="O69" i="1" s="1"/>
  <c r="O68" i="1"/>
  <c r="O68" i="1" a="1"/>
  <c r="O67" i="1" a="1"/>
  <c r="O67" i="1" s="1"/>
  <c r="O66" i="1" a="1"/>
  <c r="O66" i="1" s="1"/>
  <c r="O65" i="1" a="1"/>
  <c r="O65" i="1" s="1"/>
  <c r="O64" i="1" a="1"/>
  <c r="O64" i="1" s="1"/>
  <c r="O63" i="1" a="1"/>
  <c r="O63" i="1" s="1"/>
  <c r="O62" i="1" a="1"/>
  <c r="O62" i="1" s="1"/>
  <c r="O61" i="1" a="1"/>
  <c r="O61" i="1" s="1"/>
  <c r="O60" i="1"/>
  <c r="O60" i="1" a="1"/>
  <c r="O59" i="1" a="1"/>
  <c r="O59" i="1" s="1"/>
  <c r="O58" i="1" a="1"/>
  <c r="O58" i="1" s="1"/>
  <c r="O57" i="1" a="1"/>
  <c r="O57" i="1" s="1"/>
  <c r="O56" i="1" a="1"/>
  <c r="O56" i="1" s="1"/>
  <c r="O55" i="1" a="1"/>
  <c r="O55" i="1" s="1"/>
  <c r="O54" i="1" a="1"/>
  <c r="O54" i="1" s="1"/>
  <c r="O53" i="1" a="1"/>
  <c r="O53" i="1" s="1"/>
  <c r="O52" i="1"/>
  <c r="O52" i="1" a="1"/>
  <c r="O51" i="1" a="1"/>
  <c r="O51" i="1" s="1"/>
  <c r="O50" i="1" a="1"/>
  <c r="O50" i="1" s="1"/>
  <c r="O49" i="1" a="1"/>
  <c r="O49" i="1" s="1"/>
  <c r="O48" i="1" a="1"/>
  <c r="O48" i="1" s="1"/>
  <c r="O47" i="1" a="1"/>
  <c r="O47" i="1" s="1"/>
  <c r="O46" i="1" a="1"/>
  <c r="O46" i="1" s="1"/>
  <c r="O45" i="1" a="1"/>
  <c r="O45" i="1" s="1"/>
  <c r="O44" i="1"/>
  <c r="O44" i="1" a="1"/>
  <c r="O43" i="1" a="1"/>
  <c r="O43" i="1" s="1"/>
  <c r="O42" i="1" a="1"/>
  <c r="O42" i="1" s="1"/>
  <c r="O41" i="1" a="1"/>
  <c r="O41" i="1" s="1"/>
  <c r="O40" i="1" a="1"/>
  <c r="O40" i="1" s="1"/>
  <c r="O39" i="1" a="1"/>
  <c r="O39" i="1" s="1"/>
  <c r="O38" i="1" a="1"/>
  <c r="O38" i="1" s="1"/>
  <c r="O37" i="1" a="1"/>
  <c r="O37" i="1" s="1"/>
  <c r="O36" i="1"/>
  <c r="O36" i="1" a="1"/>
  <c r="O35" i="1" a="1"/>
  <c r="O35" i="1" s="1"/>
  <c r="O34" i="1" a="1"/>
  <c r="O34" i="1" s="1"/>
  <c r="O33" i="1" a="1"/>
  <c r="O33" i="1" s="1"/>
  <c r="O32" i="1" a="1"/>
  <c r="O32" i="1" s="1"/>
  <c r="O31" i="1" a="1"/>
  <c r="O31" i="1" s="1"/>
  <c r="O30" i="1" a="1"/>
  <c r="O30" i="1" s="1"/>
  <c r="O29" i="1" a="1"/>
  <c r="O29" i="1" s="1"/>
  <c r="O28" i="1"/>
  <c r="O28" i="1" a="1"/>
  <c r="O27" i="1" a="1"/>
  <c r="O27" i="1" s="1"/>
  <c r="O26" i="1" a="1"/>
  <c r="O26" i="1" s="1"/>
  <c r="O25" i="1" a="1"/>
  <c r="O25" i="1" s="1"/>
  <c r="O24" i="1" a="1"/>
  <c r="O24" i="1" s="1"/>
  <c r="O23" i="1" a="1"/>
  <c r="O23" i="1" s="1"/>
  <c r="O22" i="1" a="1"/>
  <c r="O22" i="1" s="1"/>
  <c r="O21" i="1" a="1"/>
  <c r="O21" i="1" s="1"/>
  <c r="O20" i="1"/>
  <c r="O20" i="1" a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/>
  <c r="O12" i="1" a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/>
  <c r="O4" i="1" a="1"/>
  <c r="O3" i="1" a="1"/>
  <c r="O3" i="1" s="1"/>
  <c r="O2" i="1" a="1"/>
  <c r="O2" i="1" s="1"/>
  <c r="E13" i="1"/>
  <c r="E9" i="1"/>
  <c r="E8" i="1"/>
  <c r="E15" i="1" s="1"/>
  <c r="E7" i="1"/>
  <c r="E16" i="1" s="1"/>
  <c r="E6" i="1"/>
  <c r="E5" i="1"/>
  <c r="M3" i="1"/>
  <c r="M4" i="1" s="1"/>
  <c r="L3" i="1"/>
  <c r="L4" i="1" s="1"/>
  <c r="N4" i="1" s="1"/>
  <c r="H2" i="1"/>
  <c r="N3" i="1" l="1"/>
  <c r="E17" i="1"/>
  <c r="H17" i="1" s="1"/>
  <c r="N2" i="1"/>
  <c r="H9" i="1"/>
  <c r="E10" i="1"/>
  <c r="H4" i="1"/>
  <c r="E11" i="1"/>
  <c r="E12" i="1"/>
  <c r="H12" i="1" s="1"/>
  <c r="H13" i="1"/>
  <c r="E14" i="1"/>
  <c r="H14" i="1" s="1"/>
  <c r="H18" i="1"/>
  <c r="H5" i="1"/>
  <c r="M5" i="1"/>
  <c r="H8" i="1"/>
  <c r="H16" i="1"/>
  <c r="H3" i="1"/>
  <c r="H7" i="1"/>
  <c r="H15" i="1"/>
  <c r="H6" i="1"/>
  <c r="L5" i="1"/>
  <c r="N5" i="1" s="1"/>
  <c r="P4" i="1" l="1"/>
  <c r="P2" i="1"/>
  <c r="Q2" i="1" s="1"/>
  <c r="H10" i="1"/>
  <c r="P3" i="1"/>
  <c r="H11" i="1"/>
  <c r="L6" i="1"/>
  <c r="N6" i="1" s="1"/>
  <c r="M6" i="1"/>
  <c r="R2" i="1" l="1" a="1"/>
  <c r="R2" i="1" s="1"/>
  <c r="Q3" i="1"/>
  <c r="M7" i="1"/>
  <c r="L7" i="1"/>
  <c r="N7" i="1" s="1"/>
  <c r="P5" i="1"/>
  <c r="R3" i="1" l="1" a="1"/>
  <c r="R3" i="1" s="1"/>
  <c r="Q4" i="1"/>
  <c r="L8" i="1"/>
  <c r="N8" i="1" s="1"/>
  <c r="P6" i="1"/>
  <c r="M8" i="1"/>
  <c r="R4" i="1" l="1" a="1"/>
  <c r="R4" i="1" s="1"/>
  <c r="Q5" i="1"/>
  <c r="M9" i="1"/>
  <c r="L9" i="1"/>
  <c r="N9" i="1" s="1"/>
  <c r="P7" i="1"/>
  <c r="R5" i="1" l="1" a="1"/>
  <c r="R5" i="1" s="1"/>
  <c r="Q6" i="1"/>
  <c r="P8" i="1"/>
  <c r="L10" i="1"/>
  <c r="N10" i="1" s="1"/>
  <c r="M10" i="1"/>
  <c r="R6" i="1" l="1" a="1"/>
  <c r="R6" i="1" s="1"/>
  <c r="Q7" i="1"/>
  <c r="M11" i="1"/>
  <c r="L11" i="1"/>
  <c r="N11" i="1" s="1"/>
  <c r="P9" i="1"/>
  <c r="R7" i="1" l="1" a="1"/>
  <c r="R7" i="1" s="1"/>
  <c r="Q8" i="1"/>
  <c r="L12" i="1"/>
  <c r="N12" i="1" s="1"/>
  <c r="P10" i="1"/>
  <c r="M12" i="1"/>
  <c r="Q9" i="1" l="1"/>
  <c r="L13" i="1"/>
  <c r="N13" i="1" s="1"/>
  <c r="M13" i="1"/>
  <c r="P11" i="1"/>
  <c r="R9" i="1" l="1" a="1"/>
  <c r="R9" i="1" s="1"/>
  <c r="Q10" i="1"/>
  <c r="M14" i="1"/>
  <c r="P12" i="1"/>
  <c r="L14" i="1"/>
  <c r="N14" i="1" s="1"/>
  <c r="R10" i="1" l="1" a="1"/>
  <c r="R10" i="1" s="1"/>
  <c r="Q11" i="1"/>
  <c r="L15" i="1"/>
  <c r="N15" i="1" s="1"/>
  <c r="M15" i="1"/>
  <c r="P13" i="1"/>
  <c r="R11" i="1" l="1" a="1"/>
  <c r="R11" i="1" s="1"/>
  <c r="Q12" i="1"/>
  <c r="L16" i="1"/>
  <c r="N16" i="1" s="1"/>
  <c r="M16" i="1"/>
  <c r="P14" i="1"/>
  <c r="R12" i="1" l="1" a="1"/>
  <c r="R12" i="1" s="1"/>
  <c r="Q13" i="1"/>
  <c r="M17" i="1"/>
  <c r="L17" i="1"/>
  <c r="N17" i="1" s="1"/>
  <c r="P15" i="1"/>
  <c r="R13" i="1" l="1" a="1"/>
  <c r="R13" i="1" s="1"/>
  <c r="Q14" i="1"/>
  <c r="P16" i="1"/>
  <c r="L18" i="1"/>
  <c r="N18" i="1" s="1"/>
  <c r="M18" i="1"/>
  <c r="R14" i="1" l="1" a="1"/>
  <c r="R14" i="1" s="1"/>
  <c r="Q15" i="1"/>
  <c r="L19" i="1"/>
  <c r="N19" i="1" s="1"/>
  <c r="M19" i="1"/>
  <c r="P17" i="1"/>
  <c r="R15" i="1" l="1" a="1"/>
  <c r="R15" i="1" s="1"/>
  <c r="Q16" i="1"/>
  <c r="M20" i="1"/>
  <c r="L20" i="1"/>
  <c r="N20" i="1" s="1"/>
  <c r="P18" i="1"/>
  <c r="R16" i="1" l="1" a="1"/>
  <c r="R16" i="1" s="1"/>
  <c r="Q17" i="1"/>
  <c r="P19" i="1"/>
  <c r="L21" i="1"/>
  <c r="N21" i="1" s="1"/>
  <c r="M21" i="1"/>
  <c r="R17" i="1" l="1" a="1"/>
  <c r="R17" i="1" s="1"/>
  <c r="Q18" i="1"/>
  <c r="M22" i="1"/>
  <c r="L22" i="1"/>
  <c r="N22" i="1" s="1"/>
  <c r="P20" i="1"/>
  <c r="R18" i="1" l="1" a="1"/>
  <c r="R18" i="1" s="1"/>
  <c r="Q19" i="1"/>
  <c r="L23" i="1"/>
  <c r="N23" i="1" s="1"/>
  <c r="P21" i="1"/>
  <c r="M23" i="1"/>
  <c r="R19" i="1" l="1" a="1"/>
  <c r="R19" i="1" s="1"/>
  <c r="Q20" i="1"/>
  <c r="M24" i="1"/>
  <c r="P22" i="1"/>
  <c r="L24" i="1"/>
  <c r="N24" i="1" s="1"/>
  <c r="R20" i="1" l="1" a="1"/>
  <c r="R20" i="1" s="1"/>
  <c r="Q21" i="1"/>
  <c r="P23" i="1"/>
  <c r="L25" i="1"/>
  <c r="N25" i="1" s="1"/>
  <c r="M25" i="1"/>
  <c r="R21" i="1" l="1" a="1"/>
  <c r="R21" i="1" s="1"/>
  <c r="Q22" i="1"/>
  <c r="M26" i="1"/>
  <c r="P24" i="1"/>
  <c r="L26" i="1"/>
  <c r="N26" i="1" s="1"/>
  <c r="R22" i="1" l="1" a="1"/>
  <c r="R22" i="1" s="1"/>
  <c r="Q23" i="1"/>
  <c r="P25" i="1"/>
  <c r="L27" i="1"/>
  <c r="N27" i="1" s="1"/>
  <c r="M27" i="1"/>
  <c r="R23" i="1" l="1" a="1"/>
  <c r="R23" i="1" s="1"/>
  <c r="Q24" i="1"/>
  <c r="M28" i="1"/>
  <c r="L28" i="1"/>
  <c r="N28" i="1" s="1"/>
  <c r="P26" i="1"/>
  <c r="R24" i="1" l="1" a="1"/>
  <c r="R24" i="1" s="1"/>
  <c r="Q25" i="1"/>
  <c r="P27" i="1"/>
  <c r="L29" i="1"/>
  <c r="N29" i="1" s="1"/>
  <c r="M29" i="1"/>
  <c r="R25" i="1" l="1" a="1"/>
  <c r="R25" i="1" s="1"/>
  <c r="Q26" i="1"/>
  <c r="M30" i="1"/>
  <c r="L30" i="1"/>
  <c r="N30" i="1" s="1"/>
  <c r="P28" i="1"/>
  <c r="R26" i="1" l="1" a="1"/>
  <c r="R26" i="1" s="1"/>
  <c r="Q27" i="1"/>
  <c r="L31" i="1"/>
  <c r="N31" i="1" s="1"/>
  <c r="P29" i="1"/>
  <c r="M31" i="1"/>
  <c r="R27" i="1" l="1" a="1"/>
  <c r="R27" i="1" s="1"/>
  <c r="Q28" i="1"/>
  <c r="M32" i="1"/>
  <c r="P30" i="1"/>
  <c r="L32" i="1"/>
  <c r="N32" i="1" s="1"/>
  <c r="R28" i="1" l="1" a="1"/>
  <c r="R28" i="1" s="1"/>
  <c r="Q29" i="1"/>
  <c r="L33" i="1"/>
  <c r="N33" i="1" s="1"/>
  <c r="M33" i="1"/>
  <c r="P31" i="1"/>
  <c r="R29" i="1" l="1" a="1"/>
  <c r="R29" i="1" s="1"/>
  <c r="Q30" i="1"/>
  <c r="M34" i="1"/>
  <c r="P32" i="1"/>
  <c r="L34" i="1"/>
  <c r="N34" i="1" s="1"/>
  <c r="R30" i="1" l="1" a="1"/>
  <c r="R30" i="1" s="1"/>
  <c r="Q31" i="1"/>
  <c r="P33" i="1"/>
  <c r="L35" i="1"/>
  <c r="N35" i="1" s="1"/>
  <c r="M35" i="1"/>
  <c r="R31" i="1" l="1" a="1"/>
  <c r="R31" i="1" s="1"/>
  <c r="Q32" i="1"/>
  <c r="M36" i="1"/>
  <c r="L36" i="1"/>
  <c r="N36" i="1" s="1"/>
  <c r="P34" i="1"/>
  <c r="R32" i="1" l="1" a="1"/>
  <c r="R32" i="1" s="1"/>
  <c r="Q33" i="1"/>
  <c r="P35" i="1"/>
  <c r="L37" i="1"/>
  <c r="N37" i="1" s="1"/>
  <c r="M37" i="1"/>
  <c r="R33" i="1" l="1" a="1"/>
  <c r="R33" i="1" s="1"/>
  <c r="Q34" i="1"/>
  <c r="M38" i="1"/>
  <c r="P36" i="1"/>
  <c r="L38" i="1"/>
  <c r="N38" i="1" s="1"/>
  <c r="R34" i="1" l="1" a="1"/>
  <c r="R34" i="1" s="1"/>
  <c r="Q35" i="1"/>
  <c r="P37" i="1"/>
  <c r="L39" i="1"/>
  <c r="N39" i="1" s="1"/>
  <c r="M39" i="1"/>
  <c r="R35" i="1" l="1" a="1"/>
  <c r="R35" i="1" s="1"/>
  <c r="Q36" i="1"/>
  <c r="M40" i="1"/>
  <c r="L40" i="1"/>
  <c r="N40" i="1" s="1"/>
  <c r="P38" i="1"/>
  <c r="R36" i="1" l="1" a="1"/>
  <c r="R36" i="1" s="1"/>
  <c r="Q37" i="1"/>
  <c r="P39" i="1"/>
  <c r="L41" i="1"/>
  <c r="N41" i="1" s="1"/>
  <c r="M41" i="1"/>
  <c r="R37" i="1" l="1" a="1"/>
  <c r="R37" i="1" s="1"/>
  <c r="Q38" i="1"/>
  <c r="M42" i="1"/>
  <c r="P40" i="1"/>
  <c r="L42" i="1"/>
  <c r="N42" i="1" s="1"/>
  <c r="R38" i="1" l="1" a="1"/>
  <c r="R38" i="1" s="1"/>
  <c r="Q39" i="1"/>
  <c r="P41" i="1"/>
  <c r="L43" i="1"/>
  <c r="N43" i="1" s="1"/>
  <c r="M43" i="1"/>
  <c r="R39" i="1" l="1" a="1"/>
  <c r="R39" i="1" s="1"/>
  <c r="Q40" i="1"/>
  <c r="M44" i="1"/>
  <c r="L44" i="1"/>
  <c r="N44" i="1" s="1"/>
  <c r="P42" i="1"/>
  <c r="R40" i="1" l="1" a="1"/>
  <c r="R40" i="1" s="1"/>
  <c r="Q41" i="1"/>
  <c r="P43" i="1"/>
  <c r="L45" i="1"/>
  <c r="N45" i="1" s="1"/>
  <c r="M45" i="1"/>
  <c r="R41" i="1" l="1" a="1"/>
  <c r="R41" i="1" s="1"/>
  <c r="Q42" i="1"/>
  <c r="L46" i="1"/>
  <c r="N46" i="1" s="1"/>
  <c r="M46" i="1"/>
  <c r="P44" i="1"/>
  <c r="R42" i="1" l="1" a="1"/>
  <c r="R42" i="1" s="1"/>
  <c r="Q43" i="1"/>
  <c r="M47" i="1"/>
  <c r="L47" i="1"/>
  <c r="N47" i="1" s="1"/>
  <c r="P45" i="1"/>
  <c r="R43" i="1" l="1" a="1"/>
  <c r="R43" i="1" s="1"/>
  <c r="Q44" i="1"/>
  <c r="P46" i="1"/>
  <c r="L48" i="1"/>
  <c r="N48" i="1" s="1"/>
  <c r="M48" i="1"/>
  <c r="R44" i="1" l="1" a="1"/>
  <c r="R44" i="1" s="1"/>
  <c r="Q45" i="1"/>
  <c r="L49" i="1"/>
  <c r="N49" i="1" s="1"/>
  <c r="M49" i="1"/>
  <c r="P47" i="1"/>
  <c r="R45" i="1" l="1" a="1"/>
  <c r="R45" i="1" s="1"/>
  <c r="Q46" i="1"/>
  <c r="Q47" i="1"/>
  <c r="M50" i="1"/>
  <c r="P48" i="1"/>
  <c r="Q48" i="1" s="1"/>
  <c r="L50" i="1"/>
  <c r="N50" i="1" s="1"/>
  <c r="R48" i="1" l="1" a="1"/>
  <c r="R48" i="1" s="1"/>
  <c r="R47" i="1" a="1"/>
  <c r="R47" i="1" s="1"/>
  <c r="R46" i="1" a="1"/>
  <c r="R46" i="1" s="1"/>
  <c r="P49" i="1"/>
  <c r="Q49" i="1" s="1"/>
  <c r="L51" i="1"/>
  <c r="N51" i="1" s="1"/>
  <c r="M51" i="1"/>
  <c r="R49" i="1" l="1" a="1"/>
  <c r="R49" i="1" s="1"/>
  <c r="M52" i="1"/>
  <c r="L52" i="1"/>
  <c r="N52" i="1" s="1"/>
  <c r="P50" i="1"/>
  <c r="Q50" i="1" s="1"/>
  <c r="R50" i="1" l="1" a="1"/>
  <c r="R50" i="1" s="1"/>
  <c r="P51" i="1"/>
  <c r="Q51" i="1" s="1"/>
  <c r="L53" i="1"/>
  <c r="N53" i="1" s="1"/>
  <c r="M53" i="1"/>
  <c r="R51" i="1" l="1" a="1"/>
  <c r="R51" i="1" s="1"/>
  <c r="M54" i="1"/>
  <c r="L54" i="1"/>
  <c r="N54" i="1" s="1"/>
  <c r="P52" i="1"/>
  <c r="Q52" i="1" s="1"/>
  <c r="R52" i="1" l="1" a="1"/>
  <c r="R52" i="1" s="1"/>
  <c r="L55" i="1"/>
  <c r="N55" i="1" s="1"/>
  <c r="P53" i="1"/>
  <c r="Q53" i="1" s="1"/>
  <c r="M55" i="1"/>
  <c r="R53" i="1" l="1" a="1"/>
  <c r="R53" i="1" s="1"/>
  <c r="M56" i="1"/>
  <c r="P54" i="1"/>
  <c r="Q54" i="1" s="1"/>
  <c r="L56" i="1"/>
  <c r="N56" i="1" s="1"/>
  <c r="R54" i="1" l="1" a="1"/>
  <c r="R54" i="1" s="1"/>
  <c r="L57" i="1"/>
  <c r="N57" i="1" s="1"/>
  <c r="P55" i="1"/>
  <c r="Q55" i="1" s="1"/>
  <c r="M57" i="1"/>
  <c r="R55" i="1" l="1" a="1"/>
  <c r="R55" i="1" s="1"/>
  <c r="M58" i="1"/>
  <c r="P56" i="1"/>
  <c r="Q56" i="1" s="1"/>
  <c r="L58" i="1"/>
  <c r="N58" i="1" s="1"/>
  <c r="R56" i="1" l="1" a="1"/>
  <c r="R56" i="1" s="1"/>
  <c r="P57" i="1"/>
  <c r="Q57" i="1" s="1"/>
  <c r="L59" i="1"/>
  <c r="N59" i="1" s="1"/>
  <c r="M59" i="1"/>
  <c r="R57" i="1" l="1" a="1"/>
  <c r="R57" i="1" s="1"/>
  <c r="M60" i="1"/>
  <c r="L60" i="1"/>
  <c r="N60" i="1" s="1"/>
  <c r="P58" i="1"/>
  <c r="Q58" i="1" s="1"/>
  <c r="R58" i="1" l="1" a="1"/>
  <c r="R58" i="1" s="1"/>
  <c r="P59" i="1"/>
  <c r="Q59" i="1" s="1"/>
  <c r="L61" i="1"/>
  <c r="N61" i="1" s="1"/>
  <c r="M61" i="1"/>
  <c r="R59" i="1" l="1" a="1"/>
  <c r="R59" i="1" s="1"/>
  <c r="M62" i="1"/>
  <c r="L62" i="1"/>
  <c r="N62" i="1" s="1"/>
  <c r="P60" i="1"/>
  <c r="Q60" i="1" s="1"/>
  <c r="R60" i="1" l="1" a="1"/>
  <c r="R60" i="1" s="1"/>
  <c r="P61" i="1"/>
  <c r="Q61" i="1"/>
  <c r="L63" i="1"/>
  <c r="N63" i="1" s="1"/>
  <c r="M63" i="1"/>
  <c r="R61" i="1" l="1" a="1"/>
  <c r="R61" i="1" s="1"/>
  <c r="M64" i="1"/>
  <c r="P62" i="1"/>
  <c r="L64" i="1"/>
  <c r="N64" i="1" s="1"/>
  <c r="Q62" i="1"/>
  <c r="R62" i="1" l="1" a="1"/>
  <c r="R62" i="1" s="1"/>
  <c r="L65" i="1"/>
  <c r="N65" i="1" s="1"/>
  <c r="P63" i="1"/>
  <c r="Q63" i="1" s="1"/>
  <c r="M65" i="1"/>
  <c r="R63" i="1" l="1" a="1"/>
  <c r="R63" i="1" s="1"/>
  <c r="M66" i="1"/>
  <c r="P64" i="1"/>
  <c r="Q64" i="1" s="1"/>
  <c r="L66" i="1"/>
  <c r="N66" i="1" s="1"/>
  <c r="R64" i="1" l="1" a="1"/>
  <c r="R64" i="1" s="1"/>
  <c r="P65" i="1"/>
  <c r="Q65" i="1" s="1"/>
  <c r="L67" i="1"/>
  <c r="N67" i="1" s="1"/>
  <c r="M67" i="1"/>
  <c r="R65" i="1" l="1" a="1"/>
  <c r="R65" i="1" s="1"/>
  <c r="M68" i="1"/>
  <c r="L68" i="1"/>
  <c r="N68" i="1" s="1"/>
  <c r="P66" i="1"/>
  <c r="Q66" i="1" s="1"/>
  <c r="R66" i="1" l="1" a="1"/>
  <c r="R66" i="1" s="1"/>
  <c r="P67" i="1"/>
  <c r="Q67" i="1" s="1"/>
  <c r="L69" i="1"/>
  <c r="N69" i="1" s="1"/>
  <c r="M69" i="1"/>
  <c r="R67" i="1" l="1" a="1"/>
  <c r="R67" i="1" s="1"/>
  <c r="L70" i="1"/>
  <c r="N70" i="1" s="1"/>
  <c r="M70" i="1"/>
  <c r="P68" i="1"/>
  <c r="Q68" i="1" s="1"/>
  <c r="R68" i="1" l="1" a="1"/>
  <c r="R68" i="1" s="1"/>
  <c r="L71" i="1"/>
  <c r="N71" i="1" s="1"/>
  <c r="M71" i="1"/>
  <c r="P69" i="1"/>
  <c r="Q69" i="1" s="1"/>
  <c r="R69" i="1" l="1" a="1"/>
  <c r="R69" i="1" s="1"/>
  <c r="M72" i="1"/>
  <c r="P70" i="1"/>
  <c r="Q70" i="1" s="1"/>
  <c r="L72" i="1"/>
  <c r="N72" i="1" s="1"/>
  <c r="R70" i="1" l="1" a="1"/>
  <c r="R70" i="1" s="1"/>
  <c r="L73" i="1"/>
  <c r="N73" i="1" s="1"/>
  <c r="P71" i="1"/>
  <c r="Q71" i="1" s="1"/>
  <c r="M73" i="1"/>
  <c r="R71" i="1" l="1" a="1"/>
  <c r="R71" i="1" s="1"/>
  <c r="M74" i="1"/>
  <c r="L74" i="1"/>
  <c r="N74" i="1" s="1"/>
  <c r="P72" i="1"/>
  <c r="Q72" i="1" s="1"/>
  <c r="R72" i="1" l="1" a="1"/>
  <c r="R72" i="1" s="1"/>
  <c r="P73" i="1"/>
  <c r="Q73" i="1" s="1"/>
  <c r="L75" i="1"/>
  <c r="N75" i="1" s="1"/>
  <c r="M75" i="1"/>
  <c r="R73" i="1" l="1" a="1"/>
  <c r="R73" i="1" s="1"/>
  <c r="L76" i="1"/>
  <c r="N76" i="1" s="1"/>
  <c r="M76" i="1"/>
  <c r="P74" i="1"/>
  <c r="Q74" i="1" s="1"/>
  <c r="R74" i="1" l="1" a="1"/>
  <c r="R74" i="1" s="1"/>
  <c r="M77" i="1"/>
  <c r="P75" i="1"/>
  <c r="Q75" i="1" s="1"/>
  <c r="L77" i="1"/>
  <c r="N77" i="1" s="1"/>
  <c r="R75" i="1" l="1" a="1"/>
  <c r="R75" i="1" s="1"/>
  <c r="P76" i="1"/>
  <c r="Q76" i="1" s="1"/>
  <c r="M78" i="1"/>
  <c r="L78" i="1"/>
  <c r="N78" i="1" s="1"/>
  <c r="R76" i="1" l="1" a="1"/>
  <c r="R76" i="1" s="1"/>
  <c r="P77" i="1"/>
  <c r="Q77" i="1" s="1"/>
  <c r="L79" i="1"/>
  <c r="N79" i="1" s="1"/>
  <c r="M79" i="1"/>
  <c r="R77" i="1" l="1" a="1"/>
  <c r="R77" i="1" s="1"/>
  <c r="M80" i="1"/>
  <c r="P78" i="1"/>
  <c r="Q78" i="1" s="1"/>
  <c r="L80" i="1"/>
  <c r="N80" i="1" s="1"/>
  <c r="R78" i="1" l="1" a="1"/>
  <c r="R78" i="1" s="1"/>
  <c r="L81" i="1"/>
  <c r="N81" i="1" s="1"/>
  <c r="P79" i="1"/>
  <c r="Q79" i="1" s="1"/>
  <c r="M81" i="1"/>
  <c r="R79" i="1" l="1" a="1"/>
  <c r="R79" i="1" s="1"/>
  <c r="P80" i="1"/>
  <c r="Q80" i="1" s="1"/>
  <c r="M82" i="1"/>
  <c r="L82" i="1"/>
  <c r="N82" i="1" s="1"/>
  <c r="R80" i="1" l="1" a="1"/>
  <c r="R80" i="1" s="1"/>
  <c r="P81" i="1"/>
  <c r="Q81" i="1" s="1"/>
  <c r="L83" i="1"/>
  <c r="N83" i="1" s="1"/>
  <c r="M83" i="1"/>
  <c r="R81" i="1" l="1" a="1"/>
  <c r="R81" i="1" s="1"/>
  <c r="M84" i="1"/>
  <c r="L84" i="1"/>
  <c r="N84" i="1" s="1"/>
  <c r="P82" i="1"/>
  <c r="Q82" i="1" s="1"/>
  <c r="R82" i="1" l="1" a="1"/>
  <c r="R82" i="1" s="1"/>
  <c r="P83" i="1"/>
  <c r="Q83" i="1" s="1"/>
  <c r="L85" i="1"/>
  <c r="N85" i="1" s="1"/>
  <c r="M85" i="1"/>
  <c r="R83" i="1" l="1" a="1"/>
  <c r="R83" i="1" s="1"/>
  <c r="M86" i="1"/>
  <c r="L86" i="1"/>
  <c r="N86" i="1" s="1"/>
  <c r="P84" i="1"/>
  <c r="Q84" i="1" s="1"/>
  <c r="R84" i="1" l="1" a="1"/>
  <c r="R84" i="1" s="1"/>
  <c r="L87" i="1"/>
  <c r="N87" i="1" s="1"/>
  <c r="P85" i="1"/>
  <c r="Q85" i="1" s="1"/>
  <c r="M87" i="1"/>
  <c r="R85" i="1" l="1" a="1"/>
  <c r="R85" i="1" s="1"/>
  <c r="M88" i="1"/>
  <c r="P86" i="1"/>
  <c r="Q86" i="1" s="1"/>
  <c r="L88" i="1"/>
  <c r="N88" i="1" s="1"/>
  <c r="R86" i="1" l="1" a="1"/>
  <c r="R86" i="1" s="1"/>
  <c r="L89" i="1"/>
  <c r="N89" i="1" s="1"/>
  <c r="P87" i="1"/>
  <c r="Q87" i="1" s="1"/>
  <c r="M89" i="1"/>
  <c r="R87" i="1" l="1" a="1"/>
  <c r="R87" i="1" s="1"/>
  <c r="M90" i="1"/>
  <c r="P88" i="1"/>
  <c r="Q88" i="1" s="1"/>
  <c r="L90" i="1"/>
  <c r="N90" i="1" s="1"/>
  <c r="R88" i="1" l="1" a="1"/>
  <c r="R88" i="1" s="1"/>
  <c r="P89" i="1"/>
  <c r="Q89" i="1" s="1"/>
  <c r="L91" i="1"/>
  <c r="N91" i="1" s="1"/>
  <c r="M91" i="1"/>
  <c r="R89" i="1" l="1" a="1"/>
  <c r="R89" i="1" s="1"/>
  <c r="M92" i="1"/>
  <c r="L92" i="1"/>
  <c r="N92" i="1" s="1"/>
  <c r="P90" i="1"/>
  <c r="Q90" i="1" s="1"/>
  <c r="R90" i="1" l="1" a="1"/>
  <c r="R90" i="1" s="1"/>
  <c r="P91" i="1"/>
  <c r="Q91" i="1" s="1"/>
  <c r="L93" i="1"/>
  <c r="N93" i="1" s="1"/>
  <c r="M93" i="1"/>
  <c r="R91" i="1" l="1" a="1"/>
  <c r="R91" i="1" s="1"/>
  <c r="M94" i="1"/>
  <c r="L94" i="1"/>
  <c r="N94" i="1" s="1"/>
  <c r="P92" i="1"/>
  <c r="Q92" i="1" s="1"/>
  <c r="R92" i="1" l="1" a="1"/>
  <c r="R92" i="1" s="1"/>
  <c r="L95" i="1"/>
  <c r="N95" i="1" s="1"/>
  <c r="P93" i="1"/>
  <c r="Q93" i="1" s="1"/>
  <c r="M95" i="1"/>
  <c r="R93" i="1" l="1" a="1"/>
  <c r="R93" i="1" s="1"/>
  <c r="M96" i="1"/>
  <c r="P94" i="1"/>
  <c r="Q94" i="1" s="1"/>
  <c r="L96" i="1"/>
  <c r="N96" i="1" s="1"/>
  <c r="R94" i="1" l="1" a="1"/>
  <c r="R94" i="1" s="1"/>
  <c r="L97" i="1"/>
  <c r="N97" i="1" s="1"/>
  <c r="P95" i="1"/>
  <c r="Q95" i="1" s="1"/>
  <c r="M97" i="1"/>
  <c r="R95" i="1" l="1" a="1"/>
  <c r="R95" i="1" s="1"/>
  <c r="M98" i="1"/>
  <c r="P96" i="1"/>
  <c r="Q96" i="1" s="1"/>
  <c r="L98" i="1"/>
  <c r="N98" i="1" s="1"/>
  <c r="R96" i="1" l="1" a="1"/>
  <c r="R96" i="1" s="1"/>
  <c r="P97" i="1"/>
  <c r="Q97" i="1" s="1"/>
  <c r="L99" i="1"/>
  <c r="N99" i="1" s="1"/>
  <c r="M99" i="1"/>
  <c r="R97" i="1" l="1" a="1"/>
  <c r="R97" i="1" s="1"/>
  <c r="L100" i="1"/>
  <c r="N100" i="1" s="1"/>
  <c r="M100" i="1"/>
  <c r="P98" i="1"/>
  <c r="Q98" i="1" s="1"/>
  <c r="R98" i="1" l="1" a="1"/>
  <c r="R98" i="1" s="1"/>
  <c r="M101" i="1"/>
  <c r="P99" i="1"/>
  <c r="Q99" i="1" s="1"/>
  <c r="L101" i="1"/>
  <c r="N101" i="1" s="1"/>
  <c r="R99" i="1" l="1" a="1"/>
  <c r="R99" i="1" s="1"/>
  <c r="L102" i="1"/>
  <c r="N102" i="1" s="1"/>
  <c r="M102" i="1"/>
  <c r="P100" i="1"/>
  <c r="Q100" i="1" s="1"/>
  <c r="R100" i="1" l="1" a="1"/>
  <c r="R100" i="1" s="1"/>
  <c r="M103" i="1"/>
  <c r="L103" i="1"/>
  <c r="N103" i="1" s="1"/>
  <c r="P101" i="1"/>
  <c r="Q101" i="1" s="1"/>
  <c r="R101" i="1" l="1" a="1"/>
  <c r="R101" i="1" s="1"/>
  <c r="P102" i="1"/>
  <c r="Q102" i="1" s="1"/>
  <c r="L104" i="1"/>
  <c r="N104" i="1" s="1"/>
  <c r="M104" i="1"/>
  <c r="R102" i="1" l="1" a="1"/>
  <c r="R102" i="1" s="1"/>
  <c r="M105" i="1"/>
  <c r="L105" i="1"/>
  <c r="N105" i="1" s="1"/>
  <c r="P103" i="1"/>
  <c r="Q103" i="1" s="1"/>
  <c r="R103" i="1" l="1" a="1"/>
  <c r="R103" i="1" s="1"/>
  <c r="P104" i="1"/>
  <c r="Q104" i="1" s="1"/>
  <c r="L106" i="1"/>
  <c r="N106" i="1" s="1"/>
  <c r="M106" i="1"/>
  <c r="R104" i="1" l="1" a="1"/>
  <c r="R104" i="1" s="1"/>
  <c r="M107" i="1"/>
  <c r="P105" i="1"/>
  <c r="Q105" i="1" s="1"/>
  <c r="L107" i="1"/>
  <c r="N107" i="1" s="1"/>
  <c r="R105" i="1" l="1" a="1"/>
  <c r="R105" i="1" s="1"/>
  <c r="L108" i="1"/>
  <c r="N108" i="1" s="1"/>
  <c r="P106" i="1"/>
  <c r="Q106" i="1" s="1"/>
  <c r="M108" i="1"/>
  <c r="R106" i="1" l="1" a="1"/>
  <c r="R106" i="1" s="1"/>
  <c r="M109" i="1"/>
  <c r="P107" i="1"/>
  <c r="Q107" i="1" s="1"/>
  <c r="L109" i="1"/>
  <c r="N109" i="1" s="1"/>
  <c r="R107" i="1" l="1" a="1"/>
  <c r="R107" i="1" s="1"/>
  <c r="L110" i="1"/>
  <c r="N110" i="1" s="1"/>
  <c r="P108" i="1"/>
  <c r="Q108" i="1" s="1"/>
  <c r="M110" i="1"/>
  <c r="R108" i="1" l="1" a="1"/>
  <c r="R108" i="1" s="1"/>
  <c r="M111" i="1"/>
  <c r="L111" i="1"/>
  <c r="N111" i="1" s="1"/>
  <c r="P109" i="1"/>
  <c r="Q109" i="1" s="1"/>
  <c r="R109" i="1" l="1" a="1"/>
  <c r="R109" i="1" s="1"/>
  <c r="P110" i="1"/>
  <c r="Q110" i="1" s="1"/>
  <c r="L112" i="1"/>
  <c r="N112" i="1" s="1"/>
  <c r="M112" i="1"/>
  <c r="R110" i="1" l="1" a="1"/>
  <c r="R110" i="1" s="1"/>
  <c r="L113" i="1"/>
  <c r="N113" i="1" s="1"/>
  <c r="M113" i="1"/>
  <c r="P111" i="1"/>
  <c r="Q111" i="1" s="1"/>
  <c r="R111" i="1" l="1" a="1"/>
  <c r="R111" i="1" s="1"/>
  <c r="M114" i="1"/>
  <c r="L114" i="1"/>
  <c r="N114" i="1" s="1"/>
  <c r="P112" i="1"/>
  <c r="Q112" i="1" s="1"/>
  <c r="R112" i="1" l="1" a="1"/>
  <c r="R112" i="1" s="1"/>
  <c r="P113" i="1"/>
  <c r="Q113" i="1" s="1"/>
  <c r="L115" i="1"/>
  <c r="N115" i="1" s="1"/>
  <c r="M115" i="1"/>
  <c r="R113" i="1" l="1" a="1"/>
  <c r="R113" i="1" s="1"/>
  <c r="M116" i="1"/>
  <c r="L116" i="1"/>
  <c r="N116" i="1" s="1"/>
  <c r="P114" i="1"/>
  <c r="Q114" i="1" s="1"/>
  <c r="R114" i="1" l="1" a="1"/>
  <c r="R114" i="1" s="1"/>
  <c r="P115" i="1"/>
  <c r="Q115" i="1" s="1"/>
  <c r="L117" i="1"/>
  <c r="N117" i="1" s="1"/>
  <c r="M117" i="1"/>
  <c r="R115" i="1" l="1" a="1"/>
  <c r="R115" i="1" s="1"/>
  <c r="M118" i="1"/>
  <c r="L118" i="1"/>
  <c r="N118" i="1" s="1"/>
  <c r="P116" i="1"/>
  <c r="Q116" i="1" s="1"/>
  <c r="R116" i="1" l="1" a="1"/>
  <c r="R116" i="1" s="1"/>
  <c r="P117" i="1"/>
  <c r="Q117" i="1" s="1"/>
  <c r="M119" i="1"/>
  <c r="L119" i="1"/>
  <c r="N119" i="1" s="1"/>
  <c r="R117" i="1" l="1" a="1"/>
  <c r="R117" i="1" s="1"/>
  <c r="P118" i="1"/>
  <c r="L120" i="1"/>
  <c r="N120" i="1" s="1"/>
  <c r="M120" i="1"/>
  <c r="Q118" i="1"/>
  <c r="R118" i="1" l="1" a="1"/>
  <c r="R118" i="1" s="1"/>
  <c r="M121" i="1"/>
  <c r="P119" i="1"/>
  <c r="Q119" i="1" s="1"/>
  <c r="L121" i="1"/>
  <c r="N121" i="1" s="1"/>
  <c r="R119" i="1" l="1" a="1"/>
  <c r="R119" i="1" s="1"/>
  <c r="P120" i="1"/>
  <c r="Q120" i="1" s="1"/>
  <c r="L122" i="1"/>
  <c r="N122" i="1" s="1"/>
  <c r="M122" i="1"/>
  <c r="R120" i="1" l="1" a="1"/>
  <c r="R120" i="1" s="1"/>
  <c r="M123" i="1"/>
  <c r="P121" i="1"/>
  <c r="Q121" i="1" s="1"/>
  <c r="L123" i="1"/>
  <c r="N123" i="1" s="1"/>
  <c r="R121" i="1" l="1" a="1"/>
  <c r="R121" i="1" s="1"/>
  <c r="L124" i="1"/>
  <c r="N124" i="1" s="1"/>
  <c r="P122" i="1"/>
  <c r="Q122" i="1" s="1"/>
  <c r="M124" i="1"/>
  <c r="R122" i="1" l="1" a="1"/>
  <c r="R122" i="1" s="1"/>
  <c r="M125" i="1"/>
  <c r="P123" i="1"/>
  <c r="Q123" i="1" s="1"/>
  <c r="L125" i="1"/>
  <c r="N125" i="1" s="1"/>
  <c r="R123" i="1" l="1" a="1"/>
  <c r="R123" i="1" s="1"/>
  <c r="L126" i="1"/>
  <c r="N126" i="1" s="1"/>
  <c r="M126" i="1"/>
  <c r="P124" i="1"/>
  <c r="Q124" i="1" s="1"/>
  <c r="R124" i="1" l="1" a="1"/>
  <c r="R124" i="1" s="1"/>
  <c r="M127" i="1"/>
  <c r="L127" i="1"/>
  <c r="N127" i="1" s="1"/>
  <c r="P125" i="1"/>
  <c r="Q125" i="1" s="1"/>
  <c r="R125" i="1" l="1" a="1"/>
  <c r="R125" i="1" s="1"/>
  <c r="M128" i="1"/>
  <c r="P126" i="1"/>
  <c r="Q126" i="1" s="1"/>
  <c r="L128" i="1"/>
  <c r="N128" i="1" s="1"/>
  <c r="R126" i="1" l="1" a="1"/>
  <c r="R126" i="1" s="1"/>
  <c r="L129" i="1"/>
  <c r="N129" i="1" s="1"/>
  <c r="M129" i="1"/>
  <c r="P127" i="1"/>
  <c r="Q127" i="1" s="1"/>
  <c r="R127" i="1" l="1" a="1"/>
  <c r="R127" i="1" s="1"/>
  <c r="M130" i="1"/>
  <c r="P128" i="1"/>
  <c r="Q128" i="1" s="1"/>
  <c r="L130" i="1"/>
  <c r="N130" i="1" s="1"/>
  <c r="R128" i="1" l="1" a="1"/>
  <c r="R128" i="1" s="1"/>
  <c r="P129" i="1"/>
  <c r="Q129" i="1" s="1"/>
  <c r="L131" i="1"/>
  <c r="N131" i="1" s="1"/>
  <c r="M131" i="1"/>
  <c r="R129" i="1" l="1" a="1"/>
  <c r="R129" i="1" s="1"/>
  <c r="M132" i="1"/>
  <c r="L132" i="1"/>
  <c r="N132" i="1" s="1"/>
  <c r="P130" i="1"/>
  <c r="Q130" i="1" s="1"/>
  <c r="R130" i="1" l="1" a="1"/>
  <c r="R130" i="1" s="1"/>
  <c r="P131" i="1"/>
  <c r="Q131" i="1" s="1"/>
  <c r="L133" i="1"/>
  <c r="N133" i="1" s="1"/>
  <c r="M133" i="1"/>
  <c r="R131" i="1" l="1" a="1"/>
  <c r="R131" i="1" s="1"/>
  <c r="L134" i="1"/>
  <c r="N134" i="1" s="1"/>
  <c r="M134" i="1"/>
  <c r="P132" i="1"/>
  <c r="Q132" i="1" s="1"/>
  <c r="R132" i="1" l="1" a="1"/>
  <c r="R132" i="1" s="1"/>
  <c r="M135" i="1"/>
  <c r="L135" i="1"/>
  <c r="N135" i="1" s="1"/>
  <c r="P133" i="1"/>
  <c r="Q133" i="1" s="1"/>
  <c r="R133" i="1" l="1" a="1"/>
  <c r="R133" i="1" s="1"/>
  <c r="P134" i="1"/>
  <c r="Q134" i="1" s="1"/>
  <c r="L136" i="1"/>
  <c r="N136" i="1" s="1"/>
  <c r="M136" i="1"/>
  <c r="R134" i="1" l="1" a="1"/>
  <c r="R134" i="1" s="1"/>
  <c r="M137" i="1"/>
  <c r="L137" i="1"/>
  <c r="N137" i="1" s="1"/>
  <c r="P135" i="1"/>
  <c r="Q135" i="1" s="1"/>
  <c r="R135" i="1" l="1" a="1"/>
  <c r="R135" i="1" s="1"/>
  <c r="P136" i="1"/>
  <c r="Q136" i="1" s="1"/>
  <c r="L138" i="1"/>
  <c r="N138" i="1" s="1"/>
  <c r="M138" i="1"/>
  <c r="R136" i="1" l="1" a="1"/>
  <c r="R136" i="1" s="1"/>
  <c r="P137" i="1"/>
  <c r="Q137" i="1" s="1"/>
  <c r="M139" i="1"/>
  <c r="L139" i="1"/>
  <c r="N139" i="1" s="1"/>
  <c r="R137" i="1" l="1" a="1"/>
  <c r="R137" i="1" s="1"/>
  <c r="L140" i="1"/>
  <c r="N140" i="1" s="1"/>
  <c r="P138" i="1"/>
  <c r="Q138" i="1" s="1"/>
  <c r="M140" i="1"/>
  <c r="R138" i="1" l="1" a="1"/>
  <c r="R138" i="1" s="1"/>
  <c r="M141" i="1"/>
  <c r="P139" i="1"/>
  <c r="Q139" i="1" s="1"/>
  <c r="L141" i="1"/>
  <c r="N141" i="1" s="1"/>
  <c r="R139" i="1" l="1" a="1"/>
  <c r="R139" i="1" s="1"/>
  <c r="P140" i="1"/>
  <c r="Q140" i="1" s="1"/>
  <c r="L142" i="1"/>
  <c r="N142" i="1" s="1"/>
  <c r="M142" i="1"/>
  <c r="R140" i="1" l="1" a="1"/>
  <c r="R140" i="1" s="1"/>
  <c r="M143" i="1"/>
  <c r="L143" i="1"/>
  <c r="N143" i="1" s="1"/>
  <c r="P141" i="1"/>
  <c r="Q141" i="1" s="1"/>
  <c r="R141" i="1" l="1" a="1"/>
  <c r="R141" i="1" s="1"/>
  <c r="P142" i="1"/>
  <c r="Q142" i="1" s="1"/>
  <c r="L144" i="1"/>
  <c r="N144" i="1" s="1"/>
  <c r="M144" i="1"/>
  <c r="R142" i="1" l="1" a="1"/>
  <c r="R142" i="1" s="1"/>
  <c r="M145" i="1"/>
  <c r="L145" i="1"/>
  <c r="N145" i="1" s="1"/>
  <c r="P143" i="1"/>
  <c r="Q143" i="1" s="1"/>
  <c r="R143" i="1" l="1" a="1"/>
  <c r="R143" i="1" s="1"/>
  <c r="P144" i="1"/>
  <c r="Q144" i="1" s="1"/>
  <c r="L146" i="1"/>
  <c r="N146" i="1" s="1"/>
  <c r="M146" i="1"/>
  <c r="R144" i="1" l="1" a="1"/>
  <c r="R144" i="1" s="1"/>
  <c r="M147" i="1"/>
  <c r="P145" i="1"/>
  <c r="Q145" i="1" s="1"/>
  <c r="L147" i="1"/>
  <c r="N147" i="1" s="1"/>
  <c r="R145" i="1" l="1" a="1"/>
  <c r="R145" i="1" s="1"/>
  <c r="L148" i="1"/>
  <c r="N148" i="1" s="1"/>
  <c r="P146" i="1"/>
  <c r="Q146" i="1" s="1"/>
  <c r="M148" i="1"/>
  <c r="R146" i="1" l="1" a="1"/>
  <c r="R146" i="1" s="1"/>
  <c r="M149" i="1"/>
  <c r="L149" i="1"/>
  <c r="N149" i="1" s="1"/>
  <c r="P147" i="1"/>
  <c r="Q147" i="1" s="1"/>
  <c r="R147" i="1" l="1" a="1"/>
  <c r="R147" i="1" s="1"/>
  <c r="L150" i="1"/>
  <c r="N150" i="1" s="1"/>
  <c r="P148" i="1"/>
  <c r="Q148" i="1" s="1"/>
  <c r="M150" i="1"/>
  <c r="R148" i="1" l="1" a="1"/>
  <c r="R148" i="1" s="1"/>
  <c r="M151" i="1"/>
  <c r="P149" i="1"/>
  <c r="Q149" i="1" s="1"/>
  <c r="L151" i="1"/>
  <c r="N151" i="1" s="1"/>
  <c r="R149" i="1" l="1" a="1"/>
  <c r="R149" i="1" s="1"/>
  <c r="P150" i="1"/>
  <c r="Q150" i="1" s="1"/>
  <c r="L152" i="1"/>
  <c r="N152" i="1" s="1"/>
  <c r="M152" i="1"/>
  <c r="R150" i="1" l="1" a="1"/>
  <c r="R150" i="1" s="1"/>
  <c r="L153" i="1"/>
  <c r="N153" i="1" s="1"/>
  <c r="M153" i="1"/>
  <c r="P151" i="1"/>
  <c r="Q151" i="1" s="1"/>
  <c r="R151" i="1" l="1" a="1"/>
  <c r="R151" i="1" s="1"/>
  <c r="M154" i="1"/>
  <c r="P152" i="1"/>
  <c r="Q152" i="1" s="1"/>
  <c r="L154" i="1"/>
  <c r="N154" i="1" s="1"/>
  <c r="R152" i="1" l="1" a="1"/>
  <c r="R152" i="1" s="1"/>
  <c r="P153" i="1"/>
  <c r="Q153" i="1" s="1"/>
  <c r="L155" i="1"/>
  <c r="N155" i="1" s="1"/>
  <c r="M155" i="1"/>
  <c r="R153" i="1" l="1" a="1"/>
  <c r="R153" i="1" s="1"/>
  <c r="M156" i="1"/>
  <c r="L156" i="1"/>
  <c r="N156" i="1" s="1"/>
  <c r="P154" i="1"/>
  <c r="Q154" i="1" s="1"/>
  <c r="R154" i="1" l="1" a="1"/>
  <c r="R154" i="1" s="1"/>
  <c r="P155" i="1"/>
  <c r="Q155" i="1" s="1"/>
  <c r="L157" i="1"/>
  <c r="N157" i="1" s="1"/>
  <c r="M157" i="1"/>
  <c r="R155" i="1" l="1" a="1"/>
  <c r="R155" i="1" s="1"/>
  <c r="M158" i="1"/>
  <c r="L158" i="1"/>
  <c r="N158" i="1" s="1"/>
  <c r="P156" i="1"/>
  <c r="Q156" i="1" s="1"/>
  <c r="R156" i="1" l="1" a="1"/>
  <c r="R156" i="1" s="1"/>
  <c r="L159" i="1"/>
  <c r="N159" i="1" s="1"/>
  <c r="M159" i="1"/>
  <c r="P157" i="1"/>
  <c r="Q157" i="1" s="1"/>
  <c r="R157" i="1" l="1" a="1"/>
  <c r="R157" i="1" s="1"/>
  <c r="M160" i="1"/>
  <c r="P158" i="1"/>
  <c r="Q158" i="1" s="1"/>
  <c r="L160" i="1"/>
  <c r="N160" i="1" s="1"/>
  <c r="R158" i="1" l="1" a="1"/>
  <c r="R158" i="1" s="1"/>
  <c r="L161" i="1"/>
  <c r="N161" i="1" s="1"/>
  <c r="P159" i="1"/>
  <c r="Q159" i="1" s="1"/>
  <c r="M161" i="1"/>
  <c r="R159" i="1" l="1" a="1"/>
  <c r="R159" i="1" s="1"/>
  <c r="M162" i="1"/>
  <c r="P160" i="1"/>
  <c r="Q160" i="1" s="1"/>
  <c r="L162" i="1"/>
  <c r="N162" i="1" s="1"/>
  <c r="R160" i="1" l="1" a="1"/>
  <c r="R160" i="1" s="1"/>
  <c r="P161" i="1"/>
  <c r="Q161" i="1" s="1"/>
  <c r="L163" i="1"/>
  <c r="N163" i="1" s="1"/>
  <c r="M163" i="1"/>
  <c r="R161" i="1" l="1" a="1"/>
  <c r="R161" i="1" s="1"/>
  <c r="L164" i="1"/>
  <c r="N164" i="1" s="1"/>
  <c r="M164" i="1"/>
  <c r="P162" i="1"/>
  <c r="Q162" i="1" s="1"/>
  <c r="R162" i="1" l="1" a="1"/>
  <c r="R162" i="1" s="1"/>
  <c r="M165" i="1"/>
  <c r="P163" i="1"/>
  <c r="Q163" i="1" s="1"/>
  <c r="L165" i="1"/>
  <c r="N165" i="1" s="1"/>
  <c r="R163" i="1" l="1" a="1"/>
  <c r="R163" i="1" s="1"/>
  <c r="L166" i="1"/>
  <c r="N166" i="1" s="1"/>
  <c r="P164" i="1"/>
  <c r="Q164" i="1" s="1"/>
  <c r="M166" i="1"/>
  <c r="R164" i="1" l="1" a="1"/>
  <c r="R164" i="1" s="1"/>
  <c r="M167" i="1"/>
  <c r="L167" i="1"/>
  <c r="N167" i="1" s="1"/>
  <c r="P165" i="1"/>
  <c r="Q165" i="1" s="1"/>
  <c r="R165" i="1" l="1" a="1"/>
  <c r="R165" i="1" s="1"/>
  <c r="P166" i="1"/>
  <c r="Q166" i="1" s="1"/>
  <c r="L168" i="1"/>
  <c r="N168" i="1" s="1"/>
  <c r="M168" i="1"/>
  <c r="R166" i="1" l="1" a="1"/>
  <c r="R166" i="1" s="1"/>
  <c r="M169" i="1"/>
  <c r="L169" i="1"/>
  <c r="N169" i="1" s="1"/>
  <c r="P167" i="1"/>
  <c r="Q167" i="1" s="1"/>
  <c r="R167" i="1" l="1" a="1"/>
  <c r="R167" i="1" s="1"/>
  <c r="P168" i="1"/>
  <c r="Q168" i="1" s="1"/>
  <c r="L170" i="1"/>
  <c r="N170" i="1" s="1"/>
  <c r="M170" i="1"/>
  <c r="R168" i="1" l="1" a="1"/>
  <c r="R168" i="1" s="1"/>
  <c r="M171" i="1"/>
  <c r="P169" i="1"/>
  <c r="Q169" i="1" s="1"/>
  <c r="L171" i="1"/>
  <c r="N171" i="1" s="1"/>
  <c r="R169" i="1" l="1" a="1"/>
  <c r="R169" i="1" s="1"/>
  <c r="L172" i="1"/>
  <c r="N172" i="1" s="1"/>
  <c r="P170" i="1"/>
  <c r="Q170" i="1" s="1"/>
  <c r="M172" i="1"/>
  <c r="R170" i="1" l="1" a="1"/>
  <c r="R170" i="1" s="1"/>
  <c r="M173" i="1"/>
  <c r="P171" i="1"/>
  <c r="Q171" i="1" s="1"/>
  <c r="L173" i="1"/>
  <c r="N173" i="1" s="1"/>
  <c r="R171" i="1" l="1" a="1"/>
  <c r="R171" i="1" s="1"/>
  <c r="L174" i="1"/>
  <c r="N174" i="1" s="1"/>
  <c r="P172" i="1"/>
  <c r="Q172" i="1" s="1"/>
  <c r="M174" i="1"/>
  <c r="R172" i="1" l="1" a="1"/>
  <c r="R172" i="1" s="1"/>
  <c r="M175" i="1"/>
  <c r="L175" i="1"/>
  <c r="N175" i="1" s="1"/>
  <c r="P173" i="1"/>
  <c r="Q173" i="1" s="1"/>
  <c r="R173" i="1" l="1" a="1"/>
  <c r="R173" i="1" s="1"/>
  <c r="P174" i="1"/>
  <c r="Q174" i="1" s="1"/>
  <c r="L176" i="1"/>
  <c r="N176" i="1" s="1"/>
  <c r="M176" i="1"/>
  <c r="R174" i="1" l="1" a="1"/>
  <c r="R174" i="1" s="1"/>
  <c r="M177" i="1"/>
  <c r="P175" i="1"/>
  <c r="Q175" i="1" s="1"/>
  <c r="L177" i="1"/>
  <c r="N177" i="1" s="1"/>
  <c r="R175" i="1" l="1" a="1"/>
  <c r="R175" i="1" s="1"/>
  <c r="P176" i="1"/>
  <c r="Q176" i="1" s="1"/>
  <c r="L178" i="1"/>
  <c r="N178" i="1" s="1"/>
  <c r="M178" i="1"/>
  <c r="R176" i="1" l="1" a="1"/>
  <c r="R176" i="1" s="1"/>
  <c r="M179" i="1"/>
  <c r="P177" i="1"/>
  <c r="Q177" i="1" s="1"/>
  <c r="L179" i="1"/>
  <c r="N179" i="1" s="1"/>
  <c r="R177" i="1" l="1" a="1"/>
  <c r="R177" i="1" s="1"/>
  <c r="L180" i="1"/>
  <c r="N180" i="1" s="1"/>
  <c r="P178" i="1"/>
  <c r="Q178" i="1" s="1"/>
  <c r="M180" i="1"/>
  <c r="R178" i="1" l="1" a="1"/>
  <c r="R178" i="1" s="1"/>
  <c r="M181" i="1"/>
  <c r="P179" i="1"/>
  <c r="Q179" i="1" s="1"/>
  <c r="L181" i="1"/>
  <c r="N181" i="1" s="1"/>
  <c r="R179" i="1" l="1" a="1"/>
  <c r="R179" i="1" s="1"/>
  <c r="L182" i="1"/>
  <c r="N182" i="1" s="1"/>
  <c r="P180" i="1"/>
  <c r="Q180" i="1" s="1"/>
  <c r="M182" i="1"/>
  <c r="R180" i="1" l="1" a="1"/>
  <c r="R180" i="1" s="1"/>
  <c r="M183" i="1"/>
  <c r="L183" i="1"/>
  <c r="N183" i="1" s="1"/>
  <c r="P181" i="1"/>
  <c r="Q181" i="1" s="1"/>
  <c r="R181" i="1" l="1" a="1"/>
  <c r="R181" i="1" s="1"/>
  <c r="P182" i="1"/>
  <c r="Q182" i="1" s="1"/>
  <c r="L184" i="1"/>
  <c r="N184" i="1" s="1"/>
  <c r="M184" i="1"/>
  <c r="R182" i="1" l="1" a="1"/>
  <c r="R182" i="1" s="1"/>
  <c r="L185" i="1"/>
  <c r="N185" i="1" s="1"/>
  <c r="M185" i="1"/>
  <c r="P183" i="1"/>
  <c r="Q183" i="1" s="1"/>
  <c r="R183" i="1" l="1" a="1"/>
  <c r="R183" i="1" s="1"/>
  <c r="M186" i="1"/>
  <c r="P184" i="1"/>
  <c r="Q184" i="1" s="1"/>
  <c r="L186" i="1"/>
  <c r="N186" i="1" s="1"/>
  <c r="R184" i="1" l="1" a="1"/>
  <c r="R184" i="1" s="1"/>
  <c r="P185" i="1"/>
  <c r="Q185" i="1" s="1"/>
  <c r="L187" i="1"/>
  <c r="N187" i="1" s="1"/>
  <c r="M187" i="1"/>
  <c r="R185" i="1" l="1" a="1"/>
  <c r="R185" i="1" s="1"/>
  <c r="M188" i="1"/>
  <c r="L188" i="1"/>
  <c r="N188" i="1" s="1"/>
  <c r="P186" i="1"/>
  <c r="Q186" i="1" s="1"/>
  <c r="R186" i="1" l="1" a="1"/>
  <c r="R186" i="1" s="1"/>
  <c r="P187" i="1"/>
  <c r="Q187" i="1" s="1"/>
  <c r="L189" i="1"/>
  <c r="N189" i="1" s="1"/>
  <c r="M189" i="1"/>
  <c r="R187" i="1" l="1" a="1"/>
  <c r="R187" i="1" s="1"/>
  <c r="M190" i="1"/>
  <c r="L190" i="1"/>
  <c r="N190" i="1" s="1"/>
  <c r="P188" i="1"/>
  <c r="Q188" i="1" s="1"/>
  <c r="R188" i="1" l="1" a="1"/>
  <c r="R188" i="1" s="1"/>
  <c r="L191" i="1"/>
  <c r="N191" i="1" s="1"/>
  <c r="P189" i="1"/>
  <c r="Q189" i="1" s="1"/>
  <c r="M191" i="1"/>
  <c r="R189" i="1" l="1" a="1"/>
  <c r="R189" i="1" s="1"/>
  <c r="M192" i="1"/>
  <c r="P190" i="1"/>
  <c r="Q190" i="1" s="1"/>
  <c r="L192" i="1"/>
  <c r="N192" i="1" s="1"/>
  <c r="R190" i="1" l="1" a="1"/>
  <c r="R190" i="1" s="1"/>
  <c r="P191" i="1"/>
  <c r="Q191" i="1" s="1"/>
  <c r="M193" i="1"/>
  <c r="L193" i="1"/>
  <c r="N193" i="1" s="1"/>
  <c r="R191" i="1" l="1" a="1"/>
  <c r="R191" i="1" s="1"/>
  <c r="P192" i="1"/>
  <c r="Q192" i="1" s="1"/>
  <c r="L194" i="1"/>
  <c r="N194" i="1" s="1"/>
  <c r="M194" i="1"/>
  <c r="R192" i="1" l="1" a="1"/>
  <c r="R192" i="1" s="1"/>
  <c r="M195" i="1"/>
  <c r="P193" i="1"/>
  <c r="Q193" i="1" s="1"/>
  <c r="L195" i="1"/>
  <c r="N195" i="1" s="1"/>
  <c r="R193" i="1" l="1" a="1"/>
  <c r="R193" i="1" s="1"/>
  <c r="L196" i="1"/>
  <c r="N196" i="1" s="1"/>
  <c r="P194" i="1"/>
  <c r="Q194" i="1" s="1"/>
  <c r="M196" i="1"/>
  <c r="R194" i="1" l="1" a="1"/>
  <c r="R194" i="1" s="1"/>
  <c r="M197" i="1"/>
  <c r="P195" i="1"/>
  <c r="Q195" i="1" s="1"/>
  <c r="L197" i="1"/>
  <c r="N197" i="1" s="1"/>
  <c r="R195" i="1" l="1" a="1"/>
  <c r="R195" i="1" s="1"/>
  <c r="L198" i="1"/>
  <c r="N198" i="1" s="1"/>
  <c r="P196" i="1"/>
  <c r="Q196" i="1" s="1"/>
  <c r="M198" i="1"/>
  <c r="R196" i="1" l="1" a="1"/>
  <c r="R196" i="1" s="1"/>
  <c r="L199" i="1"/>
  <c r="N199" i="1" s="1"/>
  <c r="M199" i="1"/>
  <c r="P197" i="1"/>
  <c r="Q197" i="1" s="1"/>
  <c r="R197" i="1" l="1" a="1"/>
  <c r="R197" i="1" s="1"/>
  <c r="P198" i="1"/>
  <c r="Q198" i="1" s="1"/>
  <c r="M200" i="1"/>
  <c r="L200" i="1"/>
  <c r="N200" i="1" s="1"/>
  <c r="R198" i="1" l="1" a="1"/>
  <c r="R198" i="1" s="1"/>
  <c r="L201" i="1"/>
  <c r="N201" i="1" s="1"/>
  <c r="P199" i="1"/>
  <c r="Q199" i="1" s="1"/>
  <c r="M201" i="1"/>
  <c r="R199" i="1" l="1" a="1"/>
  <c r="R199" i="1" s="1"/>
  <c r="M202" i="1"/>
  <c r="P200" i="1"/>
  <c r="Q200" i="1" s="1"/>
  <c r="L202" i="1"/>
  <c r="N202" i="1" s="1"/>
  <c r="R200" i="1" l="1" a="1"/>
  <c r="R200" i="1" s="1"/>
  <c r="P201" i="1"/>
  <c r="Q201" i="1" s="1"/>
  <c r="L203" i="1"/>
  <c r="N203" i="1" s="1"/>
  <c r="M203" i="1"/>
  <c r="R201" i="1" l="1" a="1"/>
  <c r="R201" i="1" s="1"/>
  <c r="L204" i="1"/>
  <c r="N204" i="1" s="1"/>
  <c r="M204" i="1"/>
  <c r="P202" i="1"/>
  <c r="Q202" i="1" s="1"/>
  <c r="R202" i="1" l="1" a="1"/>
  <c r="R202" i="1" s="1"/>
  <c r="M205" i="1"/>
  <c r="P203" i="1"/>
  <c r="Q203" i="1" s="1"/>
  <c r="L205" i="1"/>
  <c r="N205" i="1" s="1"/>
  <c r="R203" i="1" l="1" a="1"/>
  <c r="R203" i="1" s="1"/>
  <c r="L206" i="1"/>
  <c r="N206" i="1" s="1"/>
  <c r="P204" i="1"/>
  <c r="Q204" i="1" s="1"/>
  <c r="M206" i="1"/>
  <c r="R204" i="1" l="1" a="1"/>
  <c r="R204" i="1" s="1"/>
  <c r="M207" i="1"/>
  <c r="L207" i="1"/>
  <c r="N207" i="1" s="1"/>
  <c r="P205" i="1"/>
  <c r="Q205" i="1" s="1"/>
  <c r="R205" i="1" l="1" a="1"/>
  <c r="R205" i="1" s="1"/>
  <c r="P206" i="1"/>
  <c r="Q206" i="1" s="1"/>
  <c r="L208" i="1"/>
  <c r="N208" i="1" s="1"/>
  <c r="M208" i="1"/>
  <c r="R206" i="1" l="1" a="1"/>
  <c r="R206" i="1" s="1"/>
  <c r="M209" i="1"/>
  <c r="L209" i="1"/>
  <c r="N209" i="1" s="1"/>
  <c r="P207" i="1"/>
  <c r="Q207" i="1" s="1"/>
  <c r="R207" i="1" l="1" a="1"/>
  <c r="R207" i="1" s="1"/>
  <c r="P208" i="1"/>
  <c r="Q208" i="1" s="1"/>
  <c r="L210" i="1"/>
  <c r="N210" i="1" s="1"/>
  <c r="M210" i="1"/>
  <c r="R208" i="1" l="1" a="1"/>
  <c r="R208" i="1" s="1"/>
  <c r="M211" i="1"/>
  <c r="P209" i="1"/>
  <c r="Q209" i="1" s="1"/>
  <c r="L211" i="1"/>
  <c r="N211" i="1" s="1"/>
  <c r="R209" i="1" l="1" a="1"/>
  <c r="R209" i="1" s="1"/>
  <c r="L212" i="1"/>
  <c r="N212" i="1" s="1"/>
  <c r="P210" i="1"/>
  <c r="Q210" i="1" s="1"/>
  <c r="M212" i="1"/>
  <c r="R210" i="1" l="1" a="1"/>
  <c r="R210" i="1" s="1"/>
  <c r="M213" i="1"/>
  <c r="P211" i="1"/>
  <c r="Q211" i="1" s="1"/>
  <c r="L213" i="1"/>
  <c r="N213" i="1" s="1"/>
  <c r="R211" i="1" l="1" a="1"/>
  <c r="R211" i="1" s="1"/>
  <c r="P212" i="1"/>
  <c r="Q212" i="1"/>
  <c r="L214" i="1"/>
  <c r="N214" i="1" s="1"/>
  <c r="M214" i="1"/>
  <c r="R212" i="1" l="1" a="1"/>
  <c r="R212" i="1" s="1"/>
  <c r="M215" i="1"/>
  <c r="L215" i="1"/>
  <c r="N215" i="1" s="1"/>
  <c r="P213" i="1"/>
  <c r="Q213" i="1"/>
  <c r="R213" i="1" l="1" a="1"/>
  <c r="R213" i="1" s="1"/>
  <c r="P214" i="1"/>
  <c r="Q214" i="1" s="1"/>
  <c r="L216" i="1"/>
  <c r="N216" i="1" s="1"/>
  <c r="M216" i="1"/>
  <c r="R214" i="1" l="1" a="1"/>
  <c r="R214" i="1" s="1"/>
  <c r="M217" i="1"/>
  <c r="L217" i="1"/>
  <c r="N217" i="1" s="1"/>
  <c r="P215" i="1"/>
  <c r="Q215" i="1" s="1"/>
  <c r="R215" i="1" l="1" a="1"/>
  <c r="R215" i="1" s="1"/>
  <c r="P216" i="1"/>
  <c r="Q216" i="1" s="1"/>
  <c r="L218" i="1"/>
  <c r="N218" i="1" s="1"/>
  <c r="M218" i="1"/>
  <c r="R216" i="1" l="1" a="1"/>
  <c r="R216" i="1" s="1"/>
  <c r="M219" i="1"/>
  <c r="P217" i="1"/>
  <c r="Q217" i="1" s="1"/>
  <c r="L219" i="1"/>
  <c r="N219" i="1" s="1"/>
  <c r="R217" i="1" l="1" a="1"/>
  <c r="R217" i="1" s="1"/>
  <c r="L220" i="1"/>
  <c r="N220" i="1" s="1"/>
  <c r="P218" i="1"/>
  <c r="Q218" i="1" s="1"/>
  <c r="M220" i="1"/>
  <c r="R218" i="1" l="1" a="1"/>
  <c r="R218" i="1" s="1"/>
  <c r="M221" i="1"/>
  <c r="P219" i="1"/>
  <c r="Q219" i="1" s="1"/>
  <c r="L221" i="1"/>
  <c r="N221" i="1" s="1"/>
  <c r="R219" i="1" l="1" a="1"/>
  <c r="R219" i="1" s="1"/>
  <c r="L222" i="1"/>
  <c r="N222" i="1" s="1"/>
  <c r="P220" i="1"/>
  <c r="Q220" i="1" s="1"/>
  <c r="M222" i="1"/>
  <c r="R220" i="1" l="1" a="1"/>
  <c r="R220" i="1" s="1"/>
  <c r="M223" i="1"/>
  <c r="L223" i="1"/>
  <c r="N223" i="1" s="1"/>
  <c r="P221" i="1"/>
  <c r="Q221" i="1" s="1"/>
  <c r="R221" i="1" l="1" a="1"/>
  <c r="R221" i="1" s="1"/>
  <c r="P222" i="1"/>
  <c r="Q222" i="1" s="1"/>
  <c r="L224" i="1"/>
  <c r="N224" i="1" s="1"/>
  <c r="M224" i="1"/>
  <c r="R222" i="1" l="1" a="1"/>
  <c r="R222" i="1" s="1"/>
  <c r="M225" i="1"/>
  <c r="L225" i="1"/>
  <c r="N225" i="1" s="1"/>
  <c r="P223" i="1"/>
  <c r="Q223" i="1" s="1"/>
  <c r="R223" i="1" l="1" a="1"/>
  <c r="R223" i="1" s="1"/>
  <c r="P224" i="1"/>
  <c r="Q224" i="1" s="1"/>
  <c r="L226" i="1"/>
  <c r="N226" i="1" s="1"/>
  <c r="M226" i="1"/>
  <c r="R224" i="1" l="1" a="1"/>
  <c r="R224" i="1" s="1"/>
  <c r="M227" i="1"/>
  <c r="P225" i="1"/>
  <c r="Q225" i="1" s="1"/>
  <c r="L227" i="1"/>
  <c r="N227" i="1" s="1"/>
  <c r="R225" i="1" l="1" a="1"/>
  <c r="R225" i="1" s="1"/>
  <c r="P226" i="1"/>
  <c r="Q226" i="1" s="1"/>
  <c r="M228" i="1"/>
  <c r="L228" i="1"/>
  <c r="N228" i="1" s="1"/>
  <c r="R226" i="1" l="1" a="1"/>
  <c r="R226" i="1" s="1"/>
  <c r="P227" i="1"/>
  <c r="Q227" i="1" s="1"/>
  <c r="L229" i="1"/>
  <c r="N229" i="1" s="1"/>
  <c r="M229" i="1"/>
  <c r="R227" i="1" l="1" a="1"/>
  <c r="R227" i="1" s="1"/>
  <c r="M230" i="1"/>
  <c r="L230" i="1"/>
  <c r="N230" i="1" s="1"/>
  <c r="P228" i="1"/>
  <c r="Q228" i="1" s="1"/>
  <c r="R228" i="1" l="1" a="1"/>
  <c r="R228" i="1" s="1"/>
  <c r="L231" i="1"/>
  <c r="N231" i="1" s="1"/>
  <c r="P229" i="1"/>
  <c r="Q229" i="1" s="1"/>
  <c r="M231" i="1"/>
  <c r="R229" i="1" l="1" a="1"/>
  <c r="R229" i="1" s="1"/>
  <c r="M232" i="1"/>
  <c r="P230" i="1"/>
  <c r="Q230" i="1" s="1"/>
  <c r="L232" i="1"/>
  <c r="N232" i="1" s="1"/>
  <c r="R230" i="1" l="1" a="1"/>
  <c r="R230" i="1" s="1"/>
  <c r="L233" i="1"/>
  <c r="N233" i="1" s="1"/>
  <c r="P231" i="1"/>
  <c r="Q231" i="1" s="1"/>
  <c r="M233" i="1"/>
  <c r="R231" i="1" l="1" a="1"/>
  <c r="R231" i="1" s="1"/>
  <c r="M234" i="1"/>
  <c r="P232" i="1"/>
  <c r="Q232" i="1" s="1"/>
  <c r="L234" i="1"/>
  <c r="N234" i="1" s="1"/>
  <c r="R232" i="1" l="1" a="1"/>
  <c r="R232" i="1" s="1"/>
  <c r="P233" i="1"/>
  <c r="Q233" i="1" s="1"/>
  <c r="L235" i="1"/>
  <c r="N235" i="1" s="1"/>
  <c r="M235" i="1"/>
  <c r="R233" i="1" l="1" a="1"/>
  <c r="R233" i="1" s="1"/>
  <c r="M236" i="1"/>
  <c r="P234" i="1"/>
  <c r="Q234" i="1" s="1"/>
  <c r="L236" i="1"/>
  <c r="N236" i="1" s="1"/>
  <c r="R234" i="1" l="1" a="1"/>
  <c r="R234" i="1" s="1"/>
  <c r="P235" i="1"/>
  <c r="Q235" i="1" s="1"/>
  <c r="L237" i="1"/>
  <c r="N237" i="1" s="1"/>
  <c r="M237" i="1"/>
  <c r="R235" i="1" l="1" a="1"/>
  <c r="R235" i="1" s="1"/>
  <c r="L238" i="1"/>
  <c r="N238" i="1" s="1"/>
  <c r="M238" i="1"/>
  <c r="P236" i="1"/>
  <c r="Q236" i="1" s="1"/>
  <c r="R236" i="1" l="1" a="1"/>
  <c r="R236" i="1" s="1"/>
  <c r="M239" i="1"/>
  <c r="L239" i="1"/>
  <c r="N239" i="1" s="1"/>
  <c r="P237" i="1"/>
  <c r="Q237" i="1" s="1"/>
  <c r="R237" i="1" l="1" a="1"/>
  <c r="R237" i="1" s="1"/>
  <c r="P238" i="1"/>
  <c r="Q238" i="1" s="1"/>
  <c r="L240" i="1"/>
  <c r="N240" i="1" s="1"/>
  <c r="M240" i="1"/>
  <c r="R238" i="1" l="1" a="1"/>
  <c r="R238" i="1" s="1"/>
  <c r="M241" i="1"/>
  <c r="L241" i="1"/>
  <c r="N241" i="1" s="1"/>
  <c r="P239" i="1"/>
  <c r="Q239" i="1" s="1"/>
  <c r="R239" i="1" l="1" a="1"/>
  <c r="R239" i="1" s="1"/>
  <c r="P240" i="1"/>
  <c r="Q240" i="1" s="1"/>
  <c r="L242" i="1"/>
  <c r="N242" i="1" s="1"/>
  <c r="M242" i="1"/>
  <c r="R240" i="1" l="1" a="1"/>
  <c r="R240" i="1" s="1"/>
  <c r="L243" i="1"/>
  <c r="N243" i="1" s="1"/>
  <c r="P241" i="1"/>
  <c r="Q241" i="1" s="1"/>
  <c r="M243" i="1"/>
  <c r="R241" i="1" l="1" a="1"/>
  <c r="R241" i="1" s="1"/>
  <c r="M244" i="1"/>
  <c r="L244" i="1"/>
  <c r="N244" i="1" s="1"/>
  <c r="P242" i="1"/>
  <c r="Q242" i="1" s="1"/>
  <c r="R242" i="1" l="1" a="1"/>
  <c r="R242" i="1" s="1"/>
  <c r="P243" i="1"/>
  <c r="Q243" i="1" s="1"/>
  <c r="L245" i="1"/>
  <c r="N245" i="1" s="1"/>
  <c r="M245" i="1"/>
  <c r="R243" i="1" l="1" a="1"/>
  <c r="R243" i="1" s="1"/>
  <c r="M246" i="1"/>
  <c r="L246" i="1"/>
  <c r="N246" i="1" s="1"/>
  <c r="P244" i="1"/>
  <c r="Q244" i="1" s="1"/>
  <c r="R244" i="1" l="1" a="1"/>
  <c r="R244" i="1" s="1"/>
  <c r="L247" i="1"/>
  <c r="N247" i="1" s="1"/>
  <c r="P245" i="1"/>
  <c r="Q245" i="1" s="1"/>
  <c r="M247" i="1"/>
  <c r="R245" i="1" l="1" a="1"/>
  <c r="R245" i="1" s="1"/>
  <c r="M248" i="1"/>
  <c r="P246" i="1"/>
  <c r="Q246" i="1" s="1"/>
  <c r="L248" i="1"/>
  <c r="N248" i="1" s="1"/>
  <c r="R246" i="1" l="1" a="1"/>
  <c r="R246" i="1" s="1"/>
  <c r="L249" i="1"/>
  <c r="N249" i="1" s="1"/>
  <c r="P247" i="1"/>
  <c r="Q247" i="1" s="1"/>
  <c r="M249" i="1"/>
  <c r="R247" i="1" l="1" a="1"/>
  <c r="R247" i="1" s="1"/>
  <c r="M250" i="1"/>
  <c r="P248" i="1"/>
  <c r="Q248" i="1" s="1"/>
  <c r="L250" i="1"/>
  <c r="N250" i="1" s="1"/>
  <c r="R248" i="1" l="1" a="1"/>
  <c r="R248" i="1" s="1"/>
  <c r="P249" i="1"/>
  <c r="Q249" i="1" s="1"/>
  <c r="L251" i="1"/>
  <c r="N251" i="1" s="1"/>
  <c r="M251" i="1"/>
  <c r="R249" i="1" l="1" a="1"/>
  <c r="R249" i="1" s="1"/>
  <c r="M252" i="1"/>
  <c r="L252" i="1"/>
  <c r="N252" i="1" s="1"/>
  <c r="P250" i="1"/>
  <c r="Q250" i="1" s="1"/>
  <c r="R250" i="1" l="1" a="1"/>
  <c r="R250" i="1" s="1"/>
  <c r="P251" i="1"/>
  <c r="Q251" i="1" s="1"/>
  <c r="L253" i="1"/>
  <c r="N253" i="1" s="1"/>
  <c r="M253" i="1"/>
  <c r="R251" i="1" l="1" a="1"/>
  <c r="R251" i="1" s="1"/>
  <c r="M254" i="1"/>
  <c r="L254" i="1"/>
  <c r="N254" i="1" s="1"/>
  <c r="P252" i="1"/>
  <c r="Q252" i="1" s="1"/>
  <c r="R252" i="1" l="1" a="1"/>
  <c r="R252" i="1" s="1"/>
  <c r="P253" i="1"/>
  <c r="Q253" i="1"/>
  <c r="L255" i="1"/>
  <c r="N255" i="1" s="1"/>
  <c r="M255" i="1"/>
  <c r="R253" i="1" l="1" a="1"/>
  <c r="R253" i="1" s="1"/>
  <c r="P254" i="1"/>
  <c r="L256" i="1"/>
  <c r="N256" i="1" s="1"/>
  <c r="M256" i="1"/>
  <c r="Q254" i="1"/>
  <c r="R254" i="1" l="1" a="1"/>
  <c r="R254" i="1" s="1"/>
  <c r="M257" i="1"/>
  <c r="P255" i="1"/>
  <c r="Q255" i="1" s="1"/>
  <c r="L257" i="1"/>
  <c r="N257" i="1" s="1"/>
  <c r="R255" i="1" l="1" a="1"/>
  <c r="R255" i="1" s="1"/>
  <c r="P256" i="1"/>
  <c r="Q256" i="1" s="1"/>
  <c r="L258" i="1"/>
  <c r="N258" i="1" s="1"/>
  <c r="M258" i="1"/>
  <c r="R256" i="1" l="1" a="1"/>
  <c r="R256" i="1" s="1"/>
  <c r="M259" i="1"/>
  <c r="P257" i="1"/>
  <c r="Q257" i="1" s="1"/>
  <c r="L259" i="1"/>
  <c r="N259" i="1" s="1"/>
  <c r="R257" i="1" l="1" a="1"/>
  <c r="R257" i="1" s="1"/>
  <c r="L260" i="1"/>
  <c r="N260" i="1" s="1"/>
  <c r="M260" i="1"/>
  <c r="P258" i="1"/>
  <c r="Q258" i="1" s="1"/>
  <c r="R258" i="1" l="1" a="1"/>
  <c r="R258" i="1" s="1"/>
  <c r="M261" i="1"/>
  <c r="P259" i="1"/>
  <c r="Q259" i="1" s="1"/>
  <c r="L261" i="1"/>
  <c r="N261" i="1" s="1"/>
  <c r="R259" i="1" l="1" a="1"/>
  <c r="R259" i="1" s="1"/>
  <c r="L262" i="1"/>
  <c r="N262" i="1" s="1"/>
  <c r="P260" i="1"/>
  <c r="Q260" i="1" s="1"/>
  <c r="M262" i="1"/>
  <c r="R260" i="1" l="1" a="1"/>
  <c r="R260" i="1" s="1"/>
  <c r="M263" i="1"/>
  <c r="L263" i="1"/>
  <c r="N263" i="1" s="1"/>
  <c r="P261" i="1"/>
  <c r="Q261" i="1" s="1"/>
  <c r="R261" i="1" l="1" a="1"/>
  <c r="R261" i="1" s="1"/>
  <c r="P262" i="1"/>
  <c r="Q262" i="1" s="1"/>
  <c r="L264" i="1"/>
  <c r="N264" i="1" s="1"/>
  <c r="M264" i="1"/>
  <c r="R262" i="1" l="1" a="1"/>
  <c r="R262" i="1" s="1"/>
  <c r="M265" i="1"/>
  <c r="L265" i="1"/>
  <c r="N265" i="1" s="1"/>
  <c r="P263" i="1"/>
  <c r="Q263" i="1" s="1"/>
  <c r="R263" i="1" l="1" a="1"/>
  <c r="R263" i="1" s="1"/>
  <c r="P264" i="1"/>
  <c r="Q264" i="1" s="1"/>
  <c r="L266" i="1"/>
  <c r="N266" i="1" s="1"/>
  <c r="M266" i="1"/>
  <c r="R264" i="1" l="1" a="1"/>
  <c r="R264" i="1" s="1"/>
  <c r="M267" i="1"/>
  <c r="P265" i="1"/>
  <c r="Q265" i="1" s="1"/>
  <c r="L267" i="1"/>
  <c r="N267" i="1" s="1"/>
  <c r="R265" i="1" l="1" a="1"/>
  <c r="R265" i="1" s="1"/>
  <c r="L268" i="1"/>
  <c r="N268" i="1" s="1"/>
  <c r="P266" i="1"/>
  <c r="Q266" i="1" s="1"/>
  <c r="M268" i="1"/>
  <c r="R266" i="1" l="1" a="1"/>
  <c r="R266" i="1" s="1"/>
  <c r="M269" i="1"/>
  <c r="P267" i="1"/>
  <c r="Q267" i="1" s="1"/>
  <c r="L269" i="1"/>
  <c r="N269" i="1" s="1"/>
  <c r="R267" i="1" l="1" a="1"/>
  <c r="R267" i="1" s="1"/>
  <c r="L270" i="1"/>
  <c r="N270" i="1" s="1"/>
  <c r="P268" i="1"/>
  <c r="Q268" i="1" s="1"/>
  <c r="M270" i="1"/>
  <c r="R268" i="1" l="1" a="1"/>
  <c r="R268" i="1" s="1"/>
  <c r="M271" i="1"/>
  <c r="L271" i="1"/>
  <c r="N271" i="1" s="1"/>
  <c r="P269" i="1"/>
  <c r="Q269" i="1" s="1"/>
  <c r="R269" i="1" l="1" a="1"/>
  <c r="R269" i="1" s="1"/>
  <c r="P270" i="1"/>
  <c r="Q270" i="1" s="1"/>
  <c r="L272" i="1"/>
  <c r="N272" i="1" s="1"/>
  <c r="M272" i="1"/>
  <c r="R270" i="1" l="1" a="1"/>
  <c r="R270" i="1" s="1"/>
  <c r="M273" i="1"/>
  <c r="L273" i="1"/>
  <c r="N273" i="1" s="1"/>
  <c r="P271" i="1"/>
  <c r="Q271" i="1" s="1"/>
  <c r="R271" i="1" l="1" a="1"/>
  <c r="R271" i="1" s="1"/>
  <c r="P272" i="1"/>
  <c r="Q272" i="1" s="1"/>
  <c r="L274" i="1"/>
  <c r="N274" i="1" s="1"/>
  <c r="M274" i="1"/>
  <c r="R272" i="1" l="1" a="1"/>
  <c r="R272" i="1" s="1"/>
  <c r="M275" i="1"/>
  <c r="P273" i="1"/>
  <c r="Q273" i="1" s="1"/>
  <c r="L275" i="1"/>
  <c r="N275" i="1" s="1"/>
  <c r="R273" i="1" l="1" a="1"/>
  <c r="R273" i="1" s="1"/>
  <c r="L276" i="1"/>
  <c r="N276" i="1" s="1"/>
  <c r="P274" i="1"/>
  <c r="Q274" i="1" s="1"/>
  <c r="M276" i="1"/>
  <c r="R274" i="1" l="1" a="1"/>
  <c r="R274" i="1" s="1"/>
  <c r="M277" i="1"/>
  <c r="L277" i="1"/>
  <c r="N277" i="1" s="1"/>
  <c r="P275" i="1"/>
  <c r="Q275" i="1" s="1"/>
  <c r="R275" i="1" l="1" a="1"/>
  <c r="R275" i="1" s="1"/>
  <c r="L278" i="1"/>
  <c r="N278" i="1" s="1"/>
  <c r="P276" i="1"/>
  <c r="Q276" i="1" s="1"/>
  <c r="M278" i="1"/>
  <c r="R276" i="1" l="1" a="1"/>
  <c r="R276" i="1" s="1"/>
  <c r="M279" i="1"/>
  <c r="L279" i="1"/>
  <c r="N279" i="1" s="1"/>
  <c r="P277" i="1"/>
  <c r="Q277" i="1" s="1"/>
  <c r="R277" i="1" l="1" a="1"/>
  <c r="R277" i="1" s="1"/>
  <c r="P278" i="1"/>
  <c r="Q278" i="1" s="1"/>
  <c r="L280" i="1"/>
  <c r="N280" i="1" s="1"/>
  <c r="M280" i="1"/>
  <c r="R278" i="1" l="1" a="1"/>
  <c r="R278" i="1" s="1"/>
  <c r="M281" i="1"/>
  <c r="L281" i="1"/>
  <c r="N281" i="1" s="1"/>
  <c r="P279" i="1"/>
  <c r="Q279" i="1" s="1"/>
  <c r="R279" i="1" l="1" a="1"/>
  <c r="R279" i="1" s="1"/>
  <c r="P280" i="1"/>
  <c r="Q280" i="1" s="1"/>
  <c r="L282" i="1"/>
  <c r="N282" i="1" s="1"/>
  <c r="M282" i="1"/>
  <c r="R280" i="1" l="1" a="1"/>
  <c r="R280" i="1" s="1"/>
  <c r="M283" i="1"/>
  <c r="P281" i="1"/>
  <c r="Q281" i="1" s="1"/>
  <c r="L283" i="1"/>
  <c r="N283" i="1" s="1"/>
  <c r="R281" i="1" l="1" a="1"/>
  <c r="R281" i="1" s="1"/>
  <c r="L284" i="1"/>
  <c r="N284" i="1" s="1"/>
  <c r="P282" i="1"/>
  <c r="Q282" i="1" s="1"/>
  <c r="M284" i="1"/>
  <c r="R282" i="1" l="1" a="1"/>
  <c r="R282" i="1" s="1"/>
  <c r="P284" i="1"/>
  <c r="M285" i="1"/>
  <c r="P283" i="1"/>
  <c r="Q283" i="1" s="1"/>
  <c r="L285" i="1"/>
  <c r="N285" i="1" s="1"/>
  <c r="R283" i="1" l="1" a="1"/>
  <c r="R283" i="1" s="1"/>
  <c r="Q284" i="1"/>
  <c r="L286" i="1"/>
  <c r="N286" i="1" s="1"/>
  <c r="M286" i="1"/>
  <c r="R284" i="1" l="1" a="1"/>
  <c r="R284" i="1" s="1"/>
  <c r="M287" i="1"/>
  <c r="L287" i="1"/>
  <c r="N287" i="1" s="1"/>
  <c r="P285" i="1"/>
  <c r="Q285" i="1" s="1"/>
  <c r="R285" i="1" l="1" a="1"/>
  <c r="R285" i="1" s="1"/>
  <c r="P286" i="1"/>
  <c r="Q286" i="1" s="1"/>
  <c r="L288" i="1"/>
  <c r="N288" i="1" s="1"/>
  <c r="M288" i="1"/>
  <c r="R286" i="1" l="1" a="1"/>
  <c r="R286" i="1" s="1"/>
  <c r="M289" i="1"/>
  <c r="L289" i="1"/>
  <c r="N289" i="1" s="1"/>
  <c r="P287" i="1"/>
  <c r="Q287" i="1" s="1"/>
  <c r="R287" i="1" l="1" a="1"/>
  <c r="R287" i="1" s="1"/>
  <c r="P288" i="1"/>
  <c r="Q288" i="1" s="1"/>
  <c r="L290" i="1"/>
  <c r="N290" i="1" s="1"/>
  <c r="M290" i="1"/>
  <c r="R288" i="1" l="1" a="1"/>
  <c r="R288" i="1" s="1"/>
  <c r="M291" i="1"/>
  <c r="P289" i="1"/>
  <c r="Q289" i="1" s="1"/>
  <c r="L291" i="1"/>
  <c r="N291" i="1" s="1"/>
  <c r="R289" i="1" l="1" a="1"/>
  <c r="R289" i="1" s="1"/>
  <c r="L292" i="1"/>
  <c r="N292" i="1" s="1"/>
  <c r="P290" i="1"/>
  <c r="Q290" i="1" s="1"/>
  <c r="M292" i="1"/>
  <c r="R290" i="1" l="1" a="1"/>
  <c r="R290" i="1" s="1"/>
  <c r="M293" i="1"/>
  <c r="P291" i="1"/>
  <c r="Q291" i="1" s="1"/>
  <c r="L293" i="1"/>
  <c r="N293" i="1" s="1"/>
  <c r="R291" i="1" l="1" a="1"/>
  <c r="R291" i="1" s="1"/>
  <c r="L294" i="1"/>
  <c r="N294" i="1" s="1"/>
  <c r="P292" i="1"/>
  <c r="Q292" i="1" s="1"/>
  <c r="M294" i="1"/>
  <c r="R292" i="1" l="1" a="1"/>
  <c r="R292" i="1" s="1"/>
  <c r="L295" i="1"/>
  <c r="N295" i="1" s="1"/>
  <c r="M295" i="1"/>
  <c r="P293" i="1"/>
  <c r="Q293" i="1" s="1"/>
  <c r="R293" i="1" l="1" a="1"/>
  <c r="R293" i="1" s="1"/>
  <c r="M296" i="1"/>
  <c r="P294" i="1"/>
  <c r="Q294" i="1" s="1"/>
  <c r="L296" i="1"/>
  <c r="N296" i="1" s="1"/>
  <c r="R294" i="1" l="1" a="1"/>
  <c r="R294" i="1" s="1"/>
  <c r="L297" i="1"/>
  <c r="N297" i="1" s="1"/>
  <c r="P295" i="1"/>
  <c r="Q295" i="1" s="1"/>
  <c r="M297" i="1"/>
  <c r="R295" i="1" l="1" a="1"/>
  <c r="R295" i="1" s="1"/>
  <c r="M298" i="1"/>
  <c r="P296" i="1"/>
  <c r="Q296" i="1" s="1"/>
  <c r="L298" i="1"/>
  <c r="N298" i="1" s="1"/>
  <c r="R296" i="1" l="1" a="1"/>
  <c r="R296" i="1" s="1"/>
  <c r="P297" i="1"/>
  <c r="Q297" i="1" s="1"/>
  <c r="L299" i="1"/>
  <c r="N299" i="1" s="1"/>
  <c r="M299" i="1"/>
  <c r="R297" i="1" l="1" a="1"/>
  <c r="R297" i="1" s="1"/>
  <c r="M300" i="1"/>
  <c r="L300" i="1"/>
  <c r="N300" i="1" s="1"/>
  <c r="P298" i="1"/>
  <c r="Q298" i="1" s="1"/>
  <c r="R298" i="1" l="1" a="1"/>
  <c r="R298" i="1" s="1"/>
  <c r="P299" i="1"/>
  <c r="Q299" i="1" s="1"/>
  <c r="L301" i="1"/>
  <c r="N301" i="1" s="1"/>
  <c r="M301" i="1"/>
  <c r="R299" i="1" l="1" a="1"/>
  <c r="R299" i="1" s="1"/>
  <c r="M302" i="1"/>
  <c r="L302" i="1"/>
  <c r="N302" i="1" s="1"/>
  <c r="P300" i="1"/>
  <c r="Q300" i="1" s="1"/>
  <c r="R300" i="1" l="1" a="1"/>
  <c r="R300" i="1" s="1"/>
  <c r="L303" i="1"/>
  <c r="N303" i="1" s="1"/>
  <c r="P301" i="1"/>
  <c r="Q301" i="1" s="1"/>
  <c r="M303" i="1"/>
  <c r="R301" i="1" l="1" a="1"/>
  <c r="R301" i="1" s="1"/>
  <c r="M304" i="1"/>
  <c r="P302" i="1"/>
  <c r="Q302" i="1" s="1"/>
  <c r="L304" i="1"/>
  <c r="N304" i="1" s="1"/>
  <c r="R302" i="1" l="1" a="1"/>
  <c r="R302" i="1" s="1"/>
  <c r="L305" i="1"/>
  <c r="N305" i="1" s="1"/>
  <c r="P303" i="1"/>
  <c r="Q303" i="1" s="1"/>
  <c r="M305" i="1"/>
  <c r="R303" i="1" l="1" a="1"/>
  <c r="R303" i="1" s="1"/>
  <c r="M306" i="1"/>
  <c r="P304" i="1"/>
  <c r="Q304" i="1" s="1"/>
  <c r="L306" i="1"/>
  <c r="N306" i="1" s="1"/>
  <c r="R304" i="1" l="1" a="1"/>
  <c r="R304" i="1" s="1"/>
  <c r="P305" i="1"/>
  <c r="Q305" i="1" s="1"/>
  <c r="L307" i="1"/>
  <c r="N307" i="1" s="1"/>
  <c r="M307" i="1"/>
  <c r="R305" i="1" l="1" a="1"/>
  <c r="R305" i="1" s="1"/>
  <c r="M308" i="1"/>
  <c r="L308" i="1"/>
  <c r="N308" i="1" s="1"/>
  <c r="P306" i="1"/>
  <c r="Q306" i="1" s="1"/>
  <c r="R306" i="1" l="1" a="1"/>
  <c r="R306" i="1" s="1"/>
  <c r="P307" i="1"/>
  <c r="Q307" i="1" s="1"/>
  <c r="L309" i="1"/>
  <c r="N309" i="1" s="1"/>
  <c r="M309" i="1"/>
  <c r="R307" i="1" l="1" a="1"/>
  <c r="R307" i="1" s="1"/>
  <c r="M310" i="1"/>
  <c r="L310" i="1"/>
  <c r="N310" i="1" s="1"/>
  <c r="P308" i="1"/>
  <c r="Q308" i="1" s="1"/>
  <c r="R308" i="1" l="1" a="1"/>
  <c r="R308" i="1" s="1"/>
  <c r="P309" i="1"/>
  <c r="Q309" i="1" s="1"/>
  <c r="L311" i="1"/>
  <c r="N311" i="1" s="1"/>
  <c r="M311" i="1"/>
  <c r="R309" i="1" l="1" a="1"/>
  <c r="R309" i="1" s="1"/>
  <c r="M312" i="1"/>
  <c r="P310" i="1"/>
  <c r="L312" i="1"/>
  <c r="N312" i="1" s="1"/>
  <c r="Q310" i="1"/>
  <c r="R310" i="1" l="1" a="1"/>
  <c r="R310" i="1" s="1"/>
  <c r="P311" i="1"/>
  <c r="Q311" i="1" s="1"/>
  <c r="L313" i="1"/>
  <c r="N313" i="1" s="1"/>
  <c r="M313" i="1"/>
  <c r="R311" i="1" l="1" a="1"/>
  <c r="R311" i="1" s="1"/>
  <c r="M314" i="1"/>
  <c r="P312" i="1"/>
  <c r="L314" i="1"/>
  <c r="N314" i="1" s="1"/>
  <c r="Q312" i="1"/>
  <c r="R312" i="1" l="1" a="1"/>
  <c r="R312" i="1" s="1"/>
  <c r="P313" i="1"/>
  <c r="Q313" i="1" s="1"/>
  <c r="L315" i="1"/>
  <c r="N315" i="1" s="1"/>
  <c r="M315" i="1"/>
  <c r="R313" i="1" l="1" a="1"/>
  <c r="R313" i="1" s="1"/>
  <c r="M316" i="1"/>
  <c r="L316" i="1"/>
  <c r="N316" i="1" s="1"/>
  <c r="P314" i="1"/>
  <c r="Q314" i="1" s="1"/>
  <c r="R314" i="1" l="1" a="1"/>
  <c r="R314" i="1" s="1"/>
  <c r="P315" i="1"/>
  <c r="Q315" i="1" s="1"/>
  <c r="L317" i="1"/>
  <c r="N317" i="1" s="1"/>
  <c r="M317" i="1"/>
  <c r="R315" i="1" l="1" a="1"/>
  <c r="R315" i="1" s="1"/>
  <c r="M318" i="1"/>
  <c r="L318" i="1"/>
  <c r="N318" i="1" s="1"/>
  <c r="P316" i="1"/>
  <c r="Q316" i="1" s="1"/>
  <c r="R316" i="1" l="1" a="1"/>
  <c r="R316" i="1" s="1"/>
  <c r="P317" i="1"/>
  <c r="Q317" i="1"/>
  <c r="L319" i="1"/>
  <c r="N319" i="1" s="1"/>
  <c r="M319" i="1"/>
  <c r="R317" i="1" l="1" a="1"/>
  <c r="R317" i="1" s="1"/>
  <c r="M320" i="1"/>
  <c r="P318" i="1"/>
  <c r="L320" i="1"/>
  <c r="N320" i="1" s="1"/>
  <c r="Q318" i="1"/>
  <c r="R318" i="1" l="1" a="1"/>
  <c r="R318" i="1" s="1"/>
  <c r="P319" i="1"/>
  <c r="L321" i="1"/>
  <c r="N321" i="1" s="1"/>
  <c r="Q319" i="1"/>
  <c r="M321" i="1"/>
  <c r="R319" i="1" l="1" a="1"/>
  <c r="R319" i="1" s="1"/>
  <c r="M322" i="1"/>
  <c r="P320" i="1"/>
  <c r="Q320" i="1"/>
  <c r="L322" i="1"/>
  <c r="N322" i="1" s="1"/>
  <c r="R320" i="1" l="1" a="1"/>
  <c r="R320" i="1" s="1"/>
  <c r="P321" i="1"/>
  <c r="L323" i="1"/>
  <c r="N323" i="1" s="1"/>
  <c r="Q321" i="1"/>
  <c r="M323" i="1"/>
  <c r="R321" i="1" l="1" a="1"/>
  <c r="R321" i="1" s="1"/>
  <c r="M324" i="1"/>
  <c r="L324" i="1"/>
  <c r="N324" i="1" s="1"/>
  <c r="P322" i="1"/>
  <c r="Q322" i="1" s="1"/>
  <c r="R322" i="1" l="1" a="1"/>
  <c r="R322" i="1" s="1"/>
  <c r="P323" i="1"/>
  <c r="Q323" i="1" s="1"/>
  <c r="L325" i="1"/>
  <c r="N325" i="1" s="1"/>
  <c r="M325" i="1"/>
  <c r="R323" i="1" l="1" a="1"/>
  <c r="R323" i="1" s="1"/>
  <c r="M326" i="1"/>
  <c r="L326" i="1"/>
  <c r="N326" i="1" s="1"/>
  <c r="P324" i="1"/>
  <c r="Q324" i="1" s="1"/>
  <c r="R324" i="1" l="1" a="1"/>
  <c r="R324" i="1" s="1"/>
  <c r="L327" i="1"/>
  <c r="N327" i="1" s="1"/>
  <c r="P325" i="1"/>
  <c r="Q325" i="1" s="1"/>
  <c r="M327" i="1"/>
  <c r="R325" i="1" l="1" a="1"/>
  <c r="R325" i="1" s="1"/>
  <c r="M328" i="1"/>
  <c r="P326" i="1"/>
  <c r="Q326" i="1" s="1"/>
  <c r="L328" i="1"/>
  <c r="N328" i="1" s="1"/>
  <c r="R326" i="1" l="1" a="1"/>
  <c r="R326" i="1" s="1"/>
  <c r="L329" i="1"/>
  <c r="N329" i="1" s="1"/>
  <c r="P327" i="1"/>
  <c r="Q327" i="1" s="1"/>
  <c r="M329" i="1"/>
  <c r="R327" i="1" l="1" a="1"/>
  <c r="R327" i="1" s="1"/>
  <c r="M330" i="1"/>
  <c r="P328" i="1"/>
  <c r="Q328" i="1" s="1"/>
  <c r="L330" i="1"/>
  <c r="N330" i="1" s="1"/>
  <c r="R328" i="1" l="1" a="1"/>
  <c r="R328" i="1" s="1"/>
  <c r="P329" i="1"/>
  <c r="Q329" i="1" s="1"/>
  <c r="L331" i="1"/>
  <c r="N331" i="1" s="1"/>
  <c r="M331" i="1"/>
  <c r="R329" i="1" l="1" a="1"/>
  <c r="R329" i="1" s="1"/>
  <c r="L332" i="1"/>
  <c r="N332" i="1" s="1"/>
  <c r="M332" i="1"/>
  <c r="P330" i="1"/>
  <c r="Q330" i="1" s="1"/>
  <c r="R330" i="1" l="1" a="1"/>
  <c r="R330" i="1" s="1"/>
  <c r="M333" i="1"/>
  <c r="P331" i="1"/>
  <c r="Q331" i="1" s="1"/>
  <c r="L333" i="1"/>
  <c r="N333" i="1" s="1"/>
  <c r="R331" i="1" l="1" a="1"/>
  <c r="R331" i="1" s="1"/>
  <c r="L334" i="1"/>
  <c r="N334" i="1" s="1"/>
  <c r="P332" i="1"/>
  <c r="Q332" i="1" s="1"/>
  <c r="M334" i="1"/>
  <c r="R332" i="1" l="1" a="1"/>
  <c r="R332" i="1" s="1"/>
  <c r="L335" i="1"/>
  <c r="N335" i="1" s="1"/>
  <c r="M335" i="1"/>
  <c r="P333" i="1"/>
  <c r="Q333" i="1" s="1"/>
  <c r="R333" i="1" l="1" a="1"/>
  <c r="R333" i="1" s="1"/>
  <c r="M336" i="1"/>
  <c r="P334" i="1"/>
  <c r="Q334" i="1" s="1"/>
  <c r="L336" i="1"/>
  <c r="N336" i="1" s="1"/>
  <c r="R334" i="1" l="1" a="1"/>
  <c r="R334" i="1" s="1"/>
  <c r="L337" i="1"/>
  <c r="N337" i="1" s="1"/>
  <c r="P335" i="1"/>
  <c r="Q335" i="1" s="1"/>
  <c r="M337" i="1"/>
  <c r="R335" i="1" l="1" a="1"/>
  <c r="R335" i="1" s="1"/>
  <c r="M338" i="1"/>
  <c r="P336" i="1"/>
  <c r="Q336" i="1" s="1"/>
  <c r="L338" i="1"/>
  <c r="N338" i="1" s="1"/>
  <c r="R336" i="1" l="1" a="1"/>
  <c r="R336" i="1" s="1"/>
  <c r="P337" i="1"/>
  <c r="Q337" i="1" s="1"/>
  <c r="M339" i="1"/>
  <c r="L339" i="1"/>
  <c r="N339" i="1" s="1"/>
  <c r="R337" i="1" l="1" a="1"/>
  <c r="R337" i="1" s="1"/>
  <c r="L340" i="1"/>
  <c r="N340" i="1" s="1"/>
  <c r="P338" i="1"/>
  <c r="Q338" i="1" s="1"/>
  <c r="M340" i="1"/>
  <c r="R338" i="1" l="1" a="1"/>
  <c r="R338" i="1" s="1"/>
  <c r="M341" i="1"/>
  <c r="P339" i="1"/>
  <c r="Q339" i="1" s="1"/>
  <c r="L341" i="1"/>
  <c r="N341" i="1" s="1"/>
  <c r="R339" i="1" l="1" a="1"/>
  <c r="R339" i="1" s="1"/>
  <c r="L342" i="1"/>
  <c r="N342" i="1" s="1"/>
  <c r="M342" i="1"/>
  <c r="P340" i="1"/>
  <c r="Q340" i="1" s="1"/>
  <c r="R340" i="1" l="1" a="1"/>
  <c r="R340" i="1" s="1"/>
  <c r="M343" i="1"/>
  <c r="L343" i="1"/>
  <c r="N343" i="1" s="1"/>
  <c r="P341" i="1"/>
  <c r="Q341" i="1" s="1"/>
  <c r="R341" i="1" l="1" a="1"/>
  <c r="R341" i="1" s="1"/>
  <c r="P342" i="1"/>
  <c r="Q342" i="1" s="1"/>
  <c r="L344" i="1"/>
  <c r="N344" i="1" s="1"/>
  <c r="M344" i="1"/>
  <c r="R342" i="1" l="1" a="1"/>
  <c r="R342" i="1" s="1"/>
  <c r="M345" i="1"/>
  <c r="L345" i="1"/>
  <c r="N345" i="1" s="1"/>
  <c r="P343" i="1"/>
  <c r="Q343" i="1" s="1"/>
  <c r="R343" i="1" l="1" a="1"/>
  <c r="R343" i="1" s="1"/>
  <c r="P344" i="1"/>
  <c r="Q344" i="1" s="1"/>
  <c r="L346" i="1"/>
  <c r="N346" i="1" s="1"/>
  <c r="M346" i="1"/>
  <c r="R344" i="1" l="1" a="1"/>
  <c r="R344" i="1" s="1"/>
  <c r="M347" i="1"/>
  <c r="P345" i="1"/>
  <c r="Q345" i="1" s="1"/>
  <c r="L347" i="1"/>
  <c r="N347" i="1" s="1"/>
  <c r="R345" i="1" l="1" a="1"/>
  <c r="R345" i="1" s="1"/>
  <c r="L348" i="1"/>
  <c r="N348" i="1" s="1"/>
  <c r="P346" i="1"/>
  <c r="Q346" i="1" s="1"/>
  <c r="M348" i="1"/>
  <c r="R346" i="1" l="1" a="1"/>
  <c r="R346" i="1" s="1"/>
  <c r="M349" i="1"/>
  <c r="P347" i="1"/>
  <c r="Q347" i="1" s="1"/>
  <c r="L349" i="1"/>
  <c r="N349" i="1" s="1"/>
  <c r="R347" i="1" l="1" a="1"/>
  <c r="R347" i="1" s="1"/>
  <c r="L350" i="1"/>
  <c r="N350" i="1" s="1"/>
  <c r="P348" i="1"/>
  <c r="Q348" i="1" s="1"/>
  <c r="M350" i="1"/>
  <c r="R348" i="1" l="1" a="1"/>
  <c r="R348" i="1" s="1"/>
  <c r="M351" i="1"/>
  <c r="L351" i="1"/>
  <c r="N351" i="1" s="1"/>
  <c r="P349" i="1"/>
  <c r="Q349" i="1" s="1"/>
  <c r="R349" i="1" l="1" a="1"/>
  <c r="R349" i="1" s="1"/>
  <c r="P350" i="1"/>
  <c r="Q350" i="1" s="1"/>
  <c r="L352" i="1"/>
  <c r="N352" i="1" s="1"/>
  <c r="M352" i="1"/>
  <c r="R350" i="1" l="1" a="1"/>
  <c r="R350" i="1" s="1"/>
  <c r="M353" i="1"/>
  <c r="L353" i="1"/>
  <c r="N353" i="1" s="1"/>
  <c r="P351" i="1"/>
  <c r="Q351" i="1" s="1"/>
  <c r="R351" i="1" l="1" a="1"/>
  <c r="R351" i="1" s="1"/>
  <c r="P352" i="1"/>
  <c r="Q352" i="1" s="1"/>
  <c r="L354" i="1"/>
  <c r="N354" i="1" s="1"/>
  <c r="M354" i="1"/>
  <c r="R352" i="1" l="1" a="1"/>
  <c r="R352" i="1" s="1"/>
  <c r="M355" i="1"/>
  <c r="P353" i="1"/>
  <c r="Q353" i="1" s="1"/>
  <c r="L355" i="1"/>
  <c r="N355" i="1" s="1"/>
  <c r="R353" i="1" l="1" a="1"/>
  <c r="R353" i="1" s="1"/>
  <c r="L356" i="1"/>
  <c r="N356" i="1" s="1"/>
  <c r="P354" i="1"/>
  <c r="Q354" i="1" s="1"/>
  <c r="M356" i="1"/>
  <c r="R354" i="1" l="1" a="1"/>
  <c r="R354" i="1" s="1"/>
  <c r="M357" i="1"/>
  <c r="P355" i="1"/>
  <c r="Q355" i="1" s="1"/>
  <c r="L357" i="1"/>
  <c r="N357" i="1" s="1"/>
  <c r="R355" i="1" l="1" a="1"/>
  <c r="R355" i="1" s="1"/>
  <c r="L358" i="1"/>
  <c r="N358" i="1" s="1"/>
  <c r="P356" i="1"/>
  <c r="Q356" i="1" s="1"/>
  <c r="M358" i="1"/>
  <c r="R356" i="1" l="1" a="1"/>
  <c r="R356" i="1" s="1"/>
  <c r="M359" i="1"/>
  <c r="L359" i="1"/>
  <c r="N359" i="1" s="1"/>
  <c r="P357" i="1"/>
  <c r="Q357" i="1" s="1"/>
  <c r="R357" i="1" l="1" a="1"/>
  <c r="R357" i="1" s="1"/>
  <c r="P358" i="1"/>
  <c r="Q358" i="1" s="1"/>
  <c r="L360" i="1"/>
  <c r="N360" i="1" s="1"/>
  <c r="M360" i="1"/>
  <c r="R358" i="1" l="1" a="1"/>
  <c r="R358" i="1" s="1"/>
  <c r="M361" i="1"/>
  <c r="L361" i="1"/>
  <c r="N361" i="1" s="1"/>
  <c r="P359" i="1"/>
  <c r="Q359" i="1" s="1"/>
  <c r="R359" i="1" l="1" a="1"/>
  <c r="R359" i="1" s="1"/>
  <c r="P360" i="1"/>
  <c r="Q360" i="1" s="1"/>
  <c r="L362" i="1"/>
  <c r="N362" i="1" s="1"/>
  <c r="M362" i="1"/>
  <c r="R360" i="1" l="1" a="1"/>
  <c r="R360" i="1" s="1"/>
  <c r="M363" i="1"/>
  <c r="P361" i="1"/>
  <c r="Q361" i="1" s="1"/>
  <c r="L363" i="1"/>
  <c r="N363" i="1" s="1"/>
  <c r="R361" i="1" l="1" a="1"/>
  <c r="R361" i="1" s="1"/>
  <c r="P362" i="1"/>
  <c r="Q362" i="1"/>
  <c r="L364" i="1"/>
  <c r="N364" i="1" s="1"/>
  <c r="M364" i="1"/>
  <c r="R362" i="1" l="1" a="1"/>
  <c r="R362" i="1" s="1"/>
  <c r="M365" i="1"/>
  <c r="P363" i="1"/>
  <c r="L365" i="1"/>
  <c r="N365" i="1" s="1"/>
  <c r="Q363" i="1"/>
  <c r="R363" i="1" l="1" a="1"/>
  <c r="R363" i="1" s="1"/>
  <c r="P364" i="1"/>
  <c r="Q364" i="1" s="1"/>
  <c r="L366" i="1"/>
  <c r="N366" i="1" s="1"/>
  <c r="M366" i="1"/>
  <c r="R364" i="1" l="1" a="1"/>
  <c r="R364" i="1" s="1"/>
  <c r="M367" i="1"/>
  <c r="L367" i="1"/>
  <c r="N367" i="1" s="1"/>
  <c r="P365" i="1"/>
  <c r="Q365" i="1"/>
  <c r="R365" i="1" l="1" a="1"/>
  <c r="R365" i="1" s="1"/>
  <c r="P366" i="1"/>
  <c r="Q366" i="1" s="1"/>
  <c r="L368" i="1"/>
  <c r="N368" i="1" s="1"/>
  <c r="M368" i="1"/>
  <c r="R366" i="1" l="1" a="1"/>
  <c r="R366" i="1" s="1"/>
  <c r="M369" i="1"/>
  <c r="L369" i="1"/>
  <c r="N369" i="1" s="1"/>
  <c r="P367" i="1"/>
  <c r="Q367" i="1" s="1"/>
  <c r="R367" i="1" l="1" a="1"/>
  <c r="R367" i="1" s="1"/>
  <c r="P368" i="1"/>
  <c r="Q368" i="1" s="1"/>
  <c r="L370" i="1"/>
  <c r="N370" i="1" s="1"/>
  <c r="M370" i="1"/>
  <c r="R368" i="1" l="1" a="1"/>
  <c r="R368" i="1" s="1"/>
  <c r="M371" i="1"/>
  <c r="P369" i="1"/>
  <c r="Q369" i="1" s="1"/>
  <c r="L371" i="1"/>
  <c r="N371" i="1" s="1"/>
  <c r="R369" i="1" l="1" a="1"/>
  <c r="R369" i="1" s="1"/>
  <c r="L372" i="1"/>
  <c r="N372" i="1" s="1"/>
  <c r="P370" i="1"/>
  <c r="Q370" i="1" s="1"/>
  <c r="M372" i="1"/>
  <c r="R370" i="1" l="1" a="1"/>
  <c r="R370" i="1" s="1"/>
  <c r="M373" i="1"/>
  <c r="P371" i="1"/>
  <c r="Q371" i="1" s="1"/>
  <c r="L373" i="1"/>
  <c r="N373" i="1" s="1"/>
  <c r="R371" i="1" l="1" a="1"/>
  <c r="R371" i="1" s="1"/>
  <c r="L374" i="1"/>
  <c r="N374" i="1" s="1"/>
  <c r="P372" i="1"/>
  <c r="Q372" i="1" s="1"/>
  <c r="M374" i="1"/>
  <c r="R372" i="1" l="1" a="1"/>
  <c r="R372" i="1" s="1"/>
  <c r="M375" i="1"/>
  <c r="L375" i="1"/>
  <c r="N375" i="1" s="1"/>
  <c r="P373" i="1"/>
  <c r="Q373" i="1" s="1"/>
  <c r="R373" i="1" l="1" a="1"/>
  <c r="R373" i="1" s="1"/>
  <c r="P374" i="1"/>
  <c r="Q374" i="1" s="1"/>
  <c r="L376" i="1"/>
  <c r="N376" i="1" s="1"/>
  <c r="M376" i="1"/>
  <c r="R374" i="1" l="1" a="1"/>
  <c r="R374" i="1" s="1"/>
  <c r="M377" i="1"/>
  <c r="L377" i="1"/>
  <c r="N377" i="1" s="1"/>
  <c r="P375" i="1"/>
  <c r="Q375" i="1" s="1"/>
  <c r="R375" i="1" l="1" a="1"/>
  <c r="R375" i="1" s="1"/>
  <c r="P376" i="1"/>
  <c r="Q376" i="1" s="1"/>
  <c r="L378" i="1"/>
  <c r="N378" i="1" s="1"/>
  <c r="M378" i="1"/>
  <c r="R376" i="1" l="1" a="1"/>
  <c r="R376" i="1" s="1"/>
  <c r="M379" i="1"/>
  <c r="P377" i="1"/>
  <c r="L379" i="1"/>
  <c r="N379" i="1" s="1"/>
  <c r="Q377" i="1"/>
  <c r="R377" i="1" l="1" a="1"/>
  <c r="R377" i="1" s="1"/>
  <c r="L380" i="1"/>
  <c r="N380" i="1" s="1"/>
  <c r="P378" i="1"/>
  <c r="Q378" i="1" s="1"/>
  <c r="M380" i="1"/>
  <c r="R378" i="1" l="1" a="1"/>
  <c r="R378" i="1" s="1"/>
  <c r="M381" i="1"/>
  <c r="P379" i="1"/>
  <c r="Q379" i="1" s="1"/>
  <c r="L381" i="1"/>
  <c r="N381" i="1" s="1"/>
  <c r="R379" i="1" l="1" a="1"/>
  <c r="R379" i="1" s="1"/>
  <c r="L382" i="1"/>
  <c r="N382" i="1" s="1"/>
  <c r="P380" i="1"/>
  <c r="Q380" i="1" s="1"/>
  <c r="M382" i="1"/>
  <c r="R380" i="1" l="1" a="1"/>
  <c r="R380" i="1" s="1"/>
  <c r="M383" i="1"/>
  <c r="L383" i="1"/>
  <c r="N383" i="1" s="1"/>
  <c r="P381" i="1"/>
  <c r="Q381" i="1" s="1"/>
  <c r="R381" i="1" l="1" a="1"/>
  <c r="R381" i="1" s="1"/>
  <c r="P382" i="1"/>
  <c r="Q382" i="1" s="1"/>
  <c r="L384" i="1"/>
  <c r="N384" i="1" s="1"/>
  <c r="M384" i="1"/>
  <c r="R382" i="1" l="1" a="1"/>
  <c r="R382" i="1" s="1"/>
  <c r="L385" i="1"/>
  <c r="N385" i="1" s="1"/>
  <c r="M385" i="1"/>
  <c r="P383" i="1"/>
  <c r="Q383" i="1" s="1"/>
  <c r="R383" i="1" l="1" a="1"/>
  <c r="R383" i="1" s="1"/>
  <c r="M386" i="1"/>
  <c r="P384" i="1"/>
  <c r="Q384" i="1" s="1"/>
  <c r="L386" i="1"/>
  <c r="N386" i="1" s="1"/>
  <c r="R384" i="1" l="1" a="1"/>
  <c r="R384" i="1" s="1"/>
  <c r="P385" i="1"/>
  <c r="Q385" i="1" s="1"/>
  <c r="L387" i="1"/>
  <c r="N387" i="1" s="1"/>
  <c r="M387" i="1"/>
  <c r="R385" i="1" l="1" a="1"/>
  <c r="R385" i="1" s="1"/>
  <c r="M388" i="1"/>
  <c r="L388" i="1"/>
  <c r="N388" i="1" s="1"/>
  <c r="P386" i="1"/>
  <c r="Q386" i="1" s="1"/>
  <c r="R386" i="1" l="1" a="1"/>
  <c r="R386" i="1" s="1"/>
  <c r="P387" i="1"/>
  <c r="Q387" i="1" s="1"/>
  <c r="L389" i="1"/>
  <c r="N389" i="1" s="1"/>
  <c r="M389" i="1"/>
  <c r="R387" i="1" l="1" a="1"/>
  <c r="R387" i="1" s="1"/>
  <c r="M390" i="1"/>
  <c r="L390" i="1"/>
  <c r="N390" i="1" s="1"/>
  <c r="P388" i="1"/>
  <c r="Q388" i="1" s="1"/>
  <c r="R388" i="1" l="1" a="1"/>
  <c r="R388" i="1" s="1"/>
  <c r="L391" i="1"/>
  <c r="N391" i="1" s="1"/>
  <c r="P389" i="1"/>
  <c r="Q389" i="1" s="1"/>
  <c r="M391" i="1"/>
  <c r="R389" i="1" l="1" a="1"/>
  <c r="R389" i="1" s="1"/>
  <c r="M392" i="1"/>
  <c r="P390" i="1"/>
  <c r="Q390" i="1" s="1"/>
  <c r="L392" i="1"/>
  <c r="N392" i="1" s="1"/>
  <c r="R390" i="1" l="1" a="1"/>
  <c r="R390" i="1" s="1"/>
  <c r="P391" i="1"/>
  <c r="Q391" i="1"/>
  <c r="L393" i="1"/>
  <c r="N393" i="1" s="1"/>
  <c r="M393" i="1"/>
  <c r="R391" i="1" l="1" a="1"/>
  <c r="R391" i="1" s="1"/>
  <c r="M394" i="1"/>
  <c r="P392" i="1"/>
  <c r="L394" i="1"/>
  <c r="N394" i="1" s="1"/>
  <c r="Q392" i="1"/>
  <c r="R392" i="1" l="1" a="1"/>
  <c r="R392" i="1" s="1"/>
  <c r="P393" i="1"/>
  <c r="Q393" i="1" s="1"/>
  <c r="L395" i="1"/>
  <c r="N395" i="1" s="1"/>
  <c r="M395" i="1"/>
  <c r="R393" i="1" l="1" a="1"/>
  <c r="R393" i="1" s="1"/>
  <c r="M396" i="1"/>
  <c r="L396" i="1"/>
  <c r="N396" i="1" s="1"/>
  <c r="P394" i="1"/>
  <c r="Q394" i="1" s="1"/>
  <c r="R394" i="1" l="1" a="1"/>
  <c r="R394" i="1" s="1"/>
  <c r="P395" i="1"/>
  <c r="Q395" i="1" s="1"/>
  <c r="L397" i="1"/>
  <c r="N397" i="1" s="1"/>
  <c r="M397" i="1"/>
  <c r="R395" i="1" l="1" a="1"/>
  <c r="R395" i="1" s="1"/>
  <c r="M398" i="1"/>
  <c r="L398" i="1"/>
  <c r="N398" i="1" s="1"/>
  <c r="P396" i="1"/>
  <c r="Q396" i="1" s="1"/>
  <c r="R396" i="1" l="1" a="1"/>
  <c r="R396" i="1" s="1"/>
  <c r="L399" i="1"/>
  <c r="N399" i="1" s="1"/>
  <c r="P397" i="1"/>
  <c r="Q397" i="1" s="1"/>
  <c r="M399" i="1"/>
  <c r="R397" i="1" l="1" a="1"/>
  <c r="R397" i="1" s="1"/>
  <c r="M400" i="1"/>
  <c r="P398" i="1"/>
  <c r="Q398" i="1" s="1"/>
  <c r="L400" i="1"/>
  <c r="N400" i="1" s="1"/>
  <c r="R398" i="1" l="1" a="1"/>
  <c r="R398" i="1" s="1"/>
  <c r="L401" i="1"/>
  <c r="N401" i="1" s="1"/>
  <c r="P399" i="1"/>
  <c r="Q399" i="1" s="1"/>
  <c r="M401" i="1"/>
  <c r="R399" i="1" l="1" a="1"/>
  <c r="R399" i="1" s="1"/>
  <c r="P400" i="1"/>
  <c r="Q400" i="1" s="1"/>
  <c r="M402" i="1"/>
  <c r="L402" i="1"/>
  <c r="N402" i="1" s="1"/>
  <c r="R400" i="1" l="1" a="1"/>
  <c r="R400" i="1" s="1"/>
  <c r="P401" i="1"/>
  <c r="Q401" i="1" s="1"/>
  <c r="L403" i="1"/>
  <c r="N403" i="1" s="1"/>
  <c r="M403" i="1"/>
  <c r="R401" i="1" l="1" a="1"/>
  <c r="R401" i="1" s="1"/>
  <c r="L404" i="1"/>
  <c r="N404" i="1" s="1"/>
  <c r="M404" i="1"/>
  <c r="P402" i="1"/>
  <c r="Q402" i="1" s="1"/>
  <c r="R402" i="1" l="1" a="1"/>
  <c r="R402" i="1" s="1"/>
  <c r="M405" i="1"/>
  <c r="P403" i="1"/>
  <c r="Q403" i="1" s="1"/>
  <c r="L405" i="1"/>
  <c r="N405" i="1" s="1"/>
  <c r="R403" i="1" l="1" a="1"/>
  <c r="R403" i="1" s="1"/>
  <c r="L406" i="1"/>
  <c r="N406" i="1" s="1"/>
  <c r="P404" i="1"/>
  <c r="Q404" i="1" s="1"/>
  <c r="M406" i="1"/>
  <c r="R404" i="1" l="1" a="1"/>
  <c r="R404" i="1" s="1"/>
  <c r="M407" i="1"/>
  <c r="L407" i="1"/>
  <c r="N407" i="1" s="1"/>
  <c r="P405" i="1"/>
  <c r="Q405" i="1" s="1"/>
  <c r="R405" i="1" l="1" a="1"/>
  <c r="R405" i="1" s="1"/>
  <c r="P406" i="1"/>
  <c r="Q406" i="1" s="1"/>
  <c r="L408" i="1"/>
  <c r="N408" i="1" s="1"/>
  <c r="M408" i="1"/>
  <c r="R406" i="1" l="1" a="1"/>
  <c r="R406" i="1" s="1"/>
  <c r="M409" i="1"/>
  <c r="P407" i="1"/>
  <c r="Q407" i="1" s="1"/>
  <c r="L409" i="1"/>
  <c r="N409" i="1" s="1"/>
  <c r="R407" i="1" l="1" a="1"/>
  <c r="R407" i="1" s="1"/>
  <c r="P408" i="1"/>
  <c r="Q408" i="1" s="1"/>
  <c r="L410" i="1"/>
  <c r="N410" i="1" s="1"/>
  <c r="M410" i="1"/>
  <c r="R408" i="1" l="1" a="1"/>
  <c r="R408" i="1" s="1"/>
  <c r="M411" i="1"/>
  <c r="P409" i="1"/>
  <c r="Q409" i="1" s="1"/>
  <c r="L411" i="1"/>
  <c r="N411" i="1" s="1"/>
  <c r="R409" i="1" l="1" a="1"/>
  <c r="R409" i="1" s="1"/>
  <c r="L412" i="1"/>
  <c r="N412" i="1" s="1"/>
  <c r="P410" i="1"/>
  <c r="Q410" i="1" s="1"/>
  <c r="M412" i="1"/>
  <c r="R410" i="1" l="1" a="1"/>
  <c r="R410" i="1" s="1"/>
  <c r="M413" i="1"/>
  <c r="P411" i="1"/>
  <c r="Q411" i="1" s="1"/>
  <c r="L413" i="1"/>
  <c r="N413" i="1" s="1"/>
  <c r="R411" i="1" l="1" a="1"/>
  <c r="R411" i="1" s="1"/>
  <c r="L414" i="1"/>
  <c r="N414" i="1" s="1"/>
  <c r="P412" i="1"/>
  <c r="Q412" i="1" s="1"/>
  <c r="M414" i="1"/>
  <c r="R412" i="1" l="1" a="1"/>
  <c r="R412" i="1" s="1"/>
  <c r="L415" i="1"/>
  <c r="N415" i="1" s="1"/>
  <c r="M415" i="1"/>
  <c r="P413" i="1"/>
  <c r="Q413" i="1" s="1"/>
  <c r="R413" i="1" l="1" a="1"/>
  <c r="R413" i="1" s="1"/>
  <c r="M416" i="1"/>
  <c r="P414" i="1"/>
  <c r="Q414" i="1" s="1"/>
  <c r="L416" i="1"/>
  <c r="N416" i="1" s="1"/>
  <c r="R414" i="1" l="1" a="1"/>
  <c r="R414" i="1" s="1"/>
  <c r="L417" i="1"/>
  <c r="N417" i="1" s="1"/>
  <c r="P415" i="1"/>
  <c r="Q415" i="1" s="1"/>
  <c r="M417" i="1"/>
  <c r="R415" i="1" l="1" a="1"/>
  <c r="R415" i="1" s="1"/>
  <c r="M418" i="1"/>
  <c r="P416" i="1"/>
  <c r="Q416" i="1" s="1"/>
  <c r="L418" i="1"/>
  <c r="N418" i="1" s="1"/>
  <c r="R416" i="1" l="1" a="1"/>
  <c r="R416" i="1" s="1"/>
  <c r="P417" i="1"/>
  <c r="Q417" i="1" s="1"/>
  <c r="L419" i="1"/>
  <c r="N419" i="1" s="1"/>
  <c r="M419" i="1"/>
  <c r="R417" i="1" l="1" a="1"/>
  <c r="R417" i="1" s="1"/>
  <c r="M420" i="1"/>
  <c r="L420" i="1"/>
  <c r="N420" i="1" s="1"/>
  <c r="P418" i="1"/>
  <c r="Q418" i="1" s="1"/>
  <c r="R418" i="1" l="1" a="1"/>
  <c r="R418" i="1" s="1"/>
  <c r="P419" i="1"/>
  <c r="Q419" i="1" s="1"/>
  <c r="L421" i="1"/>
  <c r="N421" i="1" s="1"/>
  <c r="M421" i="1"/>
  <c r="R419" i="1" l="1" a="1"/>
  <c r="R419" i="1" s="1"/>
  <c r="M422" i="1"/>
  <c r="L422" i="1"/>
  <c r="N422" i="1" s="1"/>
  <c r="P420" i="1"/>
  <c r="Q420" i="1" s="1"/>
  <c r="R420" i="1" l="1" a="1"/>
  <c r="R420" i="1" s="1"/>
  <c r="L423" i="1"/>
  <c r="N423" i="1" s="1"/>
  <c r="P421" i="1"/>
  <c r="Q421" i="1" s="1"/>
  <c r="M423" i="1"/>
  <c r="R421" i="1" l="1" a="1"/>
  <c r="R421" i="1" s="1"/>
  <c r="M424" i="1"/>
  <c r="L424" i="1"/>
  <c r="N424" i="1" s="1"/>
  <c r="P422" i="1"/>
  <c r="Q422" i="1" s="1"/>
  <c r="R422" i="1" l="1" a="1"/>
  <c r="R422" i="1" s="1"/>
  <c r="L425" i="1"/>
  <c r="N425" i="1" s="1"/>
  <c r="P423" i="1"/>
  <c r="Q423" i="1" s="1"/>
  <c r="M425" i="1"/>
  <c r="R423" i="1" l="1" a="1"/>
  <c r="R423" i="1" s="1"/>
  <c r="M426" i="1"/>
  <c r="P424" i="1"/>
  <c r="Q424" i="1" s="1"/>
  <c r="L426" i="1"/>
  <c r="N426" i="1" s="1"/>
  <c r="R424" i="1" l="1" a="1"/>
  <c r="R424" i="1" s="1"/>
  <c r="P425" i="1"/>
  <c r="Q425" i="1" s="1"/>
  <c r="L427" i="1"/>
  <c r="N427" i="1" s="1"/>
  <c r="M427" i="1"/>
  <c r="R425" i="1" l="1" a="1"/>
  <c r="R425" i="1" s="1"/>
  <c r="M428" i="1"/>
  <c r="L428" i="1"/>
  <c r="N428" i="1" s="1"/>
  <c r="P426" i="1"/>
  <c r="Q426" i="1" s="1"/>
  <c r="R426" i="1" l="1" a="1"/>
  <c r="R426" i="1" s="1"/>
  <c r="P427" i="1"/>
  <c r="Q427" i="1"/>
  <c r="L429" i="1"/>
  <c r="N429" i="1" s="1"/>
  <c r="M429" i="1"/>
  <c r="R427" i="1" l="1" a="1"/>
  <c r="R427" i="1" s="1"/>
  <c r="M430" i="1"/>
  <c r="L430" i="1"/>
  <c r="N430" i="1" s="1"/>
  <c r="P428" i="1"/>
  <c r="Q428" i="1" s="1"/>
  <c r="R428" i="1" l="1" a="1"/>
  <c r="R428" i="1" s="1"/>
  <c r="P429" i="1"/>
  <c r="Q429" i="1"/>
  <c r="L431" i="1"/>
  <c r="N431" i="1" s="1"/>
  <c r="M431" i="1"/>
  <c r="R429" i="1" l="1" a="1"/>
  <c r="R429" i="1" s="1"/>
  <c r="M432" i="1"/>
  <c r="P430" i="1"/>
  <c r="L432" i="1"/>
  <c r="N432" i="1" s="1"/>
  <c r="Q430" i="1"/>
  <c r="R430" i="1" l="1" a="1"/>
  <c r="R430" i="1" s="1"/>
  <c r="P431" i="1"/>
  <c r="L433" i="1"/>
  <c r="N433" i="1" s="1"/>
  <c r="Q431" i="1"/>
  <c r="M433" i="1"/>
  <c r="R431" i="1" l="1" a="1"/>
  <c r="R431" i="1" s="1"/>
  <c r="M434" i="1"/>
  <c r="P432" i="1"/>
  <c r="Q432" i="1" s="1"/>
  <c r="L434" i="1"/>
  <c r="N434" i="1" s="1"/>
  <c r="R432" i="1" l="1" a="1"/>
  <c r="R432" i="1" s="1"/>
  <c r="P433" i="1"/>
  <c r="L435" i="1"/>
  <c r="N435" i="1" s="1"/>
  <c r="Q433" i="1"/>
  <c r="M435" i="1"/>
  <c r="R433" i="1" l="1" a="1"/>
  <c r="R433" i="1" s="1"/>
  <c r="M436" i="1"/>
  <c r="P434" i="1"/>
  <c r="Q434" i="1"/>
  <c r="L436" i="1"/>
  <c r="N436" i="1" s="1"/>
  <c r="R434" i="1" l="1" a="1"/>
  <c r="R434" i="1" s="1"/>
  <c r="P435" i="1"/>
  <c r="L437" i="1"/>
  <c r="N437" i="1" s="1"/>
  <c r="Q435" i="1"/>
  <c r="M437" i="1"/>
  <c r="R435" i="1" l="1" a="1"/>
  <c r="R435" i="1" s="1"/>
  <c r="P437" i="1"/>
  <c r="M438" i="1"/>
  <c r="P436" i="1"/>
  <c r="Q436" i="1"/>
  <c r="L438" i="1"/>
  <c r="N438" i="1" s="1"/>
  <c r="R436" i="1" l="1" a="1"/>
  <c r="R436" i="1" s="1"/>
  <c r="Q437" i="1"/>
  <c r="M439" i="1"/>
  <c r="L439" i="1"/>
  <c r="N439" i="1" s="1"/>
  <c r="R437" i="1" l="1" a="1"/>
  <c r="R437" i="1" s="1"/>
  <c r="P438" i="1"/>
  <c r="L440" i="1"/>
  <c r="N440" i="1" s="1"/>
  <c r="M440" i="1"/>
  <c r="Q438" i="1"/>
  <c r="R438" i="1" l="1" a="1"/>
  <c r="R438" i="1" s="1"/>
  <c r="L441" i="1"/>
  <c r="N441" i="1" s="1"/>
  <c r="M441" i="1"/>
  <c r="P439" i="1"/>
  <c r="Q439" i="1" s="1"/>
  <c r="R439" i="1" l="1" a="1"/>
  <c r="R439" i="1" s="1"/>
  <c r="M442" i="1"/>
  <c r="P440" i="1"/>
  <c r="Q440" i="1" s="1"/>
  <c r="L442" i="1"/>
  <c r="N442" i="1" s="1"/>
  <c r="R440" i="1" l="1" a="1"/>
  <c r="R440" i="1" s="1"/>
  <c r="P441" i="1"/>
  <c r="Q441" i="1" s="1"/>
  <c r="L443" i="1"/>
  <c r="N443" i="1" s="1"/>
  <c r="M443" i="1"/>
  <c r="R441" i="1" l="1" a="1"/>
  <c r="R441" i="1" s="1"/>
  <c r="M444" i="1"/>
  <c r="L444" i="1"/>
  <c r="N444" i="1" s="1"/>
  <c r="P442" i="1"/>
  <c r="Q442" i="1" s="1"/>
  <c r="R442" i="1" l="1" a="1"/>
  <c r="R442" i="1" s="1"/>
  <c r="M445" i="1"/>
  <c r="P443" i="1"/>
  <c r="Q443" i="1" s="1"/>
  <c r="L445" i="1"/>
  <c r="N445" i="1" s="1"/>
  <c r="R443" i="1" l="1" a="1"/>
  <c r="R443" i="1" s="1"/>
  <c r="P444" i="1"/>
  <c r="Q444" i="1" s="1"/>
  <c r="L446" i="1"/>
  <c r="N446" i="1" s="1"/>
  <c r="M446" i="1"/>
  <c r="R444" i="1" l="1" a="1"/>
  <c r="R444" i="1" s="1"/>
  <c r="M447" i="1"/>
  <c r="L447" i="1"/>
  <c r="N447" i="1" s="1"/>
  <c r="P445" i="1"/>
  <c r="Q445" i="1" s="1"/>
  <c r="R445" i="1" l="1" a="1"/>
  <c r="R445" i="1" s="1"/>
  <c r="P446" i="1"/>
  <c r="Q446" i="1" s="1"/>
  <c r="L448" i="1"/>
  <c r="N448" i="1" s="1"/>
  <c r="M448" i="1"/>
  <c r="R446" i="1" l="1" a="1"/>
  <c r="R446" i="1" s="1"/>
  <c r="M449" i="1"/>
  <c r="L449" i="1"/>
  <c r="N449" i="1" s="1"/>
  <c r="P447" i="1"/>
  <c r="Q447" i="1" s="1"/>
  <c r="R447" i="1" l="1" a="1"/>
  <c r="R447" i="1" s="1"/>
  <c r="P448" i="1"/>
  <c r="Q448" i="1" s="1"/>
  <c r="L450" i="1"/>
  <c r="N450" i="1" s="1"/>
  <c r="M450" i="1"/>
  <c r="R448" i="1" l="1" a="1"/>
  <c r="R448" i="1" s="1"/>
  <c r="P449" i="1"/>
  <c r="Q449" i="1" s="1"/>
  <c r="M451" i="1"/>
  <c r="L451" i="1"/>
  <c r="N451" i="1" s="1"/>
  <c r="R449" i="1" l="1" a="1"/>
  <c r="R449" i="1" s="1"/>
  <c r="L452" i="1"/>
  <c r="N452" i="1" s="1"/>
  <c r="P450" i="1"/>
  <c r="Q450" i="1" s="1"/>
  <c r="M452" i="1"/>
  <c r="R450" i="1" l="1" a="1"/>
  <c r="R450" i="1" s="1"/>
  <c r="M453" i="1"/>
  <c r="P451" i="1"/>
  <c r="Q451" i="1" s="1"/>
  <c r="L453" i="1"/>
  <c r="N453" i="1" s="1"/>
  <c r="R451" i="1" l="1" a="1"/>
  <c r="R451" i="1" s="1"/>
  <c r="L454" i="1"/>
  <c r="N454" i="1" s="1"/>
  <c r="P452" i="1"/>
  <c r="Q452" i="1" s="1"/>
  <c r="M454" i="1"/>
  <c r="R452" i="1" l="1" a="1"/>
  <c r="R452" i="1" s="1"/>
  <c r="M455" i="1"/>
  <c r="L455" i="1"/>
  <c r="N455" i="1" s="1"/>
  <c r="P453" i="1"/>
  <c r="Q453" i="1" s="1"/>
  <c r="R453" i="1" l="1" a="1"/>
  <c r="R453" i="1" s="1"/>
  <c r="P454" i="1"/>
  <c r="Q454" i="1" s="1"/>
  <c r="L456" i="1"/>
  <c r="N456" i="1" s="1"/>
  <c r="M456" i="1"/>
  <c r="R454" i="1" l="1" a="1"/>
  <c r="R454" i="1" s="1"/>
  <c r="M457" i="1"/>
  <c r="L457" i="1"/>
  <c r="N457" i="1" s="1"/>
  <c r="P455" i="1"/>
  <c r="Q455" i="1" s="1"/>
  <c r="R455" i="1" l="1" a="1"/>
  <c r="R455" i="1" s="1"/>
  <c r="P456" i="1"/>
  <c r="Q456" i="1" s="1"/>
  <c r="L458" i="1"/>
  <c r="N458" i="1" s="1"/>
  <c r="M458" i="1"/>
  <c r="R456" i="1" l="1" a="1"/>
  <c r="R456" i="1" s="1"/>
  <c r="M459" i="1"/>
  <c r="P457" i="1"/>
  <c r="Q457" i="1" s="1"/>
  <c r="L459" i="1"/>
  <c r="N459" i="1" s="1"/>
  <c r="R457" i="1" l="1" a="1"/>
  <c r="R457" i="1" s="1"/>
  <c r="L460" i="1"/>
  <c r="N460" i="1" s="1"/>
  <c r="P458" i="1"/>
  <c r="Q458" i="1" s="1"/>
  <c r="M460" i="1"/>
  <c r="R458" i="1" l="1" a="1"/>
  <c r="R458" i="1" s="1"/>
  <c r="M461" i="1"/>
  <c r="P459" i="1"/>
  <c r="Q459" i="1" s="1"/>
  <c r="L461" i="1"/>
  <c r="N461" i="1" s="1"/>
  <c r="R459" i="1" l="1" a="1"/>
  <c r="R459" i="1" s="1"/>
  <c r="L462" i="1"/>
  <c r="N462" i="1" s="1"/>
  <c r="P460" i="1"/>
  <c r="Q460" i="1" s="1"/>
  <c r="M462" i="1"/>
  <c r="R460" i="1" l="1" a="1"/>
  <c r="R460" i="1" s="1"/>
  <c r="M463" i="1"/>
  <c r="L463" i="1"/>
  <c r="N463" i="1" s="1"/>
  <c r="P461" i="1"/>
  <c r="Q461" i="1" s="1"/>
  <c r="R461" i="1" l="1" a="1"/>
  <c r="R461" i="1" s="1"/>
  <c r="P462" i="1"/>
  <c r="Q462" i="1" s="1"/>
  <c r="L464" i="1"/>
  <c r="N464" i="1" s="1"/>
  <c r="M464" i="1"/>
  <c r="R462" i="1" l="1" a="1"/>
  <c r="R462" i="1" s="1"/>
  <c r="M465" i="1"/>
  <c r="L465" i="1"/>
  <c r="N465" i="1" s="1"/>
  <c r="P463" i="1"/>
  <c r="Q463" i="1" s="1"/>
  <c r="R463" i="1" l="1" a="1"/>
  <c r="R463" i="1" s="1"/>
  <c r="P464" i="1"/>
  <c r="Q464" i="1" s="1"/>
  <c r="L466" i="1"/>
  <c r="N466" i="1" s="1"/>
  <c r="M466" i="1"/>
  <c r="R464" i="1" l="1" a="1"/>
  <c r="R464" i="1" s="1"/>
  <c r="M467" i="1"/>
  <c r="P465" i="1"/>
  <c r="Q465" i="1" s="1"/>
  <c r="L467" i="1"/>
  <c r="N467" i="1" s="1"/>
  <c r="R465" i="1" l="1" a="1"/>
  <c r="R465" i="1" s="1"/>
  <c r="L468" i="1"/>
  <c r="N468" i="1" s="1"/>
  <c r="P466" i="1"/>
  <c r="Q466" i="1" s="1"/>
  <c r="M468" i="1"/>
  <c r="R466" i="1" l="1" a="1"/>
  <c r="R466" i="1" s="1"/>
  <c r="M469" i="1"/>
  <c r="P467" i="1"/>
  <c r="Q467" i="1" s="1"/>
  <c r="L469" i="1"/>
  <c r="N469" i="1" s="1"/>
  <c r="R467" i="1" l="1" a="1"/>
  <c r="R467" i="1" s="1"/>
  <c r="L470" i="1"/>
  <c r="N470" i="1" s="1"/>
  <c r="P468" i="1"/>
  <c r="Q468" i="1" s="1"/>
  <c r="M470" i="1"/>
  <c r="R468" i="1" l="1" a="1"/>
  <c r="R468" i="1" s="1"/>
  <c r="M471" i="1"/>
  <c r="L471" i="1"/>
  <c r="N471" i="1" s="1"/>
  <c r="P469" i="1"/>
  <c r="Q469" i="1" s="1"/>
  <c r="R469" i="1" l="1" a="1"/>
  <c r="R469" i="1" s="1"/>
  <c r="P470" i="1"/>
  <c r="Q470" i="1" s="1"/>
  <c r="L472" i="1"/>
  <c r="N472" i="1" s="1"/>
  <c r="M472" i="1"/>
  <c r="R470" i="1" l="1" a="1"/>
  <c r="R470" i="1" s="1"/>
  <c r="M473" i="1"/>
  <c r="L473" i="1"/>
  <c r="N473" i="1" s="1"/>
  <c r="P471" i="1"/>
  <c r="Q471" i="1" s="1"/>
  <c r="R471" i="1" l="1" a="1"/>
  <c r="R471" i="1" s="1"/>
  <c r="P472" i="1"/>
  <c r="Q472" i="1" s="1"/>
  <c r="L474" i="1"/>
  <c r="N474" i="1" s="1"/>
  <c r="M474" i="1"/>
  <c r="R472" i="1" l="1" a="1"/>
  <c r="R472" i="1" s="1"/>
  <c r="M475" i="1"/>
  <c r="P473" i="1"/>
  <c r="Q473" i="1" s="1"/>
  <c r="L475" i="1"/>
  <c r="N475" i="1" s="1"/>
  <c r="R473" i="1" l="1" a="1"/>
  <c r="R473" i="1" s="1"/>
  <c r="L476" i="1"/>
  <c r="N476" i="1" s="1"/>
  <c r="P474" i="1"/>
  <c r="Q474" i="1" s="1"/>
  <c r="M476" i="1"/>
  <c r="R474" i="1" l="1" a="1"/>
  <c r="R474" i="1" s="1"/>
  <c r="M477" i="1"/>
  <c r="P475" i="1"/>
  <c r="Q475" i="1" s="1"/>
  <c r="L477" i="1"/>
  <c r="N477" i="1" s="1"/>
  <c r="R475" i="1" l="1" a="1"/>
  <c r="R475" i="1" s="1"/>
  <c r="L478" i="1"/>
  <c r="N478" i="1" s="1"/>
  <c r="P476" i="1"/>
  <c r="Q476" i="1" s="1"/>
  <c r="M478" i="1"/>
  <c r="R476" i="1" l="1" a="1"/>
  <c r="R476" i="1" s="1"/>
  <c r="M479" i="1"/>
  <c r="L479" i="1"/>
  <c r="N479" i="1" s="1"/>
  <c r="P477" i="1"/>
  <c r="Q477" i="1" s="1"/>
  <c r="R477" i="1" l="1" a="1"/>
  <c r="R477" i="1" s="1"/>
  <c r="P478" i="1"/>
  <c r="Q478" i="1" s="1"/>
  <c r="L480" i="1"/>
  <c r="N480" i="1" s="1"/>
  <c r="M480" i="1"/>
  <c r="R478" i="1" l="1" a="1"/>
  <c r="R478" i="1" s="1"/>
  <c r="L481" i="1"/>
  <c r="N481" i="1" s="1"/>
  <c r="M481" i="1"/>
  <c r="P479" i="1"/>
  <c r="Q479" i="1" s="1"/>
  <c r="R479" i="1" l="1" a="1"/>
  <c r="R479" i="1" s="1"/>
  <c r="M482" i="1"/>
  <c r="P480" i="1"/>
  <c r="Q480" i="1" s="1"/>
  <c r="L482" i="1"/>
  <c r="N482" i="1" s="1"/>
  <c r="R480" i="1" l="1" a="1"/>
  <c r="R480" i="1" s="1"/>
  <c r="P481" i="1"/>
  <c r="Q481" i="1" s="1"/>
  <c r="L483" i="1"/>
  <c r="N483" i="1" s="1"/>
  <c r="M483" i="1"/>
  <c r="R481" i="1" l="1" a="1"/>
  <c r="R481" i="1" s="1"/>
  <c r="L484" i="1"/>
  <c r="N484" i="1" s="1"/>
  <c r="M484" i="1"/>
  <c r="P482" i="1"/>
  <c r="Q482" i="1" s="1"/>
  <c r="R482" i="1" l="1" a="1"/>
  <c r="R482" i="1" s="1"/>
  <c r="M485" i="1"/>
  <c r="P483" i="1"/>
  <c r="Q483" i="1" s="1"/>
  <c r="L485" i="1"/>
  <c r="N485" i="1" s="1"/>
  <c r="R483" i="1" l="1" a="1"/>
  <c r="R483" i="1" s="1"/>
  <c r="P484" i="1"/>
  <c r="Q484" i="1" s="1"/>
  <c r="L486" i="1"/>
  <c r="N486" i="1" s="1"/>
  <c r="M486" i="1"/>
  <c r="R484" i="1" l="1" a="1"/>
  <c r="R484" i="1" s="1"/>
  <c r="M487" i="1"/>
  <c r="L487" i="1"/>
  <c r="N487" i="1" s="1"/>
  <c r="P485" i="1"/>
  <c r="Q485" i="1"/>
  <c r="R485" i="1" l="1" a="1"/>
  <c r="R485" i="1" s="1"/>
  <c r="P486" i="1"/>
  <c r="Q486" i="1" s="1"/>
  <c r="L488" i="1"/>
  <c r="N488" i="1" s="1"/>
  <c r="M488" i="1"/>
  <c r="R486" i="1" l="1" a="1"/>
  <c r="R486" i="1" s="1"/>
  <c r="M489" i="1"/>
  <c r="L489" i="1"/>
  <c r="N489" i="1" s="1"/>
  <c r="P487" i="1"/>
  <c r="Q487" i="1" s="1"/>
  <c r="R487" i="1" l="1" a="1"/>
  <c r="R487" i="1" s="1"/>
  <c r="P488" i="1"/>
  <c r="Q488" i="1" s="1"/>
  <c r="L490" i="1"/>
  <c r="N490" i="1" s="1"/>
  <c r="M490" i="1"/>
  <c r="R488" i="1" l="1" a="1"/>
  <c r="R488" i="1" s="1"/>
  <c r="M491" i="1"/>
  <c r="P489" i="1"/>
  <c r="Q489" i="1" s="1"/>
  <c r="L491" i="1"/>
  <c r="N491" i="1" s="1"/>
  <c r="R489" i="1" l="1" a="1"/>
  <c r="R489" i="1" s="1"/>
  <c r="L492" i="1"/>
  <c r="N492" i="1" s="1"/>
  <c r="P490" i="1"/>
  <c r="Q490" i="1" s="1"/>
  <c r="M492" i="1"/>
  <c r="R490" i="1" l="1" a="1"/>
  <c r="R490" i="1" s="1"/>
  <c r="M493" i="1"/>
  <c r="P491" i="1"/>
  <c r="Q491" i="1" s="1"/>
  <c r="L493" i="1"/>
  <c r="N493" i="1" s="1"/>
  <c r="R491" i="1" l="1" a="1"/>
  <c r="R491" i="1" s="1"/>
  <c r="L494" i="1"/>
  <c r="N494" i="1" s="1"/>
  <c r="P492" i="1"/>
  <c r="Q492" i="1" s="1"/>
  <c r="M494" i="1"/>
  <c r="R492" i="1" l="1" a="1"/>
  <c r="R492" i="1" s="1"/>
  <c r="M495" i="1"/>
  <c r="L495" i="1"/>
  <c r="N495" i="1" s="1"/>
  <c r="P493" i="1"/>
  <c r="Q493" i="1" s="1"/>
  <c r="R493" i="1" l="1" a="1"/>
  <c r="R493" i="1" s="1"/>
  <c r="P494" i="1"/>
  <c r="Q494" i="1" s="1"/>
  <c r="L496" i="1"/>
  <c r="N496" i="1" s="1"/>
  <c r="M496" i="1"/>
  <c r="R494" i="1" l="1" a="1"/>
  <c r="R494" i="1" s="1"/>
  <c r="L497" i="1"/>
  <c r="N497" i="1" s="1"/>
  <c r="M497" i="1"/>
  <c r="P495" i="1"/>
  <c r="Q495" i="1" s="1"/>
  <c r="R495" i="1" l="1" a="1"/>
  <c r="R495" i="1" s="1"/>
  <c r="M498" i="1"/>
  <c r="P496" i="1"/>
  <c r="Q496" i="1" s="1"/>
  <c r="L498" i="1"/>
  <c r="N498" i="1" s="1"/>
  <c r="R496" i="1" l="1" a="1"/>
  <c r="R496" i="1" s="1"/>
  <c r="P497" i="1"/>
  <c r="Q497" i="1" s="1"/>
  <c r="L499" i="1"/>
  <c r="N499" i="1" s="1"/>
  <c r="M499" i="1"/>
  <c r="R497" i="1" l="1" a="1"/>
  <c r="R497" i="1" s="1"/>
  <c r="M500" i="1"/>
  <c r="L500" i="1"/>
  <c r="N500" i="1" s="1"/>
  <c r="P498" i="1"/>
  <c r="Q498" i="1" s="1"/>
  <c r="R498" i="1" l="1" a="1"/>
  <c r="R498" i="1" s="1"/>
  <c r="P499" i="1"/>
  <c r="Q499" i="1" s="1"/>
  <c r="L501" i="1"/>
  <c r="N501" i="1" s="1"/>
  <c r="M501" i="1"/>
  <c r="R499" i="1" l="1" a="1"/>
  <c r="R499" i="1" s="1"/>
  <c r="M502" i="1"/>
  <c r="L502" i="1"/>
  <c r="N502" i="1" s="1"/>
  <c r="P500" i="1"/>
  <c r="Q500" i="1" s="1"/>
  <c r="R500" i="1" l="1" a="1"/>
  <c r="R500" i="1" s="1"/>
  <c r="L503" i="1"/>
  <c r="N503" i="1" s="1"/>
  <c r="P501" i="1"/>
  <c r="Q501" i="1" s="1"/>
  <c r="M503" i="1"/>
  <c r="R501" i="1" l="1" a="1"/>
  <c r="R501" i="1" s="1"/>
  <c r="M504" i="1"/>
  <c r="P502" i="1"/>
  <c r="Q502" i="1" s="1"/>
  <c r="L504" i="1"/>
  <c r="N504" i="1" s="1"/>
  <c r="R502" i="1" l="1" a="1"/>
  <c r="R502" i="1" s="1"/>
  <c r="L505" i="1"/>
  <c r="N505" i="1" s="1"/>
  <c r="P503" i="1"/>
  <c r="Q503" i="1" s="1"/>
  <c r="M505" i="1"/>
  <c r="R503" i="1" l="1" a="1"/>
  <c r="R503" i="1" s="1"/>
  <c r="M506" i="1"/>
  <c r="P504" i="1"/>
  <c r="Q504" i="1" s="1"/>
  <c r="L506" i="1"/>
  <c r="N506" i="1" s="1"/>
  <c r="R504" i="1" l="1" a="1"/>
  <c r="R504" i="1" s="1"/>
  <c r="P505" i="1"/>
  <c r="Q505" i="1" s="1"/>
  <c r="L507" i="1"/>
  <c r="N507" i="1" s="1"/>
  <c r="M507" i="1"/>
  <c r="R505" i="1" l="1" a="1"/>
  <c r="R505" i="1" s="1"/>
  <c r="M508" i="1"/>
  <c r="P506" i="1"/>
  <c r="Q506" i="1" s="1"/>
  <c r="L508" i="1"/>
  <c r="N508" i="1" s="1"/>
  <c r="R506" i="1" l="1" a="1"/>
  <c r="R506" i="1" s="1"/>
  <c r="P507" i="1"/>
  <c r="Q507" i="1" s="1"/>
  <c r="L509" i="1"/>
  <c r="N509" i="1" s="1"/>
  <c r="M509" i="1"/>
  <c r="R507" i="1" l="1" a="1"/>
  <c r="R507" i="1" s="1"/>
  <c r="L510" i="1"/>
  <c r="N510" i="1" s="1"/>
  <c r="M510" i="1"/>
  <c r="P508" i="1"/>
  <c r="Q508" i="1" s="1"/>
  <c r="R508" i="1" l="1" a="1"/>
  <c r="R508" i="1" s="1"/>
  <c r="L511" i="1"/>
  <c r="N511" i="1" s="1"/>
  <c r="M511" i="1"/>
  <c r="P509" i="1"/>
  <c r="Q509" i="1" s="1"/>
  <c r="R509" i="1" l="1" a="1"/>
  <c r="R509" i="1" s="1"/>
  <c r="M512" i="1"/>
  <c r="P510" i="1"/>
  <c r="Q510" i="1" s="1"/>
  <c r="L512" i="1"/>
  <c r="N512" i="1" s="1"/>
  <c r="R510" i="1" l="1" a="1"/>
  <c r="R510" i="1" s="1"/>
  <c r="L513" i="1"/>
  <c r="N513" i="1" s="1"/>
  <c r="P511" i="1"/>
  <c r="Q511" i="1" s="1"/>
  <c r="M513" i="1"/>
  <c r="R511" i="1" l="1" a="1"/>
  <c r="R511" i="1" s="1"/>
  <c r="M514" i="1"/>
  <c r="P512" i="1"/>
  <c r="Q512" i="1" s="1"/>
  <c r="L514" i="1"/>
  <c r="N514" i="1" s="1"/>
  <c r="R512" i="1" l="1" a="1"/>
  <c r="R512" i="1" s="1"/>
  <c r="P513" i="1"/>
  <c r="Q513" i="1" s="1"/>
  <c r="L515" i="1"/>
  <c r="N515" i="1" s="1"/>
  <c r="M515" i="1"/>
  <c r="R513" i="1" l="1" a="1"/>
  <c r="R513" i="1" s="1"/>
  <c r="M516" i="1"/>
  <c r="L516" i="1"/>
  <c r="N516" i="1" s="1"/>
  <c r="P514" i="1"/>
  <c r="Q514" i="1" s="1"/>
  <c r="R514" i="1" l="1" a="1"/>
  <c r="R514" i="1" s="1"/>
  <c r="M517" i="1"/>
  <c r="P515" i="1"/>
  <c r="Q515" i="1" s="1"/>
  <c r="L517" i="1"/>
  <c r="N517" i="1" s="1"/>
  <c r="R515" i="1" l="1" a="1"/>
  <c r="R515" i="1" s="1"/>
  <c r="L518" i="1"/>
  <c r="N518" i="1" s="1"/>
  <c r="P516" i="1"/>
  <c r="Q516" i="1" s="1"/>
  <c r="M518" i="1"/>
  <c r="R516" i="1" l="1" a="1"/>
  <c r="R516" i="1" s="1"/>
  <c r="M519" i="1"/>
  <c r="L519" i="1"/>
  <c r="N519" i="1" s="1"/>
  <c r="P517" i="1"/>
  <c r="Q517" i="1" s="1"/>
  <c r="R517" i="1" l="1" a="1"/>
  <c r="R517" i="1" s="1"/>
  <c r="P518" i="1"/>
  <c r="Q518" i="1" s="1"/>
  <c r="L520" i="1"/>
  <c r="N520" i="1" s="1"/>
  <c r="M520" i="1"/>
  <c r="R518" i="1" l="1" a="1"/>
  <c r="R518" i="1" s="1"/>
  <c r="M521" i="1"/>
  <c r="L521" i="1"/>
  <c r="N521" i="1" s="1"/>
  <c r="P519" i="1"/>
  <c r="Q519" i="1" s="1"/>
  <c r="R519" i="1" l="1" a="1"/>
  <c r="R519" i="1" s="1"/>
  <c r="P520" i="1"/>
  <c r="Q520" i="1" s="1"/>
  <c r="L522" i="1"/>
  <c r="N522" i="1" s="1"/>
  <c r="M522" i="1"/>
  <c r="R520" i="1" l="1" a="1"/>
  <c r="R520" i="1" s="1"/>
  <c r="P521" i="1"/>
  <c r="Q521" i="1" s="1"/>
  <c r="M523" i="1"/>
  <c r="L523" i="1"/>
  <c r="N523" i="1" s="1"/>
  <c r="R521" i="1" l="1" a="1"/>
  <c r="R521" i="1" s="1"/>
  <c r="L524" i="1"/>
  <c r="N524" i="1" s="1"/>
  <c r="P522" i="1"/>
  <c r="Q522" i="1" s="1"/>
  <c r="M524" i="1"/>
  <c r="R522" i="1" l="1" a="1"/>
  <c r="R522" i="1" s="1"/>
  <c r="M525" i="1"/>
  <c r="P523" i="1"/>
  <c r="Q523" i="1" s="1"/>
  <c r="L525" i="1"/>
  <c r="N525" i="1" s="1"/>
  <c r="R523" i="1" l="1" a="1"/>
  <c r="R523" i="1" s="1"/>
  <c r="L526" i="1"/>
  <c r="N526" i="1" s="1"/>
  <c r="P524" i="1"/>
  <c r="Q524" i="1" s="1"/>
  <c r="M526" i="1"/>
  <c r="R524" i="1" l="1" a="1"/>
  <c r="R524" i="1" s="1"/>
  <c r="M527" i="1"/>
  <c r="L527" i="1"/>
  <c r="N527" i="1" s="1"/>
  <c r="P525" i="1"/>
  <c r="Q525" i="1" s="1"/>
  <c r="R525" i="1" l="1" a="1"/>
  <c r="R525" i="1" s="1"/>
  <c r="M528" i="1"/>
  <c r="P526" i="1"/>
  <c r="Q526" i="1" s="1"/>
  <c r="L528" i="1"/>
  <c r="N528" i="1" s="1"/>
  <c r="R526" i="1" l="1" a="1"/>
  <c r="R526" i="1" s="1"/>
  <c r="L529" i="1"/>
  <c r="N529" i="1" s="1"/>
  <c r="P527" i="1"/>
  <c r="Q527" i="1" s="1"/>
  <c r="M529" i="1"/>
  <c r="R527" i="1" l="1" a="1"/>
  <c r="R527" i="1" s="1"/>
  <c r="M530" i="1"/>
  <c r="P528" i="1"/>
  <c r="Q528" i="1" s="1"/>
  <c r="L530" i="1"/>
  <c r="N530" i="1" s="1"/>
  <c r="R528" i="1" l="1" a="1"/>
  <c r="R528" i="1" s="1"/>
  <c r="P529" i="1"/>
  <c r="Q529" i="1" s="1"/>
  <c r="L531" i="1"/>
  <c r="N531" i="1" s="1"/>
  <c r="M531" i="1"/>
  <c r="R529" i="1" l="1" a="1"/>
  <c r="R529" i="1" s="1"/>
  <c r="M532" i="1"/>
  <c r="L532" i="1"/>
  <c r="N532" i="1" s="1"/>
  <c r="P530" i="1"/>
  <c r="Q530" i="1" s="1"/>
  <c r="R530" i="1" l="1" a="1"/>
  <c r="R530" i="1" s="1"/>
  <c r="P531" i="1"/>
  <c r="Q531" i="1" s="1"/>
  <c r="L533" i="1"/>
  <c r="N533" i="1" s="1"/>
  <c r="M533" i="1"/>
  <c r="R531" i="1" l="1" a="1"/>
  <c r="R531" i="1" s="1"/>
  <c r="M534" i="1"/>
  <c r="L534" i="1"/>
  <c r="N534" i="1" s="1"/>
  <c r="P532" i="1"/>
  <c r="Q532" i="1" s="1"/>
  <c r="R532" i="1" l="1" a="1"/>
  <c r="R532" i="1" s="1"/>
  <c r="L535" i="1"/>
  <c r="N535" i="1" s="1"/>
  <c r="P533" i="1"/>
  <c r="Q533" i="1" s="1"/>
  <c r="M535" i="1"/>
  <c r="R533" i="1" l="1" a="1"/>
  <c r="R533" i="1" s="1"/>
  <c r="M536" i="1"/>
  <c r="P534" i="1"/>
  <c r="Q534" i="1" s="1"/>
  <c r="L536" i="1"/>
  <c r="N536" i="1" s="1"/>
  <c r="R534" i="1" l="1" a="1"/>
  <c r="R534" i="1" s="1"/>
  <c r="L537" i="1"/>
  <c r="N537" i="1" s="1"/>
  <c r="P535" i="1"/>
  <c r="Q535" i="1" s="1"/>
  <c r="M537" i="1"/>
  <c r="R535" i="1" l="1" a="1"/>
  <c r="R535" i="1" s="1"/>
  <c r="M538" i="1"/>
  <c r="P536" i="1"/>
  <c r="Q536" i="1" s="1"/>
  <c r="L538" i="1"/>
  <c r="N538" i="1" s="1"/>
  <c r="R536" i="1" l="1" a="1"/>
  <c r="R536" i="1" s="1"/>
  <c r="P537" i="1"/>
  <c r="Q537" i="1" s="1"/>
  <c r="L539" i="1"/>
  <c r="N539" i="1" s="1"/>
  <c r="M539" i="1"/>
  <c r="R537" i="1" l="1" a="1"/>
  <c r="R537" i="1" s="1"/>
  <c r="M540" i="1"/>
  <c r="P538" i="1"/>
  <c r="L540" i="1"/>
  <c r="N540" i="1" s="1"/>
  <c r="Q538" i="1"/>
  <c r="R538" i="1" l="1" a="1"/>
  <c r="R538" i="1" s="1"/>
  <c r="P539" i="1"/>
  <c r="Q539" i="1" s="1"/>
  <c r="L541" i="1"/>
  <c r="N541" i="1" s="1"/>
  <c r="M541" i="1"/>
  <c r="R539" i="1" l="1" a="1"/>
  <c r="R539" i="1" s="1"/>
  <c r="M542" i="1"/>
  <c r="L542" i="1"/>
  <c r="N542" i="1" s="1"/>
  <c r="P540" i="1"/>
  <c r="Q540" i="1" s="1"/>
  <c r="R540" i="1" l="1" a="1"/>
  <c r="R540" i="1" s="1"/>
  <c r="L543" i="1"/>
  <c r="N543" i="1" s="1"/>
  <c r="P541" i="1"/>
  <c r="Q541" i="1" s="1"/>
  <c r="M543" i="1"/>
  <c r="R541" i="1" l="1" a="1"/>
  <c r="R541" i="1" s="1"/>
  <c r="M544" i="1"/>
  <c r="P542" i="1"/>
  <c r="Q542" i="1" s="1"/>
  <c r="L544" i="1"/>
  <c r="N544" i="1" s="1"/>
  <c r="R542" i="1" l="1" a="1"/>
  <c r="R542" i="1" s="1"/>
  <c r="L545" i="1"/>
  <c r="N545" i="1" s="1"/>
  <c r="P543" i="1"/>
  <c r="Q543" i="1" s="1"/>
  <c r="M545" i="1"/>
  <c r="R543" i="1" l="1" a="1"/>
  <c r="R543" i="1" s="1"/>
  <c r="M546" i="1"/>
  <c r="P544" i="1"/>
  <c r="Q544" i="1" s="1"/>
  <c r="L546" i="1"/>
  <c r="N546" i="1" s="1"/>
  <c r="R544" i="1" l="1" a="1"/>
  <c r="R544" i="1" s="1"/>
  <c r="P545" i="1"/>
  <c r="Q545" i="1" s="1"/>
  <c r="L547" i="1"/>
  <c r="N547" i="1" s="1"/>
  <c r="M547" i="1"/>
  <c r="R545" i="1" l="1" a="1"/>
  <c r="R545" i="1" s="1"/>
  <c r="M548" i="1"/>
  <c r="L548" i="1"/>
  <c r="N548" i="1" s="1"/>
  <c r="P546" i="1"/>
  <c r="Q546" i="1" s="1"/>
  <c r="R546" i="1" l="1" a="1"/>
  <c r="R546" i="1" s="1"/>
  <c r="P547" i="1"/>
  <c r="Q547" i="1" s="1"/>
  <c r="L549" i="1"/>
  <c r="N549" i="1" s="1"/>
  <c r="M549" i="1"/>
  <c r="R547" i="1" l="1" a="1"/>
  <c r="R547" i="1" s="1"/>
  <c r="M550" i="1"/>
  <c r="L550" i="1"/>
  <c r="N550" i="1" s="1"/>
  <c r="P548" i="1"/>
  <c r="Q548" i="1" s="1"/>
  <c r="R548" i="1" l="1" a="1"/>
  <c r="R548" i="1" s="1"/>
  <c r="L551" i="1"/>
  <c r="N551" i="1" s="1"/>
  <c r="P549" i="1"/>
  <c r="Q549" i="1" s="1"/>
  <c r="M551" i="1"/>
  <c r="R549" i="1" l="1" a="1"/>
  <c r="R549" i="1" s="1"/>
  <c r="M552" i="1"/>
  <c r="P550" i="1"/>
  <c r="Q550" i="1" s="1"/>
  <c r="L552" i="1"/>
  <c r="N552" i="1" s="1"/>
  <c r="R550" i="1" l="1" a="1"/>
  <c r="R550" i="1" s="1"/>
  <c r="L553" i="1"/>
  <c r="N553" i="1" s="1"/>
  <c r="P551" i="1"/>
  <c r="Q551" i="1" s="1"/>
  <c r="M553" i="1"/>
  <c r="R551" i="1" l="1" a="1"/>
  <c r="R551" i="1" s="1"/>
  <c r="M554" i="1"/>
  <c r="P552" i="1"/>
  <c r="Q552" i="1" s="1"/>
  <c r="L554" i="1"/>
  <c r="N554" i="1" s="1"/>
  <c r="R552" i="1" l="1" a="1"/>
  <c r="R552" i="1" s="1"/>
  <c r="P553" i="1"/>
  <c r="Q553" i="1" s="1"/>
  <c r="L555" i="1"/>
  <c r="N555" i="1" s="1"/>
  <c r="M555" i="1"/>
  <c r="R553" i="1" l="1" a="1"/>
  <c r="R553" i="1" s="1"/>
  <c r="M556" i="1"/>
  <c r="L556" i="1"/>
  <c r="N556" i="1" s="1"/>
  <c r="P554" i="1"/>
  <c r="Q554" i="1" s="1"/>
  <c r="R554" i="1" l="1" a="1"/>
  <c r="R554" i="1" s="1"/>
  <c r="P555" i="1"/>
  <c r="Q555" i="1"/>
  <c r="L557" i="1"/>
  <c r="N557" i="1" s="1"/>
  <c r="M557" i="1"/>
  <c r="R555" i="1" l="1" a="1"/>
  <c r="R555" i="1" s="1"/>
  <c r="M558" i="1"/>
  <c r="L558" i="1"/>
  <c r="N558" i="1" s="1"/>
  <c r="P556" i="1"/>
  <c r="Q556" i="1" s="1"/>
  <c r="R556" i="1" l="1" a="1"/>
  <c r="R556" i="1" s="1"/>
  <c r="P557" i="1"/>
  <c r="Q557" i="1" s="1"/>
  <c r="L559" i="1"/>
  <c r="N559" i="1" s="1"/>
  <c r="M559" i="1"/>
  <c r="R557" i="1" l="1" a="1"/>
  <c r="R557" i="1" s="1"/>
  <c r="P558" i="1"/>
  <c r="Q558" i="1" s="1"/>
  <c r="M560" i="1"/>
  <c r="L560" i="1"/>
  <c r="N560" i="1" s="1"/>
  <c r="R558" i="1" l="1" a="1"/>
  <c r="R558" i="1" s="1"/>
  <c r="L561" i="1"/>
  <c r="N561" i="1" s="1"/>
  <c r="M561" i="1"/>
  <c r="P559" i="1"/>
  <c r="Q559" i="1" s="1"/>
  <c r="R559" i="1" l="1" a="1"/>
  <c r="R559" i="1" s="1"/>
  <c r="M562" i="1"/>
  <c r="L562" i="1"/>
  <c r="N562" i="1" s="1"/>
  <c r="P560" i="1"/>
  <c r="Q560" i="1" s="1"/>
  <c r="R560" i="1" l="1" a="1"/>
  <c r="R560" i="1" s="1"/>
  <c r="P561" i="1"/>
  <c r="Q561" i="1" s="1"/>
  <c r="L563" i="1"/>
  <c r="N563" i="1" s="1"/>
  <c r="M563" i="1"/>
  <c r="R561" i="1" l="1" a="1"/>
  <c r="R561" i="1" s="1"/>
  <c r="L564" i="1"/>
  <c r="N564" i="1" s="1"/>
  <c r="M564" i="1"/>
  <c r="P562" i="1"/>
  <c r="Q562" i="1" s="1"/>
  <c r="R562" i="1" l="1" a="1"/>
  <c r="R562" i="1" s="1"/>
  <c r="M565" i="1"/>
  <c r="P563" i="1"/>
  <c r="Q563" i="1" s="1"/>
  <c r="L565" i="1"/>
  <c r="N565" i="1" s="1"/>
  <c r="R563" i="1" l="1" a="1"/>
  <c r="R563" i="1" s="1"/>
  <c r="L566" i="1"/>
  <c r="N566" i="1" s="1"/>
  <c r="P564" i="1"/>
  <c r="Q564" i="1" s="1"/>
  <c r="M566" i="1"/>
  <c r="R564" i="1" l="1" a="1"/>
  <c r="R564" i="1" s="1"/>
  <c r="M567" i="1"/>
  <c r="P565" i="1"/>
  <c r="Q565" i="1" s="1"/>
  <c r="L567" i="1"/>
  <c r="N567" i="1" s="1"/>
  <c r="R565" i="1" l="1" a="1"/>
  <c r="R565" i="1" s="1"/>
  <c r="P566" i="1"/>
  <c r="Q566" i="1" s="1"/>
  <c r="L568" i="1"/>
  <c r="N568" i="1" s="1"/>
  <c r="M568" i="1"/>
  <c r="R566" i="1" l="1" a="1"/>
  <c r="R566" i="1" s="1"/>
  <c r="M569" i="1"/>
  <c r="L569" i="1"/>
  <c r="N569" i="1" s="1"/>
  <c r="P567" i="1"/>
  <c r="Q567" i="1" s="1"/>
  <c r="R567" i="1" l="1" a="1"/>
  <c r="R567" i="1" s="1"/>
  <c r="P568" i="1"/>
  <c r="Q568" i="1" s="1"/>
  <c r="L570" i="1"/>
  <c r="N570" i="1" s="1"/>
  <c r="M570" i="1"/>
  <c r="R568" i="1" l="1" a="1"/>
  <c r="R568" i="1" s="1"/>
  <c r="M571" i="1"/>
  <c r="P569" i="1"/>
  <c r="Q569" i="1" s="1"/>
  <c r="L571" i="1"/>
  <c r="N571" i="1" s="1"/>
  <c r="R569" i="1" l="1" a="1"/>
  <c r="R569" i="1" s="1"/>
  <c r="P570" i="1"/>
  <c r="Q570" i="1"/>
  <c r="L572" i="1"/>
  <c r="N572" i="1" s="1"/>
  <c r="M572" i="1"/>
  <c r="R570" i="1" l="1" a="1"/>
  <c r="R570" i="1" s="1"/>
  <c r="M573" i="1"/>
  <c r="P571" i="1"/>
  <c r="L573" i="1"/>
  <c r="N573" i="1" s="1"/>
  <c r="Q571" i="1"/>
  <c r="R571" i="1" l="1" a="1"/>
  <c r="R571" i="1" s="1"/>
  <c r="L574" i="1"/>
  <c r="N574" i="1" s="1"/>
  <c r="P572" i="1"/>
  <c r="Q572" i="1" s="1"/>
  <c r="M574" i="1"/>
  <c r="R572" i="1" l="1" a="1"/>
  <c r="R572" i="1" s="1"/>
  <c r="M575" i="1"/>
  <c r="L575" i="1"/>
  <c r="N575" i="1" s="1"/>
  <c r="P573" i="1"/>
  <c r="Q573" i="1" s="1"/>
  <c r="R573" i="1" l="1" a="1"/>
  <c r="R573" i="1" s="1"/>
  <c r="P574" i="1"/>
  <c r="Q574" i="1" s="1"/>
  <c r="L576" i="1"/>
  <c r="N576" i="1" s="1"/>
  <c r="M576" i="1"/>
  <c r="R574" i="1" l="1" a="1"/>
  <c r="R574" i="1" s="1"/>
  <c r="P575" i="1"/>
  <c r="Q575" i="1" s="1"/>
  <c r="L577" i="1"/>
  <c r="N577" i="1" s="1"/>
  <c r="M577" i="1"/>
  <c r="R575" i="1" l="1" a="1"/>
  <c r="R575" i="1" s="1"/>
  <c r="M578" i="1"/>
  <c r="P576" i="1"/>
  <c r="Q576" i="1" s="1"/>
  <c r="L578" i="1"/>
  <c r="N578" i="1" s="1"/>
  <c r="R576" i="1" l="1" a="1"/>
  <c r="R576" i="1" s="1"/>
  <c r="P577" i="1"/>
  <c r="Q577" i="1" s="1"/>
  <c r="L579" i="1"/>
  <c r="N579" i="1" s="1"/>
  <c r="M579" i="1"/>
  <c r="R577" i="1" l="1" a="1"/>
  <c r="R577" i="1" s="1"/>
  <c r="M580" i="1"/>
  <c r="L580" i="1"/>
  <c r="N580" i="1" s="1"/>
  <c r="P578" i="1"/>
  <c r="Q578" i="1" s="1"/>
  <c r="R578" i="1" l="1" a="1"/>
  <c r="R578" i="1" s="1"/>
  <c r="P579" i="1"/>
  <c r="Q579" i="1" s="1"/>
  <c r="L581" i="1"/>
  <c r="N581" i="1" s="1"/>
  <c r="M581" i="1"/>
  <c r="R579" i="1" l="1" a="1"/>
  <c r="R579" i="1" s="1"/>
  <c r="M582" i="1"/>
  <c r="L582" i="1"/>
  <c r="N582" i="1" s="1"/>
  <c r="P580" i="1"/>
  <c r="Q580" i="1" s="1"/>
  <c r="R580" i="1" l="1" a="1"/>
  <c r="R580" i="1" s="1"/>
  <c r="L583" i="1"/>
  <c r="N583" i="1" s="1"/>
  <c r="P581" i="1"/>
  <c r="Q581" i="1" s="1"/>
  <c r="M583" i="1"/>
  <c r="R581" i="1" l="1" a="1"/>
  <c r="R581" i="1" s="1"/>
  <c r="M584" i="1"/>
  <c r="P582" i="1"/>
  <c r="Q582" i="1" s="1"/>
  <c r="L584" i="1"/>
  <c r="N584" i="1" s="1"/>
  <c r="R582" i="1" l="1" a="1"/>
  <c r="R582" i="1" s="1"/>
  <c r="L585" i="1"/>
  <c r="N585" i="1" s="1"/>
  <c r="P583" i="1"/>
  <c r="Q583" i="1" s="1"/>
  <c r="M585" i="1"/>
  <c r="R583" i="1" l="1" a="1"/>
  <c r="R583" i="1" s="1"/>
  <c r="M586" i="1"/>
  <c r="P584" i="1"/>
  <c r="Q584" i="1" s="1"/>
  <c r="L586" i="1"/>
  <c r="N586" i="1" s="1"/>
  <c r="R584" i="1" l="1" a="1"/>
  <c r="R584" i="1" s="1"/>
  <c r="P585" i="1"/>
  <c r="Q585" i="1" s="1"/>
  <c r="L587" i="1"/>
  <c r="N587" i="1" s="1"/>
  <c r="M587" i="1"/>
  <c r="R585" i="1" l="1" a="1"/>
  <c r="R585" i="1" s="1"/>
  <c r="M588" i="1"/>
  <c r="L588" i="1"/>
  <c r="N588" i="1" s="1"/>
  <c r="P586" i="1"/>
  <c r="Q586" i="1" s="1"/>
  <c r="R586" i="1" l="1" a="1"/>
  <c r="R586" i="1" s="1"/>
  <c r="P587" i="1"/>
  <c r="Q587" i="1" s="1"/>
  <c r="L589" i="1"/>
  <c r="N589" i="1" s="1"/>
  <c r="M589" i="1"/>
  <c r="R587" i="1" l="1" a="1"/>
  <c r="R587" i="1" s="1"/>
  <c r="M590" i="1"/>
  <c r="L590" i="1"/>
  <c r="N590" i="1" s="1"/>
  <c r="P588" i="1"/>
  <c r="Q588" i="1" s="1"/>
  <c r="R588" i="1" l="1" a="1"/>
  <c r="R588" i="1" s="1"/>
  <c r="L591" i="1"/>
  <c r="N591" i="1" s="1"/>
  <c r="P589" i="1"/>
  <c r="Q589" i="1" s="1"/>
  <c r="M591" i="1"/>
  <c r="R589" i="1" l="1" a="1"/>
  <c r="R589" i="1" s="1"/>
  <c r="M592" i="1"/>
  <c r="L592" i="1"/>
  <c r="N592" i="1" s="1"/>
  <c r="P590" i="1"/>
  <c r="Q590" i="1" s="1"/>
  <c r="R590" i="1" l="1" a="1"/>
  <c r="R590" i="1" s="1"/>
  <c r="L593" i="1"/>
  <c r="N593" i="1" s="1"/>
  <c r="P591" i="1"/>
  <c r="Q591" i="1" s="1"/>
  <c r="M593" i="1"/>
  <c r="R591" i="1" l="1" a="1"/>
  <c r="R591" i="1" s="1"/>
  <c r="M594" i="1"/>
  <c r="P592" i="1"/>
  <c r="Q592" i="1" s="1"/>
  <c r="L594" i="1"/>
  <c r="N594" i="1" s="1"/>
  <c r="R592" i="1" l="1" a="1"/>
  <c r="R592" i="1" s="1"/>
  <c r="P593" i="1"/>
  <c r="Q593" i="1" s="1"/>
  <c r="L595" i="1"/>
  <c r="N595" i="1" s="1"/>
  <c r="M595" i="1"/>
  <c r="R593" i="1" l="1" a="1"/>
  <c r="R593" i="1" s="1"/>
  <c r="L596" i="1"/>
  <c r="N596" i="1" s="1"/>
  <c r="M596" i="1"/>
  <c r="P594" i="1"/>
  <c r="Q594" i="1" s="1"/>
  <c r="R594" i="1" l="1" a="1"/>
  <c r="R594" i="1" s="1"/>
  <c r="P595" i="1"/>
  <c r="Q595" i="1" s="1"/>
  <c r="M597" i="1"/>
  <c r="L597" i="1"/>
  <c r="N597" i="1" s="1"/>
  <c r="R595" i="1" l="1" a="1"/>
  <c r="R595" i="1" s="1"/>
  <c r="L598" i="1"/>
  <c r="N598" i="1" s="1"/>
  <c r="P596" i="1"/>
  <c r="Q596" i="1" s="1"/>
  <c r="M598" i="1"/>
  <c r="R596" i="1" l="1" a="1"/>
  <c r="R596" i="1" s="1"/>
  <c r="M599" i="1"/>
  <c r="L599" i="1"/>
  <c r="N599" i="1" s="1"/>
  <c r="P597" i="1"/>
  <c r="Q597" i="1" s="1"/>
  <c r="R597" i="1" l="1" a="1"/>
  <c r="R597" i="1" s="1"/>
  <c r="P598" i="1"/>
  <c r="Q598" i="1" s="1"/>
  <c r="L600" i="1"/>
  <c r="N600" i="1" s="1"/>
  <c r="M600" i="1"/>
  <c r="R598" i="1" l="1" a="1"/>
  <c r="R598" i="1" s="1"/>
  <c r="M601" i="1"/>
  <c r="L601" i="1"/>
  <c r="N601" i="1" s="1"/>
  <c r="P599" i="1"/>
  <c r="Q599" i="1" s="1"/>
  <c r="R599" i="1" l="1" a="1"/>
  <c r="R599" i="1" s="1"/>
  <c r="P600" i="1"/>
  <c r="Q600" i="1" s="1"/>
  <c r="L602" i="1"/>
  <c r="N602" i="1" s="1"/>
  <c r="M602" i="1"/>
  <c r="R600" i="1" l="1" a="1"/>
  <c r="R600" i="1" s="1"/>
  <c r="M603" i="1"/>
  <c r="P601" i="1"/>
  <c r="Q601" i="1" s="1"/>
  <c r="L603" i="1"/>
  <c r="N603" i="1" s="1"/>
  <c r="R601" i="1" l="1" a="1"/>
  <c r="R601" i="1" s="1"/>
  <c r="L604" i="1"/>
  <c r="N604" i="1" s="1"/>
  <c r="P602" i="1"/>
  <c r="Q602" i="1" s="1"/>
  <c r="M604" i="1"/>
  <c r="R602" i="1" l="1" a="1"/>
  <c r="R602" i="1" s="1"/>
  <c r="M605" i="1"/>
  <c r="L605" i="1"/>
  <c r="N605" i="1" s="1"/>
  <c r="P603" i="1"/>
  <c r="Q603" i="1" s="1"/>
  <c r="R603" i="1" l="1" a="1"/>
  <c r="R603" i="1" s="1"/>
  <c r="L606" i="1"/>
  <c r="N606" i="1" s="1"/>
  <c r="P604" i="1"/>
  <c r="Q604" i="1" s="1"/>
  <c r="M606" i="1"/>
  <c r="R604" i="1" l="1" a="1"/>
  <c r="R604" i="1" s="1"/>
  <c r="M607" i="1"/>
  <c r="L607" i="1"/>
  <c r="N607" i="1" s="1"/>
  <c r="P605" i="1"/>
  <c r="Q605" i="1" s="1"/>
  <c r="R605" i="1" l="1" a="1"/>
  <c r="R605" i="1" s="1"/>
  <c r="P606" i="1"/>
  <c r="Q606" i="1" s="1"/>
  <c r="L608" i="1"/>
  <c r="N608" i="1" s="1"/>
  <c r="M608" i="1"/>
  <c r="R606" i="1" l="1" a="1"/>
  <c r="R606" i="1" s="1"/>
  <c r="M609" i="1"/>
  <c r="L609" i="1"/>
  <c r="N609" i="1" s="1"/>
  <c r="P607" i="1"/>
  <c r="Q607" i="1" s="1"/>
  <c r="R607" i="1" l="1" a="1"/>
  <c r="R607" i="1" s="1"/>
  <c r="P608" i="1"/>
  <c r="Q608" i="1" s="1"/>
  <c r="L610" i="1"/>
  <c r="N610" i="1" s="1"/>
  <c r="M610" i="1"/>
  <c r="R608" i="1" l="1" a="1"/>
  <c r="R608" i="1" s="1"/>
  <c r="M611" i="1"/>
  <c r="P609" i="1"/>
  <c r="Q609" i="1" s="1"/>
  <c r="L611" i="1"/>
  <c r="N611" i="1" s="1"/>
  <c r="R609" i="1" l="1" a="1"/>
  <c r="R609" i="1" s="1"/>
  <c r="L612" i="1"/>
  <c r="N612" i="1" s="1"/>
  <c r="P610" i="1"/>
  <c r="Q610" i="1" s="1"/>
  <c r="M612" i="1"/>
  <c r="R610" i="1" l="1" a="1"/>
  <c r="R610" i="1" s="1"/>
  <c r="M613" i="1"/>
  <c r="P611" i="1"/>
  <c r="Q611" i="1" s="1"/>
  <c r="L613" i="1"/>
  <c r="N613" i="1" s="1"/>
  <c r="R611" i="1" l="1" a="1"/>
  <c r="R611" i="1" s="1"/>
  <c r="L614" i="1"/>
  <c r="N614" i="1" s="1"/>
  <c r="P612" i="1"/>
  <c r="Q612" i="1" s="1"/>
  <c r="M614" i="1"/>
  <c r="R612" i="1" l="1" a="1"/>
  <c r="R612" i="1" s="1"/>
  <c r="M615" i="1"/>
  <c r="L615" i="1"/>
  <c r="N615" i="1" s="1"/>
  <c r="P613" i="1"/>
  <c r="Q613" i="1" s="1"/>
  <c r="R613" i="1" l="1" a="1"/>
  <c r="R613" i="1" s="1"/>
  <c r="P614" i="1"/>
  <c r="Q614" i="1" s="1"/>
  <c r="L616" i="1"/>
  <c r="N616" i="1" s="1"/>
  <c r="M616" i="1"/>
  <c r="R614" i="1" l="1" a="1"/>
  <c r="R614" i="1" s="1"/>
  <c r="L617" i="1"/>
  <c r="N617" i="1" s="1"/>
  <c r="M617" i="1"/>
  <c r="P615" i="1"/>
  <c r="Q615" i="1" s="1"/>
  <c r="R615" i="1" l="1" a="1"/>
  <c r="R615" i="1" s="1"/>
  <c r="M618" i="1"/>
  <c r="P616" i="1"/>
  <c r="Q616" i="1" s="1"/>
  <c r="L618" i="1"/>
  <c r="N618" i="1" s="1"/>
  <c r="R616" i="1" l="1" a="1"/>
  <c r="R616" i="1" s="1"/>
  <c r="P617" i="1"/>
  <c r="Q617" i="1" s="1"/>
  <c r="L619" i="1"/>
  <c r="N619" i="1" s="1"/>
  <c r="M619" i="1"/>
  <c r="R617" i="1" l="1" a="1"/>
  <c r="R617" i="1" s="1"/>
  <c r="M620" i="1"/>
  <c r="L620" i="1"/>
  <c r="N620" i="1" s="1"/>
  <c r="P618" i="1"/>
  <c r="Q618" i="1" s="1"/>
  <c r="R618" i="1" l="1" a="1"/>
  <c r="R618" i="1" s="1"/>
  <c r="P619" i="1"/>
  <c r="Q619" i="1" s="1"/>
  <c r="L621" i="1"/>
  <c r="N621" i="1" s="1"/>
  <c r="M621" i="1"/>
  <c r="R619" i="1" l="1" a="1"/>
  <c r="R619" i="1" s="1"/>
  <c r="M622" i="1"/>
  <c r="L622" i="1"/>
  <c r="N622" i="1" s="1"/>
  <c r="P620" i="1"/>
  <c r="Q620" i="1" s="1"/>
  <c r="R620" i="1" l="1" a="1"/>
  <c r="R620" i="1" s="1"/>
  <c r="L623" i="1"/>
  <c r="N623" i="1" s="1"/>
  <c r="P621" i="1"/>
  <c r="Q621" i="1" s="1"/>
  <c r="M623" i="1"/>
  <c r="R621" i="1" l="1" a="1"/>
  <c r="R621" i="1" s="1"/>
  <c r="M624" i="1"/>
  <c r="P622" i="1"/>
  <c r="Q622" i="1" s="1"/>
  <c r="L624" i="1"/>
  <c r="N624" i="1" s="1"/>
  <c r="R622" i="1" l="1" a="1"/>
  <c r="R622" i="1" s="1"/>
  <c r="L625" i="1"/>
  <c r="N625" i="1" s="1"/>
  <c r="P623" i="1"/>
  <c r="Q623" i="1" s="1"/>
  <c r="M625" i="1"/>
  <c r="R623" i="1" l="1" a="1"/>
  <c r="R623" i="1" s="1"/>
  <c r="M626" i="1"/>
  <c r="P624" i="1"/>
  <c r="Q624" i="1" s="1"/>
  <c r="L626" i="1"/>
  <c r="N626" i="1" s="1"/>
  <c r="R624" i="1" l="1" a="1"/>
  <c r="R624" i="1" s="1"/>
  <c r="P625" i="1"/>
  <c r="Q625" i="1" s="1"/>
  <c r="L627" i="1"/>
  <c r="N627" i="1" s="1"/>
  <c r="M627" i="1"/>
  <c r="R625" i="1" l="1" a="1"/>
  <c r="R625" i="1" s="1"/>
  <c r="M628" i="1"/>
  <c r="L628" i="1"/>
  <c r="N628" i="1" s="1"/>
  <c r="P626" i="1"/>
  <c r="Q626" i="1" s="1"/>
  <c r="R626" i="1" l="1" a="1"/>
  <c r="R626" i="1" s="1"/>
  <c r="P627" i="1"/>
  <c r="Q627" i="1" s="1"/>
  <c r="L629" i="1"/>
  <c r="N629" i="1" s="1"/>
  <c r="M629" i="1"/>
  <c r="R627" i="1" l="1" a="1"/>
  <c r="R627" i="1" s="1"/>
  <c r="M630" i="1"/>
  <c r="L630" i="1"/>
  <c r="N630" i="1" s="1"/>
  <c r="P628" i="1"/>
  <c r="Q628" i="1" s="1"/>
  <c r="R628" i="1" l="1" a="1"/>
  <c r="R628" i="1" s="1"/>
  <c r="L631" i="1"/>
  <c r="N631" i="1" s="1"/>
  <c r="P629" i="1"/>
  <c r="Q629" i="1" s="1"/>
  <c r="M631" i="1"/>
  <c r="R629" i="1" l="1" a="1"/>
  <c r="R629" i="1" s="1"/>
  <c r="M632" i="1"/>
  <c r="P630" i="1"/>
  <c r="Q630" i="1" s="1"/>
  <c r="L632" i="1"/>
  <c r="N632" i="1" s="1"/>
  <c r="R630" i="1" l="1" a="1"/>
  <c r="R630" i="1" s="1"/>
  <c r="P631" i="1"/>
  <c r="Q631" i="1"/>
  <c r="L633" i="1"/>
  <c r="N633" i="1" s="1"/>
  <c r="M633" i="1"/>
  <c r="R631" i="1" l="1" a="1"/>
  <c r="R631" i="1" s="1"/>
  <c r="M634" i="1"/>
  <c r="L634" i="1"/>
  <c r="N634" i="1" s="1"/>
  <c r="P632" i="1"/>
  <c r="Q632" i="1" s="1"/>
  <c r="R632" i="1" l="1" a="1"/>
  <c r="R632" i="1" s="1"/>
  <c r="P633" i="1"/>
  <c r="Q633" i="1" s="1"/>
  <c r="L635" i="1"/>
  <c r="N635" i="1" s="1"/>
  <c r="M635" i="1"/>
  <c r="R633" i="1" l="1" a="1"/>
  <c r="R633" i="1" s="1"/>
  <c r="L636" i="1"/>
  <c r="N636" i="1" s="1"/>
  <c r="M636" i="1"/>
  <c r="P634" i="1"/>
  <c r="Q634" i="1" s="1"/>
  <c r="R634" i="1" l="1" a="1"/>
  <c r="R634" i="1" s="1"/>
  <c r="M637" i="1"/>
  <c r="P635" i="1"/>
  <c r="Q635" i="1" s="1"/>
  <c r="L637" i="1"/>
  <c r="N637" i="1" s="1"/>
  <c r="R635" i="1" l="1" a="1"/>
  <c r="R635" i="1" s="1"/>
  <c r="L638" i="1"/>
  <c r="N638" i="1" s="1"/>
  <c r="P636" i="1"/>
  <c r="Q636" i="1" s="1"/>
  <c r="M638" i="1"/>
  <c r="R636" i="1" l="1" a="1"/>
  <c r="R636" i="1" s="1"/>
  <c r="M639" i="1"/>
  <c r="L639" i="1"/>
  <c r="N639" i="1" s="1"/>
  <c r="P637" i="1"/>
  <c r="Q637" i="1" s="1"/>
  <c r="R637" i="1" l="1" a="1"/>
  <c r="R637" i="1" s="1"/>
  <c r="P638" i="1"/>
  <c r="Q638" i="1" s="1"/>
  <c r="L640" i="1"/>
  <c r="N640" i="1" s="1"/>
  <c r="M640" i="1"/>
  <c r="R638" i="1" l="1" a="1"/>
  <c r="R638" i="1" s="1"/>
  <c r="L641" i="1"/>
  <c r="N641" i="1" s="1"/>
  <c r="M641" i="1"/>
  <c r="P639" i="1"/>
  <c r="Q639" i="1" s="1"/>
  <c r="R639" i="1" l="1" a="1"/>
  <c r="R639" i="1" s="1"/>
  <c r="L642" i="1"/>
  <c r="N642" i="1" s="1"/>
  <c r="M642" i="1"/>
  <c r="P640" i="1"/>
  <c r="Q640" i="1" s="1"/>
  <c r="R640" i="1" l="1" a="1"/>
  <c r="R640" i="1" s="1"/>
  <c r="M643" i="1"/>
  <c r="P641" i="1"/>
  <c r="Q641" i="1" s="1"/>
  <c r="L643" i="1"/>
  <c r="N643" i="1" s="1"/>
  <c r="R641" i="1" l="1" a="1"/>
  <c r="R641" i="1" s="1"/>
  <c r="L644" i="1"/>
  <c r="N644" i="1" s="1"/>
  <c r="P642" i="1"/>
  <c r="Q642" i="1" s="1"/>
  <c r="M644" i="1"/>
  <c r="R642" i="1" l="1" a="1"/>
  <c r="R642" i="1" s="1"/>
  <c r="M645" i="1"/>
  <c r="P643" i="1"/>
  <c r="Q643" i="1" s="1"/>
  <c r="L645" i="1"/>
  <c r="N645" i="1" s="1"/>
  <c r="R643" i="1" l="1" a="1"/>
  <c r="R643" i="1" s="1"/>
  <c r="L646" i="1"/>
  <c r="N646" i="1" s="1"/>
  <c r="M646" i="1"/>
  <c r="P644" i="1"/>
  <c r="Q644" i="1" s="1"/>
  <c r="R644" i="1" l="1" a="1"/>
  <c r="R644" i="1" s="1"/>
  <c r="M647" i="1"/>
  <c r="L647" i="1"/>
  <c r="N647" i="1" s="1"/>
  <c r="P645" i="1"/>
  <c r="Q645" i="1" s="1"/>
  <c r="R645" i="1" l="1" a="1"/>
  <c r="R645" i="1" s="1"/>
  <c r="P646" i="1"/>
  <c r="Q646" i="1" s="1"/>
  <c r="L648" i="1"/>
  <c r="N648" i="1" s="1"/>
  <c r="M648" i="1"/>
  <c r="R646" i="1" l="1" a="1"/>
  <c r="R646" i="1" s="1"/>
  <c r="M649" i="1"/>
  <c r="L649" i="1"/>
  <c r="N649" i="1" s="1"/>
  <c r="P647" i="1"/>
  <c r="Q647" i="1" s="1"/>
  <c r="R647" i="1" l="1" a="1"/>
  <c r="R647" i="1" s="1"/>
  <c r="L650" i="1"/>
  <c r="N650" i="1" s="1"/>
  <c r="M650" i="1"/>
  <c r="P648" i="1"/>
  <c r="Q648" i="1" s="1"/>
  <c r="R648" i="1" l="1" a="1"/>
  <c r="R648" i="1" s="1"/>
  <c r="M651" i="1"/>
  <c r="P649" i="1"/>
  <c r="Q649" i="1" s="1"/>
  <c r="L651" i="1"/>
  <c r="N651" i="1" s="1"/>
  <c r="R649" i="1" l="1" a="1"/>
  <c r="R649" i="1" s="1"/>
  <c r="L652" i="1"/>
  <c r="N652" i="1" s="1"/>
  <c r="P650" i="1"/>
  <c r="Q650" i="1" s="1"/>
  <c r="M652" i="1"/>
  <c r="R650" i="1" l="1" a="1"/>
  <c r="R650" i="1" s="1"/>
  <c r="P651" i="1"/>
  <c r="Q651" i="1" s="1"/>
  <c r="M653" i="1"/>
  <c r="L653" i="1"/>
  <c r="N653" i="1" s="1"/>
  <c r="R651" i="1" l="1" a="1"/>
  <c r="R651" i="1" s="1"/>
  <c r="P652" i="1"/>
  <c r="Q652" i="1" s="1"/>
  <c r="L654" i="1"/>
  <c r="N654" i="1" s="1"/>
  <c r="M654" i="1"/>
  <c r="R652" i="1" l="1" a="1"/>
  <c r="R652" i="1" s="1"/>
  <c r="M655" i="1"/>
  <c r="L655" i="1"/>
  <c r="N655" i="1" s="1"/>
  <c r="P653" i="1"/>
  <c r="Q653" i="1" s="1"/>
  <c r="R653" i="1" l="1" a="1"/>
  <c r="R653" i="1" s="1"/>
  <c r="P654" i="1"/>
  <c r="Q654" i="1" s="1"/>
  <c r="L656" i="1"/>
  <c r="N656" i="1" s="1"/>
  <c r="M656" i="1"/>
  <c r="R654" i="1" l="1" a="1"/>
  <c r="R654" i="1" s="1"/>
  <c r="M657" i="1"/>
  <c r="P655" i="1"/>
  <c r="Q655" i="1" s="1"/>
  <c r="L657" i="1"/>
  <c r="N657" i="1" s="1"/>
  <c r="R655" i="1" l="1" a="1"/>
  <c r="R655" i="1" s="1"/>
  <c r="L658" i="1"/>
  <c r="N658" i="1" s="1"/>
  <c r="P656" i="1"/>
  <c r="Q656" i="1" s="1"/>
  <c r="M658" i="1"/>
  <c r="R656" i="1" l="1" a="1"/>
  <c r="R656" i="1" s="1"/>
  <c r="M659" i="1"/>
  <c r="P657" i="1"/>
  <c r="Q657" i="1" s="1"/>
  <c r="L659" i="1"/>
  <c r="N659" i="1" s="1"/>
  <c r="R657" i="1" l="1" a="1"/>
  <c r="R657" i="1" s="1"/>
  <c r="L660" i="1"/>
  <c r="N660" i="1" s="1"/>
  <c r="P658" i="1"/>
  <c r="Q658" i="1" s="1"/>
  <c r="M660" i="1"/>
  <c r="R658" i="1" l="1" a="1"/>
  <c r="R658" i="1" s="1"/>
  <c r="M661" i="1"/>
  <c r="L661" i="1"/>
  <c r="N661" i="1" s="1"/>
  <c r="P659" i="1"/>
  <c r="Q659" i="1" s="1"/>
  <c r="R659" i="1" l="1" a="1"/>
  <c r="R659" i="1" s="1"/>
  <c r="P660" i="1"/>
  <c r="Q660" i="1" s="1"/>
  <c r="L662" i="1"/>
  <c r="N662" i="1" s="1"/>
  <c r="M662" i="1"/>
  <c r="R660" i="1" l="1" a="1"/>
  <c r="R660" i="1" s="1"/>
  <c r="L663" i="1"/>
  <c r="N663" i="1" s="1"/>
  <c r="M663" i="1"/>
  <c r="P661" i="1"/>
  <c r="Q661" i="1" s="1"/>
  <c r="R661" i="1" l="1" a="1"/>
  <c r="R661" i="1" s="1"/>
  <c r="M664" i="1"/>
  <c r="P662" i="1"/>
  <c r="Q662" i="1" s="1"/>
  <c r="L664" i="1"/>
  <c r="N664" i="1" s="1"/>
  <c r="R662" i="1" l="1" a="1"/>
  <c r="R662" i="1" s="1"/>
  <c r="P663" i="1"/>
  <c r="Q663" i="1" s="1"/>
  <c r="L665" i="1"/>
  <c r="N665" i="1" s="1"/>
  <c r="M665" i="1"/>
  <c r="R663" i="1" l="1" a="1"/>
  <c r="R663" i="1" s="1"/>
  <c r="M666" i="1"/>
  <c r="L666" i="1"/>
  <c r="N666" i="1" s="1"/>
  <c r="P664" i="1"/>
  <c r="Q664" i="1" s="1"/>
  <c r="R664" i="1" l="1" a="1"/>
  <c r="R664" i="1" s="1"/>
  <c r="P665" i="1"/>
  <c r="Q665" i="1" s="1"/>
  <c r="L667" i="1"/>
  <c r="N667" i="1" s="1"/>
  <c r="M667" i="1"/>
  <c r="R665" i="1" l="1" a="1"/>
  <c r="R665" i="1" s="1"/>
  <c r="L668" i="1"/>
  <c r="N668" i="1" s="1"/>
  <c r="M668" i="1"/>
  <c r="P666" i="1"/>
  <c r="Q666" i="1" s="1"/>
  <c r="R666" i="1" l="1" a="1"/>
  <c r="R666" i="1" s="1"/>
  <c r="M669" i="1"/>
  <c r="L669" i="1"/>
  <c r="N669" i="1" s="1"/>
  <c r="P667" i="1"/>
  <c r="Q667" i="1" s="1"/>
  <c r="R667" i="1" l="1" a="1"/>
  <c r="R667" i="1" s="1"/>
  <c r="P668" i="1"/>
  <c r="Q668" i="1" s="1"/>
  <c r="L670" i="1"/>
  <c r="N670" i="1" s="1"/>
  <c r="M670" i="1"/>
  <c r="R668" i="1" l="1" a="1"/>
  <c r="R668" i="1" s="1"/>
  <c r="M671" i="1"/>
  <c r="L671" i="1"/>
  <c r="N671" i="1" s="1"/>
  <c r="P669" i="1"/>
  <c r="Q669" i="1" s="1"/>
  <c r="R669" i="1" l="1" a="1"/>
  <c r="R669" i="1" s="1"/>
  <c r="L672" i="1"/>
  <c r="N672" i="1" s="1"/>
  <c r="P670" i="1"/>
  <c r="Q670" i="1" s="1"/>
  <c r="M672" i="1"/>
  <c r="R670" i="1" l="1" a="1"/>
  <c r="R670" i="1" s="1"/>
  <c r="M673" i="1"/>
  <c r="P671" i="1"/>
  <c r="Q671" i="1" s="1"/>
  <c r="L673" i="1"/>
  <c r="N673" i="1" s="1"/>
  <c r="R671" i="1" l="1" a="1"/>
  <c r="R671" i="1" s="1"/>
  <c r="L674" i="1"/>
  <c r="N674" i="1" s="1"/>
  <c r="P672" i="1"/>
  <c r="Q672" i="1" s="1"/>
  <c r="M674" i="1"/>
  <c r="R672" i="1" l="1" a="1"/>
  <c r="R672" i="1" s="1"/>
  <c r="M675" i="1"/>
  <c r="P673" i="1"/>
  <c r="Q673" i="1" s="1"/>
  <c r="L675" i="1"/>
  <c r="N675" i="1" s="1"/>
  <c r="R673" i="1" l="1" a="1"/>
  <c r="R673" i="1" s="1"/>
  <c r="L676" i="1"/>
  <c r="N676" i="1" s="1"/>
  <c r="P674" i="1"/>
  <c r="Q674" i="1" s="1"/>
  <c r="M676" i="1"/>
  <c r="R674" i="1" l="1" a="1"/>
  <c r="R674" i="1" s="1"/>
  <c r="M677" i="1"/>
  <c r="L677" i="1"/>
  <c r="N677" i="1" s="1"/>
  <c r="P675" i="1"/>
  <c r="Q675" i="1" s="1"/>
  <c r="R675" i="1" l="1" a="1"/>
  <c r="R675" i="1" s="1"/>
  <c r="P676" i="1"/>
  <c r="Q676" i="1" s="1"/>
  <c r="L678" i="1"/>
  <c r="N678" i="1" s="1"/>
  <c r="M678" i="1"/>
  <c r="R676" i="1" l="1" a="1"/>
  <c r="R676" i="1" s="1"/>
  <c r="M679" i="1"/>
  <c r="L679" i="1"/>
  <c r="N679" i="1" s="1"/>
  <c r="P677" i="1"/>
  <c r="Q677" i="1" s="1"/>
  <c r="R677" i="1" l="1" a="1"/>
  <c r="R677" i="1" s="1"/>
  <c r="P678" i="1"/>
  <c r="Q678" i="1" s="1"/>
  <c r="L680" i="1"/>
  <c r="N680" i="1" s="1"/>
  <c r="M680" i="1"/>
  <c r="R678" i="1" l="1" a="1"/>
  <c r="R678" i="1" s="1"/>
  <c r="M681" i="1"/>
  <c r="P679" i="1"/>
  <c r="Q679" i="1" s="1"/>
  <c r="L681" i="1"/>
  <c r="N681" i="1" s="1"/>
  <c r="R679" i="1" l="1" a="1"/>
  <c r="R679" i="1" s="1"/>
  <c r="L682" i="1"/>
  <c r="N682" i="1" s="1"/>
  <c r="P680" i="1"/>
  <c r="Q680" i="1" s="1"/>
  <c r="M682" i="1"/>
  <c r="R680" i="1" l="1" a="1"/>
  <c r="R680" i="1" s="1"/>
  <c r="M683" i="1"/>
  <c r="P681" i="1"/>
  <c r="Q681" i="1" s="1"/>
  <c r="L683" i="1"/>
  <c r="N683" i="1" s="1"/>
  <c r="R681" i="1" l="1" a="1"/>
  <c r="R681" i="1" s="1"/>
  <c r="L684" i="1"/>
  <c r="N684" i="1" s="1"/>
  <c r="P682" i="1"/>
  <c r="Q682" i="1" s="1"/>
  <c r="M684" i="1"/>
  <c r="R682" i="1" l="1" a="1"/>
  <c r="R682" i="1" s="1"/>
  <c r="M685" i="1"/>
  <c r="L685" i="1"/>
  <c r="N685" i="1" s="1"/>
  <c r="P683" i="1"/>
  <c r="Q683" i="1" s="1"/>
  <c r="R683" i="1" l="1" a="1"/>
  <c r="R683" i="1" s="1"/>
  <c r="P684" i="1"/>
  <c r="Q684" i="1" s="1"/>
  <c r="M686" i="1"/>
  <c r="L686" i="1"/>
  <c r="N686" i="1" s="1"/>
  <c r="R684" i="1" l="1" a="1"/>
  <c r="R684" i="1" s="1"/>
  <c r="L687" i="1"/>
  <c r="N687" i="1" s="1"/>
  <c r="P685" i="1"/>
  <c r="Q685" i="1" s="1"/>
  <c r="M687" i="1"/>
  <c r="R685" i="1" l="1" a="1"/>
  <c r="R685" i="1" s="1"/>
  <c r="M688" i="1"/>
  <c r="P686" i="1"/>
  <c r="Q686" i="1" s="1"/>
  <c r="L688" i="1"/>
  <c r="N688" i="1" s="1"/>
  <c r="R686" i="1" l="1" a="1"/>
  <c r="R686" i="1" s="1"/>
  <c r="P687" i="1"/>
  <c r="Q687" i="1" s="1"/>
  <c r="L689" i="1"/>
  <c r="N689" i="1" s="1"/>
  <c r="M689" i="1"/>
  <c r="R687" i="1" l="1" a="1"/>
  <c r="R687" i="1" s="1"/>
  <c r="M690" i="1"/>
  <c r="L690" i="1"/>
  <c r="N690" i="1" s="1"/>
  <c r="P688" i="1"/>
  <c r="Q688" i="1" s="1"/>
  <c r="R688" i="1" l="1" a="1"/>
  <c r="R688" i="1" s="1"/>
  <c r="P689" i="1"/>
  <c r="Q689" i="1" s="1"/>
  <c r="L691" i="1"/>
  <c r="N691" i="1" s="1"/>
  <c r="M691" i="1"/>
  <c r="R689" i="1" l="1" a="1"/>
  <c r="R689" i="1" s="1"/>
  <c r="L692" i="1"/>
  <c r="N692" i="1" s="1"/>
  <c r="M692" i="1"/>
  <c r="P690" i="1"/>
  <c r="Q690" i="1" s="1"/>
  <c r="R690" i="1" l="1" a="1"/>
  <c r="R690" i="1" s="1"/>
  <c r="M693" i="1"/>
  <c r="L693" i="1"/>
  <c r="N693" i="1" s="1"/>
  <c r="P691" i="1"/>
  <c r="Q691" i="1" s="1"/>
  <c r="R691" i="1" l="1" a="1"/>
  <c r="R691" i="1" s="1"/>
  <c r="P692" i="1"/>
  <c r="Q692" i="1" s="1"/>
  <c r="L694" i="1"/>
  <c r="N694" i="1" s="1"/>
  <c r="M694" i="1"/>
  <c r="R692" i="1" l="1" a="1"/>
  <c r="R692" i="1" s="1"/>
  <c r="M695" i="1"/>
  <c r="L695" i="1"/>
  <c r="N695" i="1" s="1"/>
  <c r="P693" i="1"/>
  <c r="Q693" i="1" s="1"/>
  <c r="R693" i="1" l="1" a="1"/>
  <c r="R693" i="1" s="1"/>
  <c r="P694" i="1"/>
  <c r="Q694" i="1" s="1"/>
  <c r="L696" i="1"/>
  <c r="N696" i="1" s="1"/>
  <c r="M696" i="1"/>
  <c r="R694" i="1" l="1" a="1"/>
  <c r="R694" i="1" s="1"/>
  <c r="M697" i="1"/>
  <c r="P695" i="1"/>
  <c r="Q695" i="1" s="1"/>
  <c r="L697" i="1"/>
  <c r="N697" i="1" s="1"/>
  <c r="R695" i="1" l="1" a="1"/>
  <c r="R695" i="1" s="1"/>
  <c r="L698" i="1"/>
  <c r="N698" i="1" s="1"/>
  <c r="P696" i="1"/>
  <c r="Q696" i="1" s="1"/>
  <c r="M698" i="1"/>
  <c r="R696" i="1" l="1" a="1"/>
  <c r="R696" i="1" s="1"/>
  <c r="M699" i="1"/>
  <c r="P697" i="1"/>
  <c r="Q697" i="1" s="1"/>
  <c r="L699" i="1"/>
  <c r="N699" i="1" s="1"/>
  <c r="R697" i="1" l="1" a="1"/>
  <c r="R697" i="1" s="1"/>
  <c r="L700" i="1"/>
  <c r="N700" i="1" s="1"/>
  <c r="P698" i="1"/>
  <c r="Q698" i="1" s="1"/>
  <c r="M700" i="1"/>
  <c r="R698" i="1" l="1" a="1"/>
  <c r="R698" i="1" s="1"/>
  <c r="L701" i="1"/>
  <c r="N701" i="1" s="1"/>
  <c r="P699" i="1"/>
  <c r="Q699" i="1" s="1"/>
  <c r="M701" i="1"/>
  <c r="R699" i="1" l="1" a="1"/>
  <c r="R699" i="1" s="1"/>
  <c r="M702" i="1"/>
  <c r="P700" i="1"/>
  <c r="Q700" i="1" s="1"/>
  <c r="L702" i="1"/>
  <c r="N702" i="1" s="1"/>
  <c r="R700" i="1" l="1" a="1"/>
  <c r="R700" i="1" s="1"/>
  <c r="P701" i="1"/>
  <c r="Q701" i="1" s="1"/>
  <c r="L703" i="1"/>
  <c r="N703" i="1" s="1"/>
  <c r="M703" i="1"/>
  <c r="R701" i="1" l="1" a="1"/>
  <c r="R701" i="1" s="1"/>
  <c r="M704" i="1"/>
  <c r="P702" i="1"/>
  <c r="L704" i="1"/>
  <c r="N704" i="1" s="1"/>
  <c r="Q702" i="1"/>
  <c r="R702" i="1" l="1" a="1"/>
  <c r="R702" i="1" s="1"/>
  <c r="P703" i="1"/>
  <c r="Q703" i="1"/>
  <c r="L705" i="1"/>
  <c r="N705" i="1" s="1"/>
  <c r="M705" i="1"/>
  <c r="R703" i="1" l="1" a="1"/>
  <c r="R703" i="1" s="1"/>
  <c r="M706" i="1"/>
  <c r="L706" i="1"/>
  <c r="N706" i="1" s="1"/>
  <c r="P704" i="1"/>
  <c r="Q704" i="1"/>
  <c r="R704" i="1" l="1" a="1"/>
  <c r="R704" i="1" s="1"/>
  <c r="P705" i="1"/>
  <c r="Q705" i="1" s="1"/>
  <c r="L707" i="1"/>
  <c r="N707" i="1" s="1"/>
  <c r="M707" i="1"/>
  <c r="R705" i="1" l="1" a="1"/>
  <c r="R705" i="1" s="1"/>
  <c r="M708" i="1"/>
  <c r="L708" i="1"/>
  <c r="N708" i="1" s="1"/>
  <c r="P706" i="1"/>
  <c r="Q706" i="1" s="1"/>
  <c r="R706" i="1" l="1" a="1"/>
  <c r="R706" i="1" s="1"/>
  <c r="P707" i="1"/>
  <c r="Q707" i="1" s="1"/>
  <c r="M709" i="1"/>
  <c r="L709" i="1"/>
  <c r="N709" i="1" s="1"/>
  <c r="R707" i="1" l="1" a="1"/>
  <c r="R707" i="1" s="1"/>
  <c r="P708" i="1"/>
  <c r="L710" i="1"/>
  <c r="N710" i="1" s="1"/>
  <c r="M710" i="1"/>
  <c r="Q708" i="1"/>
  <c r="R708" i="1" l="1" a="1"/>
  <c r="R708" i="1" s="1"/>
  <c r="L711" i="1"/>
  <c r="N711" i="1" s="1"/>
  <c r="M711" i="1"/>
  <c r="P709" i="1"/>
  <c r="Q709" i="1" s="1"/>
  <c r="R709" i="1" l="1" a="1"/>
  <c r="R709" i="1" s="1"/>
  <c r="M712" i="1"/>
  <c r="P710" i="1"/>
  <c r="Q710" i="1" s="1"/>
  <c r="L712" i="1"/>
  <c r="N712" i="1" s="1"/>
  <c r="R710" i="1" l="1" a="1"/>
  <c r="R710" i="1" s="1"/>
  <c r="P711" i="1"/>
  <c r="Q711" i="1"/>
  <c r="L713" i="1"/>
  <c r="N713" i="1" s="1"/>
  <c r="M713" i="1"/>
  <c r="R711" i="1" l="1" a="1"/>
  <c r="R711" i="1" s="1"/>
  <c r="M714" i="1"/>
  <c r="L714" i="1"/>
  <c r="N714" i="1" s="1"/>
  <c r="P712" i="1"/>
  <c r="Q712" i="1" s="1"/>
  <c r="R712" i="1" l="1" a="1"/>
  <c r="R712" i="1" s="1"/>
  <c r="P713" i="1"/>
  <c r="Q713" i="1" s="1"/>
  <c r="L715" i="1"/>
  <c r="N715" i="1" s="1"/>
  <c r="M715" i="1"/>
  <c r="R713" i="1" l="1" a="1"/>
  <c r="R713" i="1" s="1"/>
  <c r="M716" i="1"/>
  <c r="L716" i="1"/>
  <c r="N716" i="1" s="1"/>
  <c r="P714" i="1"/>
  <c r="Q714" i="1" s="1"/>
  <c r="R714" i="1" l="1" a="1"/>
  <c r="R714" i="1" s="1"/>
  <c r="L717" i="1"/>
  <c r="N717" i="1" s="1"/>
  <c r="M717" i="1"/>
  <c r="P715" i="1"/>
  <c r="Q715" i="1" s="1"/>
  <c r="R715" i="1" l="1" a="1"/>
  <c r="R715" i="1" s="1"/>
  <c r="M718" i="1"/>
  <c r="P716" i="1"/>
  <c r="Q716" i="1" s="1"/>
  <c r="L718" i="1"/>
  <c r="N718" i="1" s="1"/>
  <c r="R716" i="1" l="1" a="1"/>
  <c r="R716" i="1" s="1"/>
  <c r="L719" i="1"/>
  <c r="N719" i="1" s="1"/>
  <c r="M719" i="1"/>
  <c r="P717" i="1"/>
  <c r="Q717" i="1" s="1"/>
  <c r="R717" i="1" l="1" a="1"/>
  <c r="R717" i="1" s="1"/>
  <c r="M720" i="1"/>
  <c r="P718" i="1"/>
  <c r="Q718" i="1" s="1"/>
  <c r="L720" i="1"/>
  <c r="N720" i="1" s="1"/>
  <c r="R718" i="1" l="1" a="1"/>
  <c r="R718" i="1" s="1"/>
  <c r="L721" i="1"/>
  <c r="N721" i="1" s="1"/>
  <c r="P719" i="1"/>
  <c r="Q719" i="1" s="1"/>
  <c r="M721" i="1"/>
  <c r="R719" i="1" l="1" a="1"/>
  <c r="R719" i="1" s="1"/>
  <c r="M722" i="1"/>
  <c r="L722" i="1"/>
  <c r="N722" i="1" s="1"/>
  <c r="P720" i="1"/>
  <c r="Q720" i="1" s="1"/>
  <c r="R720" i="1" l="1" a="1"/>
  <c r="R720" i="1" s="1"/>
  <c r="P721" i="1"/>
  <c r="Q721" i="1" s="1"/>
  <c r="L723" i="1"/>
  <c r="N723" i="1" s="1"/>
  <c r="M723" i="1"/>
  <c r="R721" i="1" l="1" a="1"/>
  <c r="R721" i="1" s="1"/>
  <c r="M724" i="1"/>
  <c r="L724" i="1"/>
  <c r="N724" i="1" s="1"/>
  <c r="P722" i="1"/>
  <c r="Q722" i="1" s="1"/>
  <c r="R722" i="1" l="1" a="1"/>
  <c r="R722" i="1" s="1"/>
  <c r="L725" i="1"/>
  <c r="N725" i="1" s="1"/>
  <c r="P723" i="1"/>
  <c r="Q723" i="1" s="1"/>
  <c r="M725" i="1"/>
  <c r="R723" i="1" l="1" a="1"/>
  <c r="R723" i="1" s="1"/>
  <c r="M726" i="1"/>
  <c r="P724" i="1"/>
  <c r="Q724" i="1" s="1"/>
  <c r="L726" i="1"/>
  <c r="N726" i="1" s="1"/>
  <c r="R724" i="1" l="1" a="1"/>
  <c r="R724" i="1" s="1"/>
  <c r="L727" i="1"/>
  <c r="N727" i="1" s="1"/>
  <c r="P725" i="1"/>
  <c r="Q725" i="1" s="1"/>
  <c r="M727" i="1"/>
  <c r="R725" i="1" l="1" a="1"/>
  <c r="R725" i="1" s="1"/>
  <c r="M728" i="1"/>
  <c r="P726" i="1"/>
  <c r="Q726" i="1" s="1"/>
  <c r="L728" i="1"/>
  <c r="N728" i="1" s="1"/>
  <c r="R726" i="1" l="1" a="1"/>
  <c r="R726" i="1" s="1"/>
  <c r="P727" i="1"/>
  <c r="Q727" i="1" s="1"/>
  <c r="L729" i="1"/>
  <c r="N729" i="1" s="1"/>
  <c r="M729" i="1"/>
  <c r="R727" i="1" l="1" a="1"/>
  <c r="R727" i="1" s="1"/>
  <c r="L730" i="1"/>
  <c r="N730" i="1" s="1"/>
  <c r="M730" i="1"/>
  <c r="P728" i="1"/>
  <c r="Q728" i="1" s="1"/>
  <c r="R728" i="1" l="1" a="1"/>
  <c r="R728" i="1" s="1"/>
  <c r="P729" i="1"/>
  <c r="Q729" i="1" s="1"/>
  <c r="M731" i="1"/>
  <c r="L731" i="1"/>
  <c r="N731" i="1" s="1"/>
  <c r="R729" i="1" l="1" a="1"/>
  <c r="R729" i="1" s="1"/>
  <c r="L732" i="1"/>
  <c r="N732" i="1" s="1"/>
  <c r="P730" i="1"/>
  <c r="Q730" i="1" s="1"/>
  <c r="M732" i="1"/>
  <c r="R730" i="1" l="1" a="1"/>
  <c r="R730" i="1" s="1"/>
  <c r="L733" i="1"/>
  <c r="N733" i="1" s="1"/>
  <c r="P731" i="1"/>
  <c r="Q731" i="1" s="1"/>
  <c r="M733" i="1"/>
  <c r="R731" i="1" l="1" a="1"/>
  <c r="R731" i="1" s="1"/>
  <c r="M734" i="1"/>
  <c r="P732" i="1"/>
  <c r="Q732" i="1" s="1"/>
  <c r="L734" i="1"/>
  <c r="N734" i="1" s="1"/>
  <c r="R732" i="1" l="1" a="1"/>
  <c r="R732" i="1" s="1"/>
  <c r="L735" i="1"/>
  <c r="N735" i="1" s="1"/>
  <c r="P733" i="1"/>
  <c r="Q733" i="1" s="1"/>
  <c r="M735" i="1"/>
  <c r="R733" i="1" l="1" a="1"/>
  <c r="R733" i="1" s="1"/>
  <c r="M736" i="1"/>
  <c r="P734" i="1"/>
  <c r="Q734" i="1" s="1"/>
  <c r="L736" i="1"/>
  <c r="N736" i="1" s="1"/>
  <c r="R734" i="1" l="1" a="1"/>
  <c r="R734" i="1" s="1"/>
  <c r="P735" i="1"/>
  <c r="Q735" i="1" s="1"/>
  <c r="L737" i="1"/>
  <c r="N737" i="1" s="1"/>
  <c r="M737" i="1"/>
  <c r="R735" i="1" l="1" a="1"/>
  <c r="R735" i="1" s="1"/>
  <c r="M738" i="1"/>
  <c r="L738" i="1"/>
  <c r="N738" i="1" s="1"/>
  <c r="P736" i="1"/>
  <c r="Q736" i="1" s="1"/>
  <c r="R736" i="1" l="1" a="1"/>
  <c r="R736" i="1" s="1"/>
  <c r="P737" i="1"/>
  <c r="Q737" i="1" s="1"/>
  <c r="L739" i="1"/>
  <c r="N739" i="1" s="1"/>
  <c r="M739" i="1"/>
  <c r="R737" i="1" l="1" a="1"/>
  <c r="R737" i="1" s="1"/>
  <c r="M740" i="1"/>
  <c r="L740" i="1"/>
  <c r="N740" i="1" s="1"/>
  <c r="P738" i="1"/>
  <c r="Q738" i="1" s="1"/>
  <c r="R738" i="1" l="1" a="1"/>
  <c r="R738" i="1" s="1"/>
  <c r="L741" i="1"/>
  <c r="N741" i="1" s="1"/>
  <c r="P739" i="1"/>
  <c r="Q739" i="1" s="1"/>
  <c r="M741" i="1"/>
  <c r="R739" i="1" l="1" a="1"/>
  <c r="R739" i="1" s="1"/>
  <c r="M742" i="1"/>
  <c r="L742" i="1"/>
  <c r="N742" i="1" s="1"/>
  <c r="P740" i="1"/>
  <c r="Q740" i="1" s="1"/>
  <c r="R740" i="1" l="1" a="1"/>
  <c r="R740" i="1" s="1"/>
  <c r="L743" i="1"/>
  <c r="N743" i="1" s="1"/>
  <c r="P741" i="1"/>
  <c r="Q741" i="1" s="1"/>
  <c r="M743" i="1"/>
  <c r="R741" i="1" l="1" a="1"/>
  <c r="R741" i="1" s="1"/>
  <c r="M744" i="1"/>
  <c r="P742" i="1"/>
  <c r="Q742" i="1" s="1"/>
  <c r="L744" i="1"/>
  <c r="N744" i="1" s="1"/>
  <c r="R742" i="1" l="1" a="1"/>
  <c r="R742" i="1" s="1"/>
  <c r="P743" i="1"/>
  <c r="Q743" i="1" s="1"/>
  <c r="L745" i="1"/>
  <c r="N745" i="1" s="1"/>
  <c r="M745" i="1"/>
  <c r="R743" i="1" l="1" a="1"/>
  <c r="R743" i="1" s="1"/>
  <c r="M746" i="1"/>
  <c r="L746" i="1"/>
  <c r="N746" i="1" s="1"/>
  <c r="P744" i="1"/>
  <c r="Q744" i="1" s="1"/>
  <c r="R744" i="1" l="1" a="1"/>
  <c r="R744" i="1" s="1"/>
  <c r="P745" i="1"/>
  <c r="Q745" i="1" s="1"/>
  <c r="L747" i="1"/>
  <c r="N747" i="1" s="1"/>
  <c r="M747" i="1"/>
  <c r="R745" i="1" l="1" a="1"/>
  <c r="R745" i="1" s="1"/>
  <c r="M748" i="1"/>
  <c r="L748" i="1"/>
  <c r="N748" i="1" s="1"/>
  <c r="P746" i="1"/>
  <c r="Q746" i="1" s="1"/>
  <c r="R746" i="1" l="1" a="1"/>
  <c r="R746" i="1" s="1"/>
  <c r="L749" i="1"/>
  <c r="N749" i="1" s="1"/>
  <c r="P747" i="1"/>
  <c r="Q747" i="1" s="1"/>
  <c r="M749" i="1"/>
  <c r="R747" i="1" l="1" a="1"/>
  <c r="R747" i="1" s="1"/>
  <c r="P748" i="1"/>
  <c r="Q748" i="1" s="1"/>
  <c r="R748" i="1" l="1" a="1"/>
  <c r="R748" i="1" s="1"/>
  <c r="P749" i="1"/>
  <c r="Q749" i="1" s="1"/>
  <c r="R749" i="1" l="1" a="1"/>
  <c r="R74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<sst xmlns="http://schemas.openxmlformats.org/spreadsheetml/2006/main" count="21" uniqueCount="21">
  <si>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time</t>
  </si>
  <si>
    <t>impulse</t>
  </si>
  <si>
    <t>sines</t>
  </si>
  <si>
    <t>Imp*sin</t>
  </si>
  <si>
    <t>Model</t>
  </si>
  <si>
    <t>Data</t>
  </si>
  <si>
    <t>LTE_Amp</t>
  </si>
  <si>
    <t>LTE_Freq</t>
  </si>
  <si>
    <t>LTE_Phase</t>
  </si>
  <si>
    <t>Imp_Stride</t>
  </si>
  <si>
    <t>Imp_Amp</t>
  </si>
  <si>
    <t>Hold</t>
  </si>
  <si>
    <t>Initial_Condition</t>
  </si>
  <si>
    <t>Semi_Amp</t>
  </si>
  <si>
    <t>Semi_Phase</t>
  </si>
  <si>
    <t>Annual_Amp</t>
  </si>
  <si>
    <t>Annual_Phase</t>
  </si>
  <si>
    <t>Forcing</t>
  </si>
  <si>
    <t>Year</t>
  </si>
  <si>
    <t>Periods</t>
  </si>
  <si>
    <t>Aliased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</si>
</sst>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9C842-DC74-4E8C-B203-F0916E607D5B}">
  <sheetPr codeName="Sheet1"/>
  <dimension ref="A1:V749"/>
  <sheetViews>
    <sheetView tabSelected="1" zoomScale="50" zoomScaleNormal="50" workbookViewId="0">
      <selection activeCell="C1" sqref="C1"/>
    </sheetView>
  </sheetViews>
  <sheetFormatPr defaultRowHeight="14.5" x14ac:dyDescent="0.35"/>
  <cols>
    <col min="1" max="1" width="17.453125" customWidth="1"/>
    <col min="2" max="2" width="8.36328125" customWidth="1"/>
    <col min="3" max="3" width="11.08984375" customWidth="1"/>
  </cols>
  <sheetData>
    <row r="1" spans="1:22" x14ac:dyDescent="0.35">
      <c r="A1" t="s">
        <v>18</v>
      </c>
      <c r="B1">
        <v>365.24972589295714</v>
      </c>
      <c r="C1" t="s">
        <v>5</v>
      </c>
      <c r="E1" t="s">
        <v>19</v>
      </c>
      <c r="H1" t="s">
        <v>20</v>
      </c>
      <c r="M1" t="s">
        <v>0</v>
      </c>
      <c r="N1" t="s">
        <v>1</v>
      </c>
      <c r="O1" t="s">
        <v>2</v>
      </c>
      <c r="P1" t="s">
        <v>3</v>
      </c>
      <c r="Q1" t="s">
        <v>17</v>
      </c>
      <c r="R1" t="s">
        <v>4</v>
      </c>
    </row>
    <row r="2" spans="1:22" x14ac:dyDescent="0.35">
      <c r="A2" t="s">
        <v>6</v>
      </c>
      <c r="B2">
        <v>10.19143632933833</v>
      </c>
      <c r="C2">
        <v>-0.43692799999999998</v>
      </c>
      <c r="E2">
        <v>27.212199999999999</v>
      </c>
      <c r="F2">
        <v>0.8071946082686795</v>
      </c>
      <c r="G2">
        <v>14.601721069988933</v>
      </c>
      <c r="H2">
        <f>+MOD($B$1/E2,1)</f>
        <v>0.42227845940266384</v>
      </c>
      <c r="I2">
        <v>0.97187223775278764</v>
      </c>
      <c r="J2">
        <v>13.152237010391488</v>
      </c>
      <c r="L2">
        <v>1</v>
      </c>
      <c r="M2">
        <v>1880</v>
      </c>
      <c r="N2">
        <f t="shared" ref="N2:N65" si="0">+IF(MOD(L2,$B$5)=1, $B$6, 0)</f>
        <v>200</v>
      </c>
      <c r="O2">
        <f t="array" ref="O2">+SUM($F$2:$F$18*SIN(2*PI()*(M2)*$B$1/$E$2:$E$18+$G$2:$G$18))</f>
        <v>1.6430401929764906</v>
      </c>
      <c r="P2">
        <f>+N2*O2</f>
        <v>328.60803859529813</v>
      </c>
      <c r="Q2">
        <f>+(1-$B$7)*B8+($B$7)*P2</f>
        <v>0.75720847337060437</v>
      </c>
      <c r="R2">
        <f t="array" ref="R2">+$B$2*SIN(Q2*$B$3+$B$4)+Q2+$B$9*SIN(PI()*M2+$B$10)+$B$11*SIN(2*PI()*M2+$B$12) + SUM($I$2:$I$18*SIN(2*PI()*M2*$H$2:$H$18+$J$2:$J$18))</f>
        <v>-10.371375930571642</v>
      </c>
    </row>
    <row r="3" spans="1:22" x14ac:dyDescent="0.35">
      <c r="A3" t="s">
        <v>7</v>
      </c>
      <c r="B3">
        <v>9.3170801747397896</v>
      </c>
      <c r="C3">
        <v>-0.46153846199999998</v>
      </c>
      <c r="E3">
        <v>27.3216</v>
      </c>
      <c r="F3">
        <v>0.25203768193585979</v>
      </c>
      <c r="G3">
        <v>8.6376253692246419</v>
      </c>
      <c r="H3">
        <f>+MOD($B$1/E3,1)</f>
        <v>0.36853353730957039</v>
      </c>
      <c r="I3">
        <v>1.4967627629749751</v>
      </c>
      <c r="J3">
        <v>11.477002607466682</v>
      </c>
      <c r="L3">
        <f>+L2+1</f>
        <v>2</v>
      </c>
      <c r="M3">
        <f>+M2+1/12</f>
        <v>1880.0833333333333</v>
      </c>
      <c r="N3">
        <f t="shared" si="0"/>
        <v>0</v>
      </c>
      <c r="O3">
        <f t="array" ref="O3">+SUM($F$2:$F$18*SIN(2*PI()*(M3)*$B$1/$E$2:$E$18+$G$2:$G$18))</f>
        <v>1.0732916898701044</v>
      </c>
      <c r="P3">
        <f t="shared" ref="P3:P66" si="1">+N3*O3</f>
        <v>0</v>
      </c>
      <c r="Q3">
        <f t="shared" ref="Q3:Q66" si="2">+(1-$B$7)*Q2+($B$7)*P3</f>
        <v>0.75546266775440496</v>
      </c>
      <c r="R3">
        <f t="array" ref="R3">+$B$2*SIN(Q3*$B$3+$B$4)+Q3+$B$9*SIN(PI()*M3+$B$10)+$B$11*SIN(2*PI()*M3+$B$12) + SUM($I$2:$I$18*SIN(2*PI()*M3*$H$2:$H$18+$J$2:$J$18))</f>
        <v>-10.989366208374697</v>
      </c>
      <c r="V3">
        <f>+(CORREL(R57:R745,C16:C704))</f>
        <v>0.69211023057396093</v>
      </c>
    </row>
    <row r="4" spans="1:22" x14ac:dyDescent="0.35">
      <c r="A4" t="s">
        <v>8</v>
      </c>
      <c r="B4">
        <v>5.0349604400018402</v>
      </c>
      <c r="C4">
        <v>-0.75220100000000001</v>
      </c>
      <c r="E4">
        <v>27.554500000000001</v>
      </c>
      <c r="F4">
        <v>0.14495783241890756</v>
      </c>
      <c r="G4">
        <v>19.206932731788925</v>
      </c>
      <c r="H4">
        <f>+MOD($B$1/E4,1)</f>
        <v>0.25553814777829942</v>
      </c>
      <c r="I4">
        <v>0.81014640655775927</v>
      </c>
      <c r="J4">
        <v>19.184165583057485</v>
      </c>
      <c r="L4">
        <f t="shared" ref="L4:L67" si="3">+L3+1</f>
        <v>3</v>
      </c>
      <c r="M4">
        <f t="shared" ref="M4:M67" si="4">+M3+1/12</f>
        <v>1880.1666666666665</v>
      </c>
      <c r="N4">
        <f t="shared" si="0"/>
        <v>0</v>
      </c>
      <c r="O4">
        <f t="array" ref="O4">+SUM($F$2:$F$18*SIN(2*PI()*(M4)*$B$1/$E$2:$E$18+$G$2:$G$18))</f>
        <v>-0.43337887014581333</v>
      </c>
      <c r="P4">
        <f t="shared" si="1"/>
        <v>0</v>
      </c>
      <c r="Q4">
        <f t="shared" si="2"/>
        <v>0.75372088723480279</v>
      </c>
      <c r="R4">
        <f t="array" ref="R4">+$B$2*SIN(Q4*$B$3+$B$4)+Q4+$B$9*SIN(PI()*M4+$B$10)+$B$11*SIN(2*PI()*M4+$B$12) + SUM($I$2:$I$18*SIN(2*PI()*M4*$H$2:$H$18+$J$2:$J$18))</f>
        <v>-11.296005785011578</v>
      </c>
    </row>
    <row r="5" spans="1:22" x14ac:dyDescent="0.35">
      <c r="A5" t="s">
        <v>9</v>
      </c>
      <c r="B5">
        <v>12</v>
      </c>
      <c r="C5">
        <v>0.50465800000000005</v>
      </c>
      <c r="E5">
        <f>1/(1/E3+1/E2)</f>
        <v>13.633395133293481</v>
      </c>
      <c r="F5">
        <v>0.15625399020954489</v>
      </c>
      <c r="G5">
        <v>9.4945259808155598</v>
      </c>
      <c r="H5">
        <f>1-MOD($B$1/E5,1)</f>
        <v>0.20918800328776754</v>
      </c>
      <c r="I5">
        <v>1.3445860366912026</v>
      </c>
      <c r="J5">
        <v>8.0008117600818274</v>
      </c>
      <c r="L5">
        <f t="shared" si="3"/>
        <v>4</v>
      </c>
      <c r="M5">
        <f t="shared" si="4"/>
        <v>1880.2499999999998</v>
      </c>
      <c r="N5">
        <f t="shared" si="0"/>
        <v>0</v>
      </c>
      <c r="O5">
        <f t="array" ref="O5">+SUM($F$2:$F$18*SIN(2*PI()*(M5)*$B$1/$E$2:$E$18+$G$2:$G$18))</f>
        <v>-1.1510365273798953</v>
      </c>
      <c r="P5">
        <f t="shared" si="1"/>
        <v>0</v>
      </c>
      <c r="Q5">
        <f t="shared" si="2"/>
        <v>0.75198312253161081</v>
      </c>
      <c r="R5">
        <f t="array" ref="R5">+$B$2*SIN(Q5*$B$3+$B$4)+Q5+$B$9*SIN(PI()*M5+$B$10)+$B$11*SIN(2*PI()*M5+$B$12) + SUM($I$2:$I$18*SIN(2*PI()*M5*$H$2:$H$18+$J$2:$J$18))</f>
        <v>-11.223437791831749</v>
      </c>
    </row>
    <row r="6" spans="1:22" x14ac:dyDescent="0.35">
      <c r="A6" t="s">
        <v>10</v>
      </c>
      <c r="B6">
        <v>200</v>
      </c>
      <c r="C6">
        <v>0.35098999999999997</v>
      </c>
      <c r="E6">
        <f>1/(1/E2+1/E4)</f>
        <v>13.691140143554387</v>
      </c>
      <c r="F6">
        <v>-0.3374105385808428</v>
      </c>
      <c r="G6">
        <v>23.147276504187143</v>
      </c>
      <c r="H6">
        <f>1-MOD($B$1/E6,1)</f>
        <v>0.32218339281903852</v>
      </c>
      <c r="I6">
        <v>-1.9682040533943388</v>
      </c>
      <c r="J6">
        <v>22.575654934612825</v>
      </c>
      <c r="L6">
        <f t="shared" si="3"/>
        <v>5</v>
      </c>
      <c r="M6">
        <f t="shared" si="4"/>
        <v>1880.333333333333</v>
      </c>
      <c r="N6">
        <f t="shared" si="0"/>
        <v>0</v>
      </c>
      <c r="O6">
        <f t="array" ref="O6">+SUM($F$2:$F$18*SIN(2*PI()*(M6)*$B$1/$E$2:$E$18+$G$2:$G$18))</f>
        <v>-0.94358596270260597</v>
      </c>
      <c r="P6">
        <f t="shared" si="1"/>
        <v>0</v>
      </c>
      <c r="Q6">
        <f t="shared" si="2"/>
        <v>0.75024936438603829</v>
      </c>
      <c r="R6">
        <f t="array" ref="R6">+$B$2*SIN(Q6*$B$3+$B$4)+Q6+$B$9*SIN(PI()*M6+$B$10)+$B$11*SIN(2*PI()*M6+$B$12) + SUM($I$2:$I$18*SIN(2*PI()*M6*$H$2:$H$18+$J$2:$J$18))</f>
        <v>-10.777008160797887</v>
      </c>
    </row>
    <row r="7" spans="1:22" x14ac:dyDescent="0.35">
      <c r="A7" t="s">
        <v>11</v>
      </c>
      <c r="B7">
        <v>2.305581194077515E-3</v>
      </c>
      <c r="C7">
        <v>0.41116399999999997</v>
      </c>
      <c r="E7">
        <f>+E2/2</f>
        <v>13.6061</v>
      </c>
      <c r="F7">
        <v>0.25051403468121081</v>
      </c>
      <c r="G7">
        <v>11.834794016103572</v>
      </c>
      <c r="H7">
        <f>1-MOD($B$1/E7,1)</f>
        <v>0.15544308119467232</v>
      </c>
      <c r="I7">
        <v>-2.4784323840437739</v>
      </c>
      <c r="J7">
        <v>12.281777760199136</v>
      </c>
      <c r="L7">
        <f t="shared" si="3"/>
        <v>6</v>
      </c>
      <c r="M7">
        <f t="shared" si="4"/>
        <v>1880.4166666666663</v>
      </c>
      <c r="N7">
        <f t="shared" si="0"/>
        <v>0</v>
      </c>
      <c r="O7">
        <f t="array" ref="O7">+SUM($F$2:$F$18*SIN(2*PI()*(M7)*$B$1/$E$2:$E$18+$G$2:$G$18))</f>
        <v>-1.0807113018796823</v>
      </c>
      <c r="P7">
        <f t="shared" si="1"/>
        <v>0</v>
      </c>
      <c r="Q7">
        <f t="shared" si="2"/>
        <v>0.74851960356064118</v>
      </c>
      <c r="R7">
        <f t="array" ref="R7">+$B$2*SIN(Q7*$B$3+$B$4)+Q7+$B$9*SIN(PI()*M7+$B$10)+$B$11*SIN(2*PI()*M7+$B$12) + SUM($I$2:$I$18*SIN(2*PI()*M7*$H$2:$H$18+$J$2:$J$18))</f>
        <v>-10.039951671516217</v>
      </c>
    </row>
    <row r="8" spans="1:22" x14ac:dyDescent="0.35">
      <c r="A8" t="s">
        <v>12</v>
      </c>
      <c r="B8">
        <v>-4.2502055681607124E-4</v>
      </c>
      <c r="C8">
        <v>0.42057</v>
      </c>
      <c r="E8">
        <f>+E3/2</f>
        <v>13.6608</v>
      </c>
      <c r="F8">
        <v>0.31264971852701101</v>
      </c>
      <c r="G8">
        <v>8.5061151896541709</v>
      </c>
      <c r="H8">
        <f>1-MOD($B$1/E8,1)</f>
        <v>0.26293292538085922</v>
      </c>
      <c r="I8">
        <v>-2.0704395349794029</v>
      </c>
      <c r="J8">
        <v>8.7868392402990825</v>
      </c>
      <c r="L8">
        <f t="shared" si="3"/>
        <v>7</v>
      </c>
      <c r="M8">
        <f t="shared" si="4"/>
        <v>1880.4999999999995</v>
      </c>
      <c r="N8">
        <f t="shared" si="0"/>
        <v>0</v>
      </c>
      <c r="O8">
        <f t="array" ref="O8">+SUM($F$2:$F$18*SIN(2*PI()*(M8)*$B$1/$E$2:$E$18+$G$2:$G$18))</f>
        <v>-0.76776385645442313</v>
      </c>
      <c r="P8">
        <f t="shared" si="1"/>
        <v>0</v>
      </c>
      <c r="Q8">
        <f t="shared" si="2"/>
        <v>0.74679383083927342</v>
      </c>
      <c r="R8" cm="1">
        <f t="array" ref="R8">+$B$2*SIN(Q8*$B$3+$B$4)+Q8+$B$9*SIN(PI()*M8+$B$10)+$B$11*SIN(2*PI()*M8+$B$12) + SUM($I$2:$I$18*SIN(2*PI()*M8*$H$2:$H$18+$J$2:$J$18))</f>
        <v>-9.1577956294935987</v>
      </c>
    </row>
    <row r="9" spans="1:22" x14ac:dyDescent="0.35">
      <c r="A9" t="s">
        <v>13</v>
      </c>
      <c r="B9">
        <v>0.72597772984387965</v>
      </c>
      <c r="C9">
        <v>0.38689799999999996</v>
      </c>
      <c r="E9">
        <f>1/(1/E3+1/E4)</f>
        <v>13.718777886912518</v>
      </c>
      <c r="F9">
        <v>0.43863907978276961</v>
      </c>
      <c r="G9">
        <v>12.282847164668265</v>
      </c>
      <c r="H9">
        <f>+MOD($B$1/E9,1)</f>
        <v>0.62407168508786981</v>
      </c>
      <c r="I9">
        <v>-5.3542724520516248E-2</v>
      </c>
      <c r="J9">
        <v>10.997577940181843</v>
      </c>
      <c r="L9">
        <f t="shared" si="3"/>
        <v>8</v>
      </c>
      <c r="M9">
        <f t="shared" si="4"/>
        <v>1880.5833333333328</v>
      </c>
      <c r="N9">
        <f t="shared" si="0"/>
        <v>0</v>
      </c>
      <c r="O9">
        <f t="array" ref="O9">+SUM($F$2:$F$18*SIN(2*PI()*(M9)*$B$1/$E$2:$E$18+$G$2:$G$18))</f>
        <v>0.53661678244754207</v>
      </c>
      <c r="P9">
        <f t="shared" si="1"/>
        <v>0</v>
      </c>
      <c r="Q9">
        <f t="shared" si="2"/>
        <v>0.74507203702703728</v>
      </c>
      <c r="R9">
        <f t="array" ref="R9">+$B$2*SIN(Q9*$B$3+$B$4)+Q9+$B$9*SIN(PI()*M9+$B$10)+$B$11*SIN(2*PI()*M9+$B$12) + SUM($I$2:$I$18*SIN(2*PI()*M9*$H$2:$H$18+$J$2:$J$18))</f>
        <v>-8.3062704140732606</v>
      </c>
    </row>
    <row r="10" spans="1:22" x14ac:dyDescent="0.35">
      <c r="A10" t="s">
        <v>14</v>
      </c>
      <c r="B10">
        <v>-0.47200298236317134</v>
      </c>
      <c r="C10">
        <v>0.70860800000000002</v>
      </c>
      <c r="E10">
        <f>18.6*B1</f>
        <v>6793.6449016090037</v>
      </c>
      <c r="F10">
        <v>0.10293054771085426</v>
      </c>
      <c r="G10">
        <v>8.9680647366431359</v>
      </c>
      <c r="H10">
        <f>+MOD($B$1/E10,1)</f>
        <v>5.3763440860215048E-2</v>
      </c>
      <c r="I10">
        <v>-3.8977609712325688E-2</v>
      </c>
      <c r="J10">
        <v>10.617259732910313</v>
      </c>
      <c r="L10">
        <f t="shared" si="3"/>
        <v>9</v>
      </c>
      <c r="M10">
        <f t="shared" si="4"/>
        <v>1880.6666666666661</v>
      </c>
      <c r="N10">
        <f t="shared" si="0"/>
        <v>0</v>
      </c>
      <c r="O10">
        <f t="array" ref="O10">+SUM($F$2:$F$18*SIN(2*PI()*(M10)*$B$1/$E$2:$E$18+$G$2:$G$18))</f>
        <v>1.7334773577842708</v>
      </c>
      <c r="P10">
        <f t="shared" si="1"/>
        <v>0</v>
      </c>
      <c r="Q10">
        <f t="shared" si="2"/>
        <v>0.74335421295023474</v>
      </c>
      <c r="R10">
        <f t="array" ref="R10">+$B$2*SIN(Q10*$B$3+$B$4)+Q10+$B$9*SIN(PI()*M10+$B$10)+$B$11*SIN(2*PI()*M10+$B$12) + SUM($I$2:$I$18*SIN(2*PI()*M10*$H$2:$H$18+$J$2:$J$18))</f>
        <v>-7.6509341038505827</v>
      </c>
    </row>
    <row r="11" spans="1:22" x14ac:dyDescent="0.35">
      <c r="A11" t="s">
        <v>15</v>
      </c>
      <c r="B11">
        <v>1.0532280813725563</v>
      </c>
      <c r="C11">
        <v>0.66108599999999995</v>
      </c>
      <c r="E11">
        <f>8.85/2*B1</f>
        <v>1616.2300370763353</v>
      </c>
      <c r="F11">
        <v>0.37845119204349775</v>
      </c>
      <c r="G11">
        <v>7.3656979587090987</v>
      </c>
      <c r="H11">
        <f>+MOD($B$1/E11,1)</f>
        <v>0.22598870056497175</v>
      </c>
      <c r="I11">
        <v>-0.45381489785916124</v>
      </c>
      <c r="J11">
        <v>8.50238177657568</v>
      </c>
      <c r="L11">
        <f t="shared" si="3"/>
        <v>10</v>
      </c>
      <c r="M11">
        <f t="shared" si="4"/>
        <v>1880.7499999999993</v>
      </c>
      <c r="N11">
        <f t="shared" si="0"/>
        <v>0</v>
      </c>
      <c r="O11">
        <f t="array" ref="O11">+SUM($F$2:$F$18*SIN(2*PI()*(M11)*$B$1/$E$2:$E$18+$G$2:$G$18))</f>
        <v>2.1825377331657325</v>
      </c>
      <c r="P11">
        <f t="shared" si="1"/>
        <v>0</v>
      </c>
      <c r="Q11">
        <f t="shared" si="2"/>
        <v>0.7416403494563184</v>
      </c>
      <c r="R11">
        <f t="array" ref="R11">+$B$2*SIN(Q11*$B$3+$B$4)+Q11+$B$9*SIN(PI()*M11+$B$10)+$B$11*SIN(2*PI()*M11+$B$12) + SUM($I$2:$I$18*SIN(2*PI()*M11*$H$2:$H$18+$J$2:$J$18))</f>
        <v>-7.3089596157736985</v>
      </c>
    </row>
    <row r="12" spans="1:22" x14ac:dyDescent="0.35">
      <c r="A12" t="s">
        <v>16</v>
      </c>
      <c r="B12">
        <v>3.2385915818704838</v>
      </c>
      <c r="C12">
        <v>0.73971799999999999</v>
      </c>
      <c r="E12">
        <f>1/(2/8.85-1/18.6)*B1</f>
        <v>2120.7674560578366</v>
      </c>
      <c r="F12">
        <v>0.40358866376213876</v>
      </c>
      <c r="G12">
        <v>6.5252677676194235</v>
      </c>
      <c r="H12">
        <f>+MOD($B$1/E12,1)</f>
        <v>0.17222525970475672</v>
      </c>
      <c r="I12">
        <v>1.2682520632034808</v>
      </c>
      <c r="J12">
        <v>5.7903825758530667</v>
      </c>
      <c r="L12">
        <f t="shared" si="3"/>
        <v>11</v>
      </c>
      <c r="M12">
        <f t="shared" si="4"/>
        <v>1880.8333333333326</v>
      </c>
      <c r="N12">
        <f t="shared" si="0"/>
        <v>0</v>
      </c>
      <c r="O12">
        <f t="array" ref="O12">+SUM($F$2:$F$18*SIN(2*PI()*(M12)*$B$1/$E$2:$E$18+$G$2:$G$18))</f>
        <v>1.1901204656305737</v>
      </c>
      <c r="P12">
        <f t="shared" si="1"/>
        <v>0</v>
      </c>
      <c r="Q12">
        <f t="shared" si="2"/>
        <v>0.73993043741384279</v>
      </c>
      <c r="R12">
        <f t="array" ref="R12">+$B$2*SIN(Q12*$B$3+$B$4)+Q12+$B$9*SIN(PI()*M12+$B$10)+$B$11*SIN(2*PI()*M12+$B$12) + SUM($I$2:$I$18*SIN(2*PI()*M12*$H$2:$H$18+$J$2:$J$18))</f>
        <v>-7.3229954625406997</v>
      </c>
    </row>
    <row r="13" spans="1:22" x14ac:dyDescent="0.35">
      <c r="C13">
        <v>0.71680999999999995</v>
      </c>
      <c r="E13">
        <f>+E4/2</f>
        <v>13.77725</v>
      </c>
      <c r="F13">
        <v>0.14497009571075387</v>
      </c>
      <c r="G13">
        <v>17.222967570298419</v>
      </c>
      <c r="H13">
        <f>1-MOD($B$1/E13,1)</f>
        <v>0.48892370444340116</v>
      </c>
      <c r="I13">
        <v>5.0984729640125098E-2</v>
      </c>
      <c r="J13">
        <v>17.883940327035656</v>
      </c>
      <c r="L13">
        <f t="shared" si="3"/>
        <v>12</v>
      </c>
      <c r="M13">
        <f t="shared" si="4"/>
        <v>1880.9166666666658</v>
      </c>
      <c r="N13">
        <f t="shared" si="0"/>
        <v>0</v>
      </c>
      <c r="O13">
        <f t="array" ref="O13">+SUM($F$2:$F$18*SIN(2*PI()*(M13)*$B$1/$E$2:$E$18+$G$2:$G$18))</f>
        <v>-0.75466057275180587</v>
      </c>
      <c r="P13">
        <f t="shared" si="1"/>
        <v>0</v>
      </c>
      <c r="Q13">
        <f t="shared" si="2"/>
        <v>0.7382244677124159</v>
      </c>
      <c r="R13">
        <f t="array" ref="R13">+$B$2*SIN(Q13*$B$3+$B$4)+Q13+$B$9*SIN(PI()*M13+$B$10)+$B$11*SIN(2*PI()*M13+$B$12) + SUM($I$2:$I$18*SIN(2*PI()*M13*$H$2:$H$18+$J$2:$J$18))</f>
        <v>-7.6538367582212228</v>
      </c>
    </row>
    <row r="14" spans="1:22" x14ac:dyDescent="0.35">
      <c r="C14">
        <v>0.82159400000000005</v>
      </c>
      <c r="E14">
        <f>8.85*B1</f>
        <v>3232.4600741526706</v>
      </c>
      <c r="F14">
        <v>0.10084164179370372</v>
      </c>
      <c r="G14">
        <v>5.9630510440848994</v>
      </c>
      <c r="H14">
        <f>+MOD($B$1/E14,1)</f>
        <v>0.11299435028248588</v>
      </c>
      <c r="I14">
        <v>0.73092252478763409</v>
      </c>
      <c r="J14">
        <v>6.4866200265309848</v>
      </c>
      <c r="L14">
        <f t="shared" si="3"/>
        <v>13</v>
      </c>
      <c r="M14">
        <f t="shared" si="4"/>
        <v>1880.9999999999991</v>
      </c>
      <c r="N14">
        <f t="shared" si="0"/>
        <v>200</v>
      </c>
      <c r="O14">
        <f t="array" ref="O14">+SUM($F$2:$F$18*SIN(2*PI()*(M14)*$B$1/$E$2:$E$18+$G$2:$G$18))</f>
        <v>-1.3507089359492364</v>
      </c>
      <c r="P14">
        <f t="shared" si="1"/>
        <v>-270.14178718984726</v>
      </c>
      <c r="Q14">
        <f t="shared" si="2"/>
        <v>0.11368860698324823</v>
      </c>
      <c r="R14">
        <f t="array" ref="R14">+$B$2*SIN(Q14*$B$3+$B$4)+Q14+$B$9*SIN(PI()*M14+$B$10)+$B$11*SIN(2*PI()*M14+$B$12) + SUM($I$2:$I$18*SIN(2*PI()*M14*$H$2:$H$18+$J$2:$J$18))</f>
        <v>-4.4089166616431736</v>
      </c>
    </row>
    <row r="15" spans="1:22" x14ac:dyDescent="0.35">
      <c r="C15">
        <v>1.0048380000000001</v>
      </c>
      <c r="E15">
        <f>1/(1/E8+1/E4)</f>
        <v>9.1329315472652137</v>
      </c>
      <c r="F15">
        <v>1.364169922231652E-2</v>
      </c>
      <c r="G15">
        <v>11.761742772328697</v>
      </c>
      <c r="H15">
        <f>1-MOD($B$1/E15,1)</f>
        <v>7.3947776025562462E-3</v>
      </c>
      <c r="I15">
        <v>0.36251810036326382</v>
      </c>
      <c r="J15">
        <v>16.505325363913549</v>
      </c>
      <c r="L15">
        <f t="shared" si="3"/>
        <v>14</v>
      </c>
      <c r="M15">
        <f t="shared" si="4"/>
        <v>1881.0833333333323</v>
      </c>
      <c r="N15">
        <f t="shared" si="0"/>
        <v>0</v>
      </c>
      <c r="O15">
        <f t="array" ref="O15">+SUM($F$2:$F$18*SIN(2*PI()*(M15)*$B$1/$E$2:$E$18+$G$2:$G$18))</f>
        <v>-0.61342289452931575</v>
      </c>
      <c r="P15">
        <f t="shared" si="1"/>
        <v>0</v>
      </c>
      <c r="Q15">
        <f t="shared" si="2"/>
        <v>0.11342648866900679</v>
      </c>
      <c r="R15">
        <f t="array" ref="R15">+$B$2*SIN(Q15*$B$3+$B$4)+Q15+$B$9*SIN(PI()*M15+$B$10)+$B$11*SIN(2*PI()*M15+$B$12) + SUM($I$2:$I$18*SIN(2*PI()*M15*$H$2:$H$18+$J$2:$J$18))</f>
        <v>-4.9088632487957193</v>
      </c>
    </row>
    <row r="16" spans="1:22" x14ac:dyDescent="0.35">
      <c r="C16">
        <v>1.058848</v>
      </c>
      <c r="E16">
        <f>1/(1/E7+1/E4)</f>
        <v>9.1084503736583038</v>
      </c>
      <c r="F16">
        <v>0.1281313583005021</v>
      </c>
      <c r="G16">
        <v>4.5233902970192919</v>
      </c>
      <c r="H16">
        <f>+MOD($B$1/E16,1)</f>
        <v>0.1000950665836271</v>
      </c>
      <c r="I16">
        <v>1.2183514619468621</v>
      </c>
      <c r="J16">
        <v>9.1511670631369366</v>
      </c>
      <c r="L16">
        <f t="shared" si="3"/>
        <v>15</v>
      </c>
      <c r="M16">
        <f t="shared" si="4"/>
        <v>1881.1666666666656</v>
      </c>
      <c r="N16">
        <f t="shared" si="0"/>
        <v>0</v>
      </c>
      <c r="O16">
        <f t="array" ref="O16">+SUM($F$2:$F$18*SIN(2*PI()*(M16)*$B$1/$E$2:$E$18+$G$2:$G$18))</f>
        <v>-0.15332664574053725</v>
      </c>
      <c r="P16">
        <f t="shared" si="1"/>
        <v>0</v>
      </c>
      <c r="Q16">
        <f t="shared" si="2"/>
        <v>0.11316497468982127</v>
      </c>
      <c r="R16">
        <f t="array" ref="R16">+$B$2*SIN(Q16*$B$3+$B$4)+Q16+$B$9*SIN(PI()*M16+$B$10)+$B$11*SIN(2*PI()*M16+$B$12) + SUM($I$2:$I$18*SIN(2*PI()*M16*$H$2:$H$18+$J$2:$J$18))</f>
        <v>-5.3277672597389607</v>
      </c>
    </row>
    <row r="17" spans="3:18" x14ac:dyDescent="0.35">
      <c r="C17">
        <v>1.314398</v>
      </c>
      <c r="E17">
        <f>1/(1/E5+1/E4)</f>
        <v>9.1206745327628127</v>
      </c>
      <c r="F17">
        <v>3.4967457984853734E-2</v>
      </c>
      <c r="G17">
        <v>9.7080546182246312</v>
      </c>
      <c r="H17">
        <f>+MOD($B$1/E17,1)</f>
        <v>4.6350144490524769E-2</v>
      </c>
      <c r="I17">
        <v>-0.8164776077715884</v>
      </c>
      <c r="J17">
        <v>10.107529269493801</v>
      </c>
      <c r="L17">
        <f t="shared" si="3"/>
        <v>16</v>
      </c>
      <c r="M17">
        <f t="shared" si="4"/>
        <v>1881.2499999999989</v>
      </c>
      <c r="N17">
        <f t="shared" si="0"/>
        <v>0</v>
      </c>
      <c r="O17">
        <f t="array" ref="O17">+SUM($F$2:$F$18*SIN(2*PI()*(M17)*$B$1/$E$2:$E$18+$G$2:$G$18))</f>
        <v>0.27992780915936399</v>
      </c>
      <c r="P17">
        <f t="shared" si="1"/>
        <v>0</v>
      </c>
      <c r="Q17">
        <f t="shared" si="2"/>
        <v>0.11290406365234816</v>
      </c>
      <c r="R17">
        <f t="array" ref="R17">+$B$2*SIN(Q17*$B$3+$B$4)+Q17+$B$9*SIN(PI()*M17+$B$10)+$B$11*SIN(2*PI()*M17+$B$12) + SUM($I$2:$I$18*SIN(2*PI()*M17*$H$2:$H$18+$J$2:$J$18))</f>
        <v>-5.5580247847302573</v>
      </c>
    </row>
    <row r="18" spans="3:18" x14ac:dyDescent="0.35">
      <c r="C18">
        <v>1.4037919999999999</v>
      </c>
      <c r="E18">
        <v>27.093</v>
      </c>
      <c r="F18">
        <v>0.48095906471075139</v>
      </c>
      <c r="G18">
        <v>8.5194327152995744</v>
      </c>
      <c r="H18">
        <f>+MOD($B$1/E18,1)</f>
        <v>0.48133192680607984</v>
      </c>
      <c r="I18">
        <v>0.59673953474419106</v>
      </c>
      <c r="J18">
        <v>11.679033321782878</v>
      </c>
      <c r="L18">
        <f t="shared" si="3"/>
        <v>17</v>
      </c>
      <c r="M18">
        <f t="shared" si="4"/>
        <v>1881.3333333333321</v>
      </c>
      <c r="N18">
        <f t="shared" si="0"/>
        <v>0</v>
      </c>
      <c r="O18">
        <f t="array" ref="O18">+SUM($F$2:$F$18*SIN(2*PI()*(M18)*$B$1/$E$2:$E$18+$G$2:$G$18))</f>
        <v>1.0282927903874144</v>
      </c>
      <c r="P18">
        <f t="shared" si="1"/>
        <v>0</v>
      </c>
      <c r="Q18">
        <f t="shared" si="2"/>
        <v>0.11264375416645638</v>
      </c>
      <c r="R18">
        <f t="array" ref="R18">+$B$2*SIN(Q18*$B$3+$B$4)+Q18+$B$9*SIN(PI()*M18+$B$10)+$B$11*SIN(2*PI()*M18+$B$12) + SUM($I$2:$I$18*SIN(2*PI()*M18*$H$2:$H$18+$J$2:$J$18))</f>
        <v>-5.5560751651523379</v>
      </c>
    </row>
    <row r="19" spans="3:18" x14ac:dyDescent="0.35">
      <c r="C19">
        <v>1.431646</v>
      </c>
      <c r="L19">
        <f t="shared" si="3"/>
        <v>18</v>
      </c>
      <c r="M19">
        <f t="shared" si="4"/>
        <v>1881.4166666666654</v>
      </c>
      <c r="N19">
        <f t="shared" si="0"/>
        <v>0</v>
      </c>
      <c r="O19">
        <f t="array" ref="O19">+SUM($F$2:$F$18*SIN(2*PI()*(M19)*$B$1/$E$2:$E$18+$G$2:$G$18))</f>
        <v>1.8059947999777737</v>
      </c>
      <c r="P19">
        <f t="shared" si="1"/>
        <v>0</v>
      </c>
      <c r="Q19">
        <f t="shared" si="2"/>
        <v>0.1123840448452199</v>
      </c>
      <c r="R19">
        <f t="array" ref="R19">+$B$2*SIN(Q19*$B$3+$B$4)+Q19+$B$9*SIN(PI()*M19+$B$10)+$B$11*SIN(2*PI()*M19+$B$12) + SUM($I$2:$I$18*SIN(2*PI()*M19*$H$2:$H$18+$J$2:$J$18))</f>
        <v>-5.3502473660307057</v>
      </c>
    </row>
    <row r="20" spans="3:18" x14ac:dyDescent="0.35">
      <c r="C20">
        <v>1.01027</v>
      </c>
      <c r="L20">
        <f t="shared" si="3"/>
        <v>19</v>
      </c>
      <c r="M20">
        <f t="shared" si="4"/>
        <v>1881.4999999999986</v>
      </c>
      <c r="N20">
        <f t="shared" si="0"/>
        <v>0</v>
      </c>
      <c r="O20">
        <f t="array" ref="O20">+SUM($F$2:$F$18*SIN(2*PI()*(M20)*$B$1/$E$2:$E$18+$G$2:$G$18))</f>
        <v>2.1680850183481639</v>
      </c>
      <c r="P20">
        <f t="shared" si="1"/>
        <v>0</v>
      </c>
      <c r="Q20">
        <f t="shared" si="2"/>
        <v>0.1121249343049104</v>
      </c>
      <c r="R20">
        <f t="array" ref="R20">+$B$2*SIN(Q20*$B$3+$B$4)+Q20+$B$9*SIN(PI()*M20+$B$10)+$B$11*SIN(2*PI()*M20+$B$12) + SUM($I$2:$I$18*SIN(2*PI()*M20*$H$2:$H$18+$J$2:$J$18))</f>
        <v>-5.0286178891158535</v>
      </c>
    </row>
    <row r="21" spans="3:18" x14ac:dyDescent="0.35">
      <c r="C21">
        <v>0.72119800000000001</v>
      </c>
      <c r="L21">
        <f t="shared" si="3"/>
        <v>20</v>
      </c>
      <c r="M21">
        <f t="shared" si="4"/>
        <v>1881.5833333333319</v>
      </c>
      <c r="N21">
        <f t="shared" si="0"/>
        <v>0</v>
      </c>
      <c r="O21">
        <f t="array" ref="O21">+SUM($F$2:$F$18*SIN(2*PI()*(M21)*$B$1/$E$2:$E$18+$G$2:$G$18))</f>
        <v>0.87007178272829544</v>
      </c>
      <c r="P21">
        <f t="shared" si="1"/>
        <v>0</v>
      </c>
      <c r="Q21">
        <f t="shared" si="2"/>
        <v>0.11186642116498982</v>
      </c>
      <c r="R21">
        <f t="array" ref="R21">+$B$2*SIN(Q21*$B$3+$B$4)+Q21+$B$9*SIN(PI()*M21+$B$10)+$B$11*SIN(2*PI()*M21+$B$12) + SUM($I$2:$I$18*SIN(2*PI()*M21*$H$2:$H$18+$J$2:$J$18))</f>
        <v>-4.7104558313420508</v>
      </c>
    </row>
    <row r="22" spans="3:18" x14ac:dyDescent="0.35">
      <c r="C22">
        <v>0.34289400000000003</v>
      </c>
      <c r="L22">
        <f t="shared" si="3"/>
        <v>21</v>
      </c>
      <c r="M22">
        <f t="shared" si="4"/>
        <v>1881.6666666666652</v>
      </c>
      <c r="N22">
        <f t="shared" si="0"/>
        <v>0</v>
      </c>
      <c r="O22">
        <f t="array" ref="O22">+SUM($F$2:$F$18*SIN(2*PI()*(M22)*$B$1/$E$2:$E$18+$G$2:$G$18))</f>
        <v>-1.2769185490949331</v>
      </c>
      <c r="P22">
        <f t="shared" si="1"/>
        <v>0</v>
      </c>
      <c r="Q22">
        <f t="shared" si="2"/>
        <v>0.11160850404810306</v>
      </c>
      <c r="R22">
        <f t="array" ref="R22">+$B$2*SIN(Q22*$B$3+$B$4)+Q22+$B$9*SIN(PI()*M22+$B$10)+$B$11*SIN(2*PI()*M22+$B$12) + SUM($I$2:$I$18*SIN(2*PI()*M22*$H$2:$H$18+$J$2:$J$18))</f>
        <v>-4.5092436025100202</v>
      </c>
    </row>
    <row r="23" spans="3:18" x14ac:dyDescent="0.35">
      <c r="C23">
        <v>0.11382199999999999</v>
      </c>
      <c r="L23">
        <f t="shared" si="3"/>
        <v>22</v>
      </c>
      <c r="M23">
        <f t="shared" si="4"/>
        <v>1881.7499999999984</v>
      </c>
      <c r="N23">
        <f t="shared" si="0"/>
        <v>0</v>
      </c>
      <c r="O23">
        <f t="array" ref="O23">+SUM($F$2:$F$18*SIN(2*PI()*(M23)*$B$1/$E$2:$E$18+$G$2:$G$18))</f>
        <v>-1.5801920012002439</v>
      </c>
      <c r="P23">
        <f t="shared" si="1"/>
        <v>0</v>
      </c>
      <c r="Q23">
        <f t="shared" si="2"/>
        <v>0.11135118158007062</v>
      </c>
      <c r="R23">
        <f t="array" ref="R23">+$B$2*SIN(Q23*$B$3+$B$4)+Q23+$B$9*SIN(PI()*M23+$B$10)+$B$11*SIN(2*PI()*M23+$B$12) + SUM($I$2:$I$18*SIN(2*PI()*M23*$H$2:$H$18+$J$2:$J$18))</f>
        <v>-4.4975120401723085</v>
      </c>
    </row>
    <row r="24" spans="3:18" x14ac:dyDescent="0.35">
      <c r="C24">
        <v>0.15398000000000001</v>
      </c>
      <c r="L24">
        <f t="shared" si="3"/>
        <v>23</v>
      </c>
      <c r="M24">
        <f t="shared" si="4"/>
        <v>1881.8333333333317</v>
      </c>
      <c r="N24">
        <f t="shared" si="0"/>
        <v>0</v>
      </c>
      <c r="O24">
        <f t="array" ref="O24">+SUM($F$2:$F$18*SIN(2*PI()*(M24)*$B$1/$E$2:$E$18+$G$2:$G$18))</f>
        <v>-0.33854048687077132</v>
      </c>
      <c r="P24">
        <f t="shared" si="1"/>
        <v>0</v>
      </c>
      <c r="Q24">
        <f t="shared" si="2"/>
        <v>0.1110944523898813</v>
      </c>
      <c r="R24">
        <f t="array" ref="R24">+$B$2*SIN(Q24*$B$3+$B$4)+Q24+$B$9*SIN(PI()*M24+$B$10)+$B$11*SIN(2*PI()*M24+$B$12) + SUM($I$2:$I$18*SIN(2*PI()*M24*$H$2:$H$18+$J$2:$J$18))</f>
        <v>-4.6832140803049818</v>
      </c>
    </row>
    <row r="25" spans="3:18" x14ac:dyDescent="0.35">
      <c r="C25">
        <v>0.134134</v>
      </c>
      <c r="L25">
        <f t="shared" si="3"/>
        <v>24</v>
      </c>
      <c r="M25">
        <f t="shared" si="4"/>
        <v>1881.9166666666649</v>
      </c>
      <c r="N25">
        <f t="shared" si="0"/>
        <v>0</v>
      </c>
      <c r="O25">
        <f t="array" ref="O25">+SUM($F$2:$F$18*SIN(2*PI()*(M25)*$B$1/$E$2:$E$18+$G$2:$G$18))</f>
        <v>0.50297113319606057</v>
      </c>
      <c r="P25">
        <f t="shared" si="1"/>
        <v>0</v>
      </c>
      <c r="Q25">
        <f t="shared" si="2"/>
        <v>0.11083831510968485</v>
      </c>
      <c r="R25">
        <f t="array" ref="R25">+$B$2*SIN(Q25*$B$3+$B$4)+Q25+$B$9*SIN(PI()*M25+$B$10)+$B$11*SIN(2*PI()*M25+$B$12) + SUM($I$2:$I$18*SIN(2*PI()*M25*$H$2:$H$18+$J$2:$J$18))</f>
        <v>-5.004221915216001</v>
      </c>
    </row>
    <row r="26" spans="3:18" x14ac:dyDescent="0.35">
      <c r="C26">
        <v>0.117366</v>
      </c>
      <c r="L26">
        <f t="shared" si="3"/>
        <v>25</v>
      </c>
      <c r="M26">
        <f t="shared" si="4"/>
        <v>1881.9999999999982</v>
      </c>
      <c r="N26">
        <f t="shared" si="0"/>
        <v>200</v>
      </c>
      <c r="O26">
        <f t="array" ref="O26">+SUM($F$2:$F$18*SIN(2*PI()*(M26)*$B$1/$E$2:$E$18+$G$2:$G$18))</f>
        <v>0.73435157194852918</v>
      </c>
      <c r="P26">
        <f t="shared" si="1"/>
        <v>146.87031438970584</v>
      </c>
      <c r="Q26">
        <f t="shared" si="2"/>
        <v>0.44920420319994281</v>
      </c>
      <c r="R26">
        <f t="array" ref="R26">+$B$2*SIN(Q26*$B$3+$B$4)+Q26+$B$9*SIN(PI()*M26+$B$10)+$B$11*SIN(2*PI()*M26+$B$12) + SUM($I$2:$I$18*SIN(2*PI()*M26*$H$2:$H$18+$J$2:$J$18))</f>
        <v>-0.73053610738885011</v>
      </c>
    </row>
    <row r="27" spans="3:18" x14ac:dyDescent="0.35">
      <c r="C27">
        <v>0.23290400000000003</v>
      </c>
      <c r="L27">
        <f t="shared" si="3"/>
        <v>26</v>
      </c>
      <c r="M27">
        <f t="shared" si="4"/>
        <v>1882.0833333333314</v>
      </c>
      <c r="N27">
        <f t="shared" si="0"/>
        <v>0</v>
      </c>
      <c r="O27">
        <f t="array" ref="O27">+SUM($F$2:$F$18*SIN(2*PI()*(M27)*$B$1/$E$2:$E$18+$G$2:$G$18))</f>
        <v>0.80436722948834327</v>
      </c>
      <c r="P27">
        <f t="shared" si="1"/>
        <v>0</v>
      </c>
      <c r="Q27">
        <f t="shared" si="2"/>
        <v>0.44816852643674443</v>
      </c>
      <c r="R27">
        <f t="array" ref="R27">+$B$2*SIN(Q27*$B$3+$B$4)+Q27+$B$9*SIN(PI()*M27+$B$10)+$B$11*SIN(2*PI()*M27+$B$12) + SUM($I$2:$I$18*SIN(2*PI()*M27*$H$2:$H$18+$J$2:$J$18))</f>
        <v>-0.82391594352356057</v>
      </c>
    </row>
    <row r="28" spans="3:18" x14ac:dyDescent="0.35">
      <c r="C28">
        <v>0.174592</v>
      </c>
      <c r="L28">
        <f t="shared" si="3"/>
        <v>27</v>
      </c>
      <c r="M28">
        <f t="shared" si="4"/>
        <v>1882.1666666666647</v>
      </c>
      <c r="N28">
        <f t="shared" si="0"/>
        <v>0</v>
      </c>
      <c r="O28">
        <f t="array" ref="O28">+SUM($F$2:$F$18*SIN(2*PI()*(M28)*$B$1/$E$2:$E$18+$G$2:$G$18))</f>
        <v>1.2361144268241413</v>
      </c>
      <c r="P28">
        <f t="shared" si="1"/>
        <v>0</v>
      </c>
      <c r="Q28">
        <f t="shared" si="2"/>
        <v>0.44713523751041445</v>
      </c>
      <c r="R28">
        <f t="array" ref="R28">+$B$2*SIN(Q28*$B$3+$B$4)+Q28+$B$9*SIN(PI()*M28+$B$10)+$B$11*SIN(2*PI()*M28+$B$12) + SUM($I$2:$I$18*SIN(2*PI()*M28*$H$2:$H$18+$J$2:$J$18))</f>
        <v>-0.66138088978173881</v>
      </c>
    </row>
    <row r="29" spans="3:18" x14ac:dyDescent="0.35">
      <c r="C29">
        <v>0.194744</v>
      </c>
      <c r="L29">
        <f t="shared" si="3"/>
        <v>28</v>
      </c>
      <c r="M29">
        <f t="shared" si="4"/>
        <v>1882.249999999998</v>
      </c>
      <c r="N29">
        <f t="shared" si="0"/>
        <v>0</v>
      </c>
      <c r="O29">
        <f t="array" ref="O29">+SUM($F$2:$F$18*SIN(2*PI()*(M29)*$B$1/$E$2:$E$18+$G$2:$G$18))</f>
        <v>1.5394076666357388</v>
      </c>
      <c r="P29">
        <f t="shared" si="1"/>
        <v>0</v>
      </c>
      <c r="Q29">
        <f t="shared" si="2"/>
        <v>0.44610433091560103</v>
      </c>
      <c r="R29">
        <f t="array" ref="R29">+$B$2*SIN(Q29*$B$3+$B$4)+Q29+$B$9*SIN(PI()*M29+$B$10)+$B$11*SIN(2*PI()*M29+$B$12) + SUM($I$2:$I$18*SIN(2*PI()*M29*$H$2:$H$18+$J$2:$J$18))</f>
        <v>-0.16142866463323524</v>
      </c>
    </row>
    <row r="30" spans="3:18" x14ac:dyDescent="0.35">
      <c r="C30">
        <v>1.6434000000000001E-2</v>
      </c>
      <c r="L30">
        <f t="shared" si="3"/>
        <v>29</v>
      </c>
      <c r="M30">
        <f t="shared" si="4"/>
        <v>1882.3333333333312</v>
      </c>
      <c r="N30">
        <f t="shared" si="0"/>
        <v>0</v>
      </c>
      <c r="O30">
        <f t="array" ref="O30">+SUM($F$2:$F$18*SIN(2*PI()*(M30)*$B$1/$E$2:$E$18+$G$2:$G$18))</f>
        <v>0.13414533489184144</v>
      </c>
      <c r="P30">
        <f t="shared" si="1"/>
        <v>0</v>
      </c>
      <c r="Q30">
        <f t="shared" si="2"/>
        <v>0.44507580115964546</v>
      </c>
      <c r="R30">
        <f t="array" ref="R30">+$B$2*SIN(Q30*$B$3+$B$4)+Q30+$B$9*SIN(PI()*M30+$B$10)+$B$11*SIN(2*PI()*M30+$B$12) + SUM($I$2:$I$18*SIN(2*PI()*M30*$H$2:$H$18+$J$2:$J$18))</f>
        <v>0.68460665661503795</v>
      </c>
    </row>
    <row r="31" spans="3:18" x14ac:dyDescent="0.35">
      <c r="C31">
        <v>-0.555728</v>
      </c>
      <c r="L31">
        <f t="shared" si="3"/>
        <v>30</v>
      </c>
      <c r="M31">
        <f t="shared" si="4"/>
        <v>1882.4166666666645</v>
      </c>
      <c r="N31">
        <f t="shared" si="0"/>
        <v>0</v>
      </c>
      <c r="O31">
        <f t="array" ref="O31">+SUM($F$2:$F$18*SIN(2*PI()*(M31)*$B$1/$E$2:$E$18+$G$2:$G$18))</f>
        <v>-1.8018972002834894</v>
      </c>
      <c r="P31">
        <f t="shared" si="1"/>
        <v>0</v>
      </c>
      <c r="Q31">
        <f t="shared" si="2"/>
        <v>0.44404964276255277</v>
      </c>
      <c r="R31">
        <f t="array" ref="R31">+$B$2*SIN(Q31*$B$3+$B$4)+Q31+$B$9*SIN(PI()*M31+$B$10)+$B$11*SIN(2*PI()*M31+$B$12) + SUM($I$2:$I$18*SIN(2*PI()*M31*$H$2:$H$18+$J$2:$J$18))</f>
        <v>1.8073281411163484</v>
      </c>
    </row>
    <row r="32" spans="3:18" x14ac:dyDescent="0.35">
      <c r="C32">
        <v>-0.69250200000000006</v>
      </c>
      <c r="L32">
        <f t="shared" si="3"/>
        <v>31</v>
      </c>
      <c r="M32">
        <f t="shared" si="4"/>
        <v>1882.4999999999977</v>
      </c>
      <c r="N32">
        <f t="shared" si="0"/>
        <v>0</v>
      </c>
      <c r="O32">
        <f t="array" ref="O32">+SUM($F$2:$F$18*SIN(2*PI()*(M32)*$B$1/$E$2:$E$18+$G$2:$G$18))</f>
        <v>-1.6721556093907424</v>
      </c>
      <c r="P32">
        <f t="shared" si="1"/>
        <v>0</v>
      </c>
      <c r="Q32">
        <f t="shared" si="2"/>
        <v>0.44302585025696256</v>
      </c>
      <c r="R32">
        <f t="array" ref="R32">+$B$2*SIN(Q32*$B$3+$B$4)+Q32+$B$9*SIN(PI()*M32+$B$10)+$B$11*SIN(2*PI()*M32+$B$12) + SUM($I$2:$I$18*SIN(2*PI()*M32*$H$2:$H$18+$J$2:$J$18))</f>
        <v>3.0743594821638824</v>
      </c>
    </row>
    <row r="33" spans="3:18" x14ac:dyDescent="0.35">
      <c r="C33">
        <v>-0.77389399999999997</v>
      </c>
      <c r="L33">
        <f t="shared" si="3"/>
        <v>32</v>
      </c>
      <c r="M33">
        <f t="shared" si="4"/>
        <v>1882.583333333331</v>
      </c>
      <c r="N33">
        <f t="shared" si="0"/>
        <v>0</v>
      </c>
      <c r="O33">
        <f t="array" ref="O33">+SUM($F$2:$F$18*SIN(2*PI()*(M33)*$B$1/$E$2:$E$18+$G$2:$G$18))</f>
        <v>-0.19215768071811715</v>
      </c>
      <c r="P33">
        <f t="shared" si="1"/>
        <v>0</v>
      </c>
      <c r="Q33">
        <f t="shared" si="2"/>
        <v>0.44200441818811992</v>
      </c>
      <c r="R33">
        <f t="array" ref="R33">+$B$2*SIN(Q33*$B$3+$B$4)+Q33+$B$9*SIN(PI()*M33+$B$10)+$B$11*SIN(2*PI()*M33+$B$12) + SUM($I$2:$I$18*SIN(2*PI()*M33*$H$2:$H$18+$J$2:$J$18))</f>
        <v>4.3219520711946773</v>
      </c>
    </row>
    <row r="34" spans="3:18" x14ac:dyDescent="0.35">
      <c r="C34">
        <v>-0.93990399999999996</v>
      </c>
      <c r="L34">
        <f t="shared" si="3"/>
        <v>33</v>
      </c>
      <c r="M34">
        <f t="shared" si="4"/>
        <v>1882.6666666666642</v>
      </c>
      <c r="N34">
        <f t="shared" si="0"/>
        <v>0</v>
      </c>
      <c r="O34">
        <f t="array" ref="O34">+SUM($F$2:$F$18*SIN(2*PI()*(M34)*$B$1/$E$2:$E$18+$G$2:$G$18))</f>
        <v>0.68405875022777585</v>
      </c>
      <c r="P34">
        <f t="shared" si="1"/>
        <v>0</v>
      </c>
      <c r="Q34">
        <f t="shared" si="2"/>
        <v>0.44098534111384619</v>
      </c>
      <c r="R34">
        <f t="array" ref="R34">+$B$2*SIN(Q34*$B$3+$B$4)+Q34+$B$9*SIN(PI()*M34+$B$10)+$B$11*SIN(2*PI()*M34+$B$12) + SUM($I$2:$I$18*SIN(2*PI()*M34*$H$2:$H$18+$J$2:$J$18))</f>
        <v>5.3949115324895773</v>
      </c>
    </row>
    <row r="35" spans="3:18" x14ac:dyDescent="0.35">
      <c r="C35">
        <v>-1.3028360000000001</v>
      </c>
      <c r="L35">
        <f t="shared" si="3"/>
        <v>34</v>
      </c>
      <c r="M35">
        <f t="shared" si="4"/>
        <v>1882.7499999999975</v>
      </c>
      <c r="N35">
        <f t="shared" si="0"/>
        <v>0</v>
      </c>
      <c r="O35">
        <f t="array" ref="O35">+SUM($F$2:$F$18*SIN(2*PI()*(M35)*$B$1/$E$2:$E$18+$G$2:$G$18))</f>
        <v>0.61898652237699414</v>
      </c>
      <c r="P35">
        <f t="shared" si="1"/>
        <v>0</v>
      </c>
      <c r="Q35">
        <f t="shared" si="2"/>
        <v>0.43996861360451023</v>
      </c>
      <c r="R35">
        <f t="array" ref="R35">+$B$2*SIN(Q35*$B$3+$B$4)+Q35+$B$9*SIN(PI()*M35+$B$10)+$B$11*SIN(2*PI()*M35+$B$12) + SUM($I$2:$I$18*SIN(2*PI()*M35*$H$2:$H$18+$J$2:$J$18))</f>
        <v>6.1844000587732575</v>
      </c>
    </row>
    <row r="36" spans="3:18" x14ac:dyDescent="0.35">
      <c r="C36">
        <v>-1.401154</v>
      </c>
      <c r="L36">
        <f t="shared" si="3"/>
        <v>35</v>
      </c>
      <c r="M36">
        <f t="shared" si="4"/>
        <v>1882.8333333333308</v>
      </c>
      <c r="N36">
        <f t="shared" si="0"/>
        <v>0</v>
      </c>
      <c r="O36">
        <f t="array" ref="O36">+SUM($F$2:$F$18*SIN(2*PI()*(M36)*$B$1/$E$2:$E$18+$G$2:$G$18))</f>
        <v>0.22911929662816805</v>
      </c>
      <c r="P36">
        <f t="shared" si="1"/>
        <v>0</v>
      </c>
      <c r="Q36">
        <f t="shared" si="2"/>
        <v>0.43895423024299929</v>
      </c>
      <c r="R36">
        <f t="array" ref="R36">+$B$2*SIN(Q36*$B$3+$B$4)+Q36+$B$9*SIN(PI()*M36+$B$10)+$B$11*SIN(2*PI()*M36+$B$12) + SUM($I$2:$I$18*SIN(2*PI()*M36*$H$2:$H$18+$J$2:$J$18))</f>
        <v>6.6537109039961813</v>
      </c>
    </row>
    <row r="37" spans="3:18" x14ac:dyDescent="0.35">
      <c r="C37">
        <v>-1.6779359999999999</v>
      </c>
      <c r="L37">
        <f t="shared" si="3"/>
        <v>36</v>
      </c>
      <c r="M37">
        <f t="shared" si="4"/>
        <v>1882.916666666664</v>
      </c>
      <c r="N37">
        <f t="shared" si="0"/>
        <v>0</v>
      </c>
      <c r="O37">
        <f t="array" ref="O37">+SUM($F$2:$F$18*SIN(2*PI()*(M37)*$B$1/$E$2:$E$18+$G$2:$G$18))</f>
        <v>0.4442265830369328</v>
      </c>
      <c r="P37">
        <f t="shared" si="1"/>
        <v>0</v>
      </c>
      <c r="Q37">
        <f t="shared" si="2"/>
        <v>0.43794218562469023</v>
      </c>
      <c r="R37">
        <f t="array" ref="R37">+$B$2*SIN(Q37*$B$3+$B$4)+Q37+$B$9*SIN(PI()*M37+$B$10)+$B$11*SIN(2*PI()*M37+$B$12) + SUM($I$2:$I$18*SIN(2*PI()*M37*$H$2:$H$18+$J$2:$J$18))</f>
        <v>6.8452889368256482</v>
      </c>
    </row>
    <row r="38" spans="3:18" x14ac:dyDescent="0.35">
      <c r="C38">
        <v>-1.6454880000000001</v>
      </c>
      <c r="L38">
        <f t="shared" si="3"/>
        <v>37</v>
      </c>
      <c r="M38">
        <f t="shared" si="4"/>
        <v>1882.9999999999973</v>
      </c>
      <c r="N38">
        <f t="shared" si="0"/>
        <v>200</v>
      </c>
      <c r="O38">
        <f t="array" ref="O38">+SUM($F$2:$F$18*SIN(2*PI()*(M38)*$B$1/$E$2:$E$18+$G$2:$G$18))</f>
        <v>0.62930913200377137</v>
      </c>
      <c r="P38">
        <f t="shared" si="1"/>
        <v>125.86182640075427</v>
      </c>
      <c r="Q38">
        <f t="shared" si="2"/>
        <v>0.72711713435924863</v>
      </c>
      <c r="R38">
        <f t="array" ref="R38">+$B$2*SIN(Q38*$B$3+$B$4)+Q38+$B$9*SIN(PI()*M38+$B$10)+$B$11*SIN(2*PI()*M38+$B$12) + SUM($I$2:$I$18*SIN(2*PI()*M38*$H$2:$H$18+$J$2:$J$18))</f>
        <v>-3.0350859404174617</v>
      </c>
    </row>
    <row r="39" spans="3:18" x14ac:dyDescent="0.35">
      <c r="C39">
        <v>-1.57304</v>
      </c>
      <c r="L39">
        <f t="shared" si="3"/>
        <v>38</v>
      </c>
      <c r="M39">
        <f t="shared" si="4"/>
        <v>1883.0833333333305</v>
      </c>
      <c r="N39">
        <f t="shared" si="0"/>
        <v>0</v>
      </c>
      <c r="O39">
        <f t="array" ref="O39">+SUM($F$2:$F$18*SIN(2*PI()*(M39)*$B$1/$E$2:$E$18+$G$2:$G$18))</f>
        <v>-0.63684796733874827</v>
      </c>
      <c r="P39">
        <f t="shared" si="1"/>
        <v>0</v>
      </c>
      <c r="Q39">
        <f t="shared" si="2"/>
        <v>0.72544070676837835</v>
      </c>
      <c r="R39">
        <f t="array" ref="R39">+$B$2*SIN(Q39*$B$3+$B$4)+Q39+$B$9*SIN(PI()*M39+$B$10)+$B$11*SIN(2*PI()*M39+$B$12) + SUM($I$2:$I$18*SIN(2*PI()*M39*$H$2:$H$18+$J$2:$J$18))</f>
        <v>-3.2455668600243754</v>
      </c>
    </row>
    <row r="40" spans="3:18" x14ac:dyDescent="0.35">
      <c r="C40">
        <v>-1.579056</v>
      </c>
      <c r="L40">
        <f t="shared" si="3"/>
        <v>39</v>
      </c>
      <c r="M40">
        <f t="shared" si="4"/>
        <v>1883.1666666666638</v>
      </c>
      <c r="N40">
        <f t="shared" si="0"/>
        <v>0</v>
      </c>
      <c r="O40">
        <f t="array" ref="O40">+SUM($F$2:$F$18*SIN(2*PI()*(M40)*$B$1/$E$2:$E$18+$G$2:$G$18))</f>
        <v>-1.9200856944670965</v>
      </c>
      <c r="P40">
        <f t="shared" si="1"/>
        <v>0</v>
      </c>
      <c r="Q40">
        <f t="shared" si="2"/>
        <v>0.72376814431743486</v>
      </c>
      <c r="R40">
        <f t="array" ref="R40">+$B$2*SIN(Q40*$B$3+$B$4)+Q40+$B$9*SIN(PI()*M40+$B$10)+$B$11*SIN(2*PI()*M40+$B$12) + SUM($I$2:$I$18*SIN(2*PI()*M40*$H$2:$H$18+$J$2:$J$18))</f>
        <v>-3.3400456816410369</v>
      </c>
    </row>
    <row r="41" spans="3:18" x14ac:dyDescent="0.35">
      <c r="C41">
        <v>-1.5358420000000002</v>
      </c>
      <c r="L41">
        <f t="shared" si="3"/>
        <v>40</v>
      </c>
      <c r="M41">
        <f t="shared" si="4"/>
        <v>1883.249999999997</v>
      </c>
      <c r="N41">
        <f t="shared" si="0"/>
        <v>0</v>
      </c>
      <c r="O41">
        <f t="array" ref="O41">+SUM($F$2:$F$18*SIN(2*PI()*(M41)*$B$1/$E$2:$E$18+$G$2:$G$18))</f>
        <v>-1.3618530819361929</v>
      </c>
      <c r="P41">
        <f t="shared" si="1"/>
        <v>0</v>
      </c>
      <c r="Q41">
        <f t="shared" si="2"/>
        <v>0.72209943809502419</v>
      </c>
      <c r="R41">
        <f t="array" ref="R41">+$B$2*SIN(Q41*$B$3+$B$4)+Q41+$B$9*SIN(PI()*M41+$B$10)+$B$11*SIN(2*PI()*M41+$B$12) + SUM($I$2:$I$18*SIN(2*PI()*M41*$H$2:$H$18+$J$2:$J$18))</f>
        <v>-3.2199114170991816</v>
      </c>
    </row>
    <row r="42" spans="3:18" x14ac:dyDescent="0.35">
      <c r="C42">
        <v>-1.5464740000000001</v>
      </c>
      <c r="L42">
        <f t="shared" si="3"/>
        <v>41</v>
      </c>
      <c r="M42">
        <f t="shared" si="4"/>
        <v>1883.3333333333303</v>
      </c>
      <c r="N42">
        <f t="shared" si="0"/>
        <v>0</v>
      </c>
      <c r="O42">
        <f t="array" ref="O42">+SUM($F$2:$F$18*SIN(2*PI()*(M42)*$B$1/$E$2:$E$18+$G$2:$G$18))</f>
        <v>-6.838995286846733E-2</v>
      </c>
      <c r="P42">
        <f t="shared" si="1"/>
        <v>0</v>
      </c>
      <c r="Q42">
        <f t="shared" si="2"/>
        <v>0.7204345792102983</v>
      </c>
      <c r="R42">
        <f t="array" ref="R42">+$B$2*SIN(Q42*$B$3+$B$4)+Q42+$B$9*SIN(PI()*M42+$B$10)+$B$11*SIN(2*PI()*M42+$B$12) + SUM($I$2:$I$18*SIN(2*PI()*M42*$H$2:$H$18+$J$2:$J$18))</f>
        <v>-2.8535016306033656</v>
      </c>
    </row>
    <row r="43" spans="3:18" x14ac:dyDescent="0.35">
      <c r="C43">
        <v>-1.680186</v>
      </c>
      <c r="L43">
        <f t="shared" si="3"/>
        <v>42</v>
      </c>
      <c r="M43">
        <f t="shared" si="4"/>
        <v>1883.4166666666636</v>
      </c>
      <c r="N43">
        <f t="shared" si="0"/>
        <v>0</v>
      </c>
      <c r="O43">
        <f t="array" ref="O43">+SUM($F$2:$F$18*SIN(2*PI()*(M43)*$B$1/$E$2:$E$18+$G$2:$G$18))</f>
        <v>0.53047361936952497</v>
      </c>
      <c r="P43">
        <f t="shared" si="1"/>
        <v>0</v>
      </c>
      <c r="Q43">
        <f t="shared" si="2"/>
        <v>0.71877355879290783</v>
      </c>
      <c r="R43">
        <f t="array" ref="R43">+$B$2*SIN(Q43*$B$3+$B$4)+Q43+$B$9*SIN(PI()*M43+$B$10)+$B$11*SIN(2*PI()*M43+$B$12) + SUM($I$2:$I$18*SIN(2*PI()*M43*$H$2:$H$18+$J$2:$J$18))</f>
        <v>-2.2836350805597263</v>
      </c>
    </row>
    <row r="44" spans="3:18" x14ac:dyDescent="0.35">
      <c r="C44">
        <v>-1.29236</v>
      </c>
      <c r="L44">
        <f t="shared" si="3"/>
        <v>43</v>
      </c>
      <c r="M44">
        <f t="shared" si="4"/>
        <v>1883.4999999999968</v>
      </c>
      <c r="N44">
        <f t="shared" si="0"/>
        <v>0</v>
      </c>
      <c r="O44">
        <f t="array" ref="O44">+SUM($F$2:$F$18*SIN(2*PI()*(M44)*$B$1/$E$2:$E$18+$G$2:$G$18))</f>
        <v>0.30235157883505726</v>
      </c>
      <c r="P44">
        <f t="shared" si="1"/>
        <v>0</v>
      </c>
      <c r="Q44">
        <f t="shared" si="2"/>
        <v>0.71711636799295475</v>
      </c>
      <c r="R44">
        <f t="array" ref="R44">+$B$2*SIN(Q44*$B$3+$B$4)+Q44+$B$9*SIN(PI()*M44+$B$10)+$B$11*SIN(2*PI()*M44+$B$12) + SUM($I$2:$I$18*SIN(2*PI()*M44*$H$2:$H$18+$J$2:$J$18))</f>
        <v>-1.6150291108574271</v>
      </c>
    </row>
    <row r="45" spans="3:18" x14ac:dyDescent="0.35">
      <c r="C45">
        <v>-0.83068799999999998</v>
      </c>
      <c r="L45">
        <f t="shared" si="3"/>
        <v>44</v>
      </c>
      <c r="M45">
        <f t="shared" si="4"/>
        <v>1883.5833333333301</v>
      </c>
      <c r="N45">
        <f t="shared" si="0"/>
        <v>0</v>
      </c>
      <c r="O45">
        <f t="array" ref="O45">+SUM($F$2:$F$18*SIN(2*PI()*(M45)*$B$1/$E$2:$E$18+$G$2:$G$18))</f>
        <v>-0.17622426249294426</v>
      </c>
      <c r="P45">
        <f t="shared" si="1"/>
        <v>0</v>
      </c>
      <c r="Q45">
        <f t="shared" si="2"/>
        <v>0.71546299798094504</v>
      </c>
      <c r="R45">
        <f t="array" ref="R45">+$B$2*SIN(Q45*$B$3+$B$4)+Q45+$B$9*SIN(PI()*M45+$B$10)+$B$11*SIN(2*PI()*M45+$B$12) + SUM($I$2:$I$18*SIN(2*PI()*M45*$H$2:$H$18+$J$2:$J$18))</f>
        <v>-0.98518776744075165</v>
      </c>
    </row>
    <row r="46" spans="3:18" x14ac:dyDescent="0.35">
      <c r="C46">
        <v>-0.49825000000000003</v>
      </c>
      <c r="L46">
        <f t="shared" si="3"/>
        <v>45</v>
      </c>
      <c r="M46">
        <f t="shared" si="4"/>
        <v>1883.6666666666633</v>
      </c>
      <c r="N46">
        <f t="shared" si="0"/>
        <v>0</v>
      </c>
      <c r="O46">
        <f t="array" ref="O46">+SUM($F$2:$F$18*SIN(2*PI()*(M46)*$B$1/$E$2:$E$18+$G$2:$G$18))</f>
        <v>-0.10370205187330517</v>
      </c>
      <c r="P46">
        <f t="shared" si="1"/>
        <v>0</v>
      </c>
      <c r="Q46">
        <f t="shared" si="2"/>
        <v>0.71381343994774182</v>
      </c>
      <c r="R46">
        <f t="array" ref="R46">+$B$2*SIN(Q46*$B$3+$B$4)+Q46+$B$9*SIN(PI()*M46+$B$10)+$B$11*SIN(2*PI()*M46+$B$12) + SUM($I$2:$I$18*SIN(2*PI()*M46*$H$2:$H$18+$J$2:$J$18))</f>
        <v>-0.52676779374589433</v>
      </c>
    </row>
    <row r="47" spans="3:18" x14ac:dyDescent="0.35">
      <c r="C47">
        <v>5.1112000000000005E-2</v>
      </c>
      <c r="L47">
        <f t="shared" si="3"/>
        <v>46</v>
      </c>
      <c r="M47">
        <f t="shared" si="4"/>
        <v>1883.7499999999966</v>
      </c>
      <c r="N47">
        <f t="shared" si="0"/>
        <v>0</v>
      </c>
      <c r="O47">
        <f t="array" ref="O47">+SUM($F$2:$F$18*SIN(2*PI()*(M47)*$B$1/$E$2:$E$18+$G$2:$G$18))</f>
        <v>-0.1461937702317847</v>
      </c>
      <c r="P47">
        <f t="shared" si="1"/>
        <v>0</v>
      </c>
      <c r="Q47">
        <f t="shared" si="2"/>
        <v>0.71216768510451856</v>
      </c>
      <c r="R47">
        <f t="array" ref="R47">+$B$2*SIN(Q47*$B$3+$B$4)+Q47+$B$9*SIN(PI()*M47+$B$10)+$B$11*SIN(2*PI()*M47+$B$12) + SUM($I$2:$I$18*SIN(2*PI()*M47*$H$2:$H$18+$J$2:$J$18))</f>
        <v>-0.33168755167296293</v>
      </c>
    </row>
    <row r="48" spans="3:18" x14ac:dyDescent="0.35">
      <c r="C48">
        <v>0.269704</v>
      </c>
      <c r="L48">
        <f t="shared" si="3"/>
        <v>47</v>
      </c>
      <c r="M48">
        <f t="shared" si="4"/>
        <v>1883.8333333333298</v>
      </c>
      <c r="N48">
        <f t="shared" si="0"/>
        <v>0</v>
      </c>
      <c r="O48">
        <f t="array" ref="O48">+SUM($F$2:$F$18*SIN(2*PI()*(M48)*$B$1/$E$2:$E$18+$G$2:$G$18))</f>
        <v>-1.0519139737216006</v>
      </c>
      <c r="P48">
        <f t="shared" si="1"/>
        <v>0</v>
      </c>
      <c r="Q48">
        <f t="shared" si="2"/>
        <v>0.7105257246827118</v>
      </c>
      <c r="R48">
        <f t="array" ref="R48">+$B$2*SIN(Q48*$B$3+$B$4)+Q48+$B$9*SIN(PI()*M48+$B$10)+$B$11*SIN(2*PI()*M48+$B$12) + SUM($I$2:$I$18*SIN(2*PI()*M48*$H$2:$H$18+$J$2:$J$18))</f>
        <v>-0.42673559291179863</v>
      </c>
    </row>
    <row r="49" spans="3:18" x14ac:dyDescent="0.35">
      <c r="C49">
        <v>0.16675399999999999</v>
      </c>
      <c r="L49">
        <f t="shared" si="3"/>
        <v>48</v>
      </c>
      <c r="M49">
        <f t="shared" si="4"/>
        <v>1883.9166666666631</v>
      </c>
      <c r="N49">
        <f t="shared" si="0"/>
        <v>0</v>
      </c>
      <c r="O49">
        <f t="array" ref="O49">+SUM($F$2:$F$18*SIN(2*PI()*(M49)*$B$1/$E$2:$E$18+$G$2:$G$18))</f>
        <v>-1.4239668266203487</v>
      </c>
      <c r="P49">
        <f t="shared" si="1"/>
        <v>0</v>
      </c>
      <c r="Q49">
        <f t="shared" si="2"/>
        <v>0.70888754993397507</v>
      </c>
      <c r="R49">
        <f t="array" ref="R49">+$B$2*SIN(Q49*$B$3+$B$4)+Q49+$B$9*SIN(PI()*M49+$B$10)+$B$11*SIN(2*PI()*M49+$B$12) + SUM($I$2:$I$18*SIN(2*PI()*M49*$H$2:$H$18+$J$2:$J$18))</f>
        <v>-0.76730051790653686</v>
      </c>
    </row>
    <row r="50" spans="3:18" x14ac:dyDescent="0.35">
      <c r="C50">
        <v>0.20380400000000001</v>
      </c>
      <c r="L50">
        <f t="shared" si="3"/>
        <v>49</v>
      </c>
      <c r="M50">
        <f t="shared" si="4"/>
        <v>1883.9999999999964</v>
      </c>
      <c r="N50">
        <f t="shared" si="0"/>
        <v>200</v>
      </c>
      <c r="O50">
        <f t="array" ref="O50">+SUM($F$2:$F$18*SIN(2*PI()*(M50)*$B$1/$E$2:$E$18+$G$2:$G$18))</f>
        <v>-0.6358536580229277</v>
      </c>
      <c r="P50">
        <f t="shared" si="1"/>
        <v>-127.17073160458554</v>
      </c>
      <c r="Q50">
        <f t="shared" si="2"/>
        <v>0.41405070490552009</v>
      </c>
      <c r="R50">
        <f t="array" ref="R50">+$B$2*SIN(Q50*$B$3+$B$4)+Q50+$B$9*SIN(PI()*M50+$B$10)+$B$11*SIN(2*PI()*M50+$B$12) + SUM($I$2:$I$18*SIN(2*PI()*M50*$H$2:$H$18+$J$2:$J$18))</f>
        <v>11.8676454024679</v>
      </c>
    </row>
    <row r="51" spans="3:18" x14ac:dyDescent="0.35">
      <c r="C51">
        <v>0.39316200000000001</v>
      </c>
      <c r="L51">
        <f t="shared" si="3"/>
        <v>50</v>
      </c>
      <c r="M51">
        <f t="shared" si="4"/>
        <v>1884.0833333333296</v>
      </c>
      <c r="N51">
        <f t="shared" si="0"/>
        <v>0</v>
      </c>
      <c r="O51">
        <f t="array" ref="O51">+SUM($F$2:$F$18*SIN(2*PI()*(M51)*$B$1/$E$2:$E$18+$G$2:$G$18))</f>
        <v>7.6939292264463E-2</v>
      </c>
      <c r="P51">
        <f t="shared" si="1"/>
        <v>0</v>
      </c>
      <c r="Q51">
        <f t="shared" si="2"/>
        <v>0.41309607738689536</v>
      </c>
      <c r="R51">
        <f t="array" ref="R51">+$B$2*SIN(Q51*$B$3+$B$4)+Q51+$B$9*SIN(PI()*M51+$B$10)+$B$11*SIN(2*PI()*M51+$B$12) + SUM($I$2:$I$18*SIN(2*PI()*M51*$H$2:$H$18+$J$2:$J$18))</f>
        <v>11.54026974590489</v>
      </c>
    </row>
    <row r="52" spans="3:18" x14ac:dyDescent="0.35">
      <c r="C52">
        <v>0.40405400000000002</v>
      </c>
      <c r="L52">
        <f t="shared" si="3"/>
        <v>51</v>
      </c>
      <c r="M52">
        <f t="shared" si="4"/>
        <v>1884.1666666666629</v>
      </c>
      <c r="N52">
        <f t="shared" si="0"/>
        <v>0</v>
      </c>
      <c r="O52">
        <f t="array" ref="O52">+SUM($F$2:$F$18*SIN(2*PI()*(M52)*$B$1/$E$2:$E$18+$G$2:$G$18))</f>
        <v>0.25954899293907879</v>
      </c>
      <c r="P52">
        <f t="shared" si="1"/>
        <v>0</v>
      </c>
      <c r="Q52">
        <f t="shared" si="2"/>
        <v>0.41214365083952492</v>
      </c>
      <c r="R52">
        <f t="array" ref="R52">+$B$2*SIN(Q52*$B$3+$B$4)+Q52+$B$9*SIN(PI()*M52+$B$10)+$B$11*SIN(2*PI()*M52+$B$12) + SUM($I$2:$I$18*SIN(2*PI()*M52*$H$2:$H$18+$J$2:$J$18))</f>
        <v>11.318649170705584</v>
      </c>
    </row>
    <row r="53" spans="3:18" x14ac:dyDescent="0.35">
      <c r="C53">
        <v>0.41956400000000005</v>
      </c>
      <c r="L53">
        <f t="shared" si="3"/>
        <v>52</v>
      </c>
      <c r="M53">
        <f t="shared" si="4"/>
        <v>1884.2499999999961</v>
      </c>
      <c r="N53">
        <f t="shared" si="0"/>
        <v>0</v>
      </c>
      <c r="O53">
        <f t="array" ref="O53">+SUM($F$2:$F$18*SIN(2*PI()*(M53)*$B$1/$E$2:$E$18+$G$2:$G$18))</f>
        <v>9.3483498211391403E-2</v>
      </c>
      <c r="P53">
        <f t="shared" si="1"/>
        <v>0</v>
      </c>
      <c r="Q53">
        <f t="shared" si="2"/>
        <v>0.41119342018889088</v>
      </c>
      <c r="R53">
        <f t="array" ref="R53">+$B$2*SIN(Q53*$B$3+$B$4)+Q53+$B$9*SIN(PI()*M53+$B$10)+$B$11*SIN(2*PI()*M53+$B$12) + SUM($I$2:$I$18*SIN(2*PI()*M53*$H$2:$H$18+$J$2:$J$18))</f>
        <v>11.278473239551722</v>
      </c>
    </row>
    <row r="54" spans="3:18" x14ac:dyDescent="0.35">
      <c r="C54">
        <v>0.16583999999999999</v>
      </c>
      <c r="L54">
        <f t="shared" si="3"/>
        <v>53</v>
      </c>
      <c r="M54">
        <f t="shared" si="4"/>
        <v>1884.3333333333294</v>
      </c>
      <c r="N54">
        <f t="shared" si="0"/>
        <v>0</v>
      </c>
      <c r="O54">
        <f t="array" ref="O54">+SUM($F$2:$F$18*SIN(2*PI()*(M54)*$B$1/$E$2:$E$18+$G$2:$G$18))</f>
        <v>-0.18589680910207479</v>
      </c>
      <c r="P54">
        <f t="shared" si="1"/>
        <v>0</v>
      </c>
      <c r="Q54">
        <f t="shared" si="2"/>
        <v>0.41024538037217495</v>
      </c>
      <c r="R54">
        <f t="array" ref="R54">+$B$2*SIN(Q54*$B$3+$B$4)+Q54+$B$9*SIN(PI()*M54+$B$10)+$B$11*SIN(2*PI()*M54+$B$12) + SUM($I$2:$I$18*SIN(2*PI()*M54*$H$2:$H$18+$J$2:$J$18))</f>
        <v>11.426554701990764</v>
      </c>
    </row>
    <row r="55" spans="3:18" x14ac:dyDescent="0.35">
      <c r="C55">
        <v>1.2114E-2</v>
      </c>
      <c r="L55">
        <f t="shared" si="3"/>
        <v>54</v>
      </c>
      <c r="M55">
        <f t="shared" si="4"/>
        <v>1884.4166666666626</v>
      </c>
      <c r="N55">
        <f t="shared" si="0"/>
        <v>0</v>
      </c>
      <c r="O55">
        <f t="array" ref="O55">+SUM($F$2:$F$18*SIN(2*PI()*(M55)*$B$1/$E$2:$E$18+$G$2:$G$18))</f>
        <v>-0.26658104748815781</v>
      </c>
      <c r="P55">
        <f t="shared" si="1"/>
        <v>0</v>
      </c>
      <c r="Q55">
        <f t="shared" si="2"/>
        <v>0.40929952633823169</v>
      </c>
      <c r="R55">
        <f t="array" ref="R55">+$B$2*SIN(Q55*$B$3+$B$4)+Q55+$B$9*SIN(PI()*M55+$B$10)+$B$11*SIN(2*PI()*M55+$B$12) + SUM($I$2:$I$18*SIN(2*PI()*M55*$H$2:$H$18+$J$2:$J$18))</f>
        <v>11.695723130240353</v>
      </c>
    </row>
    <row r="56" spans="3:18" x14ac:dyDescent="0.35">
      <c r="C56">
        <v>0.17992799999999998</v>
      </c>
      <c r="L56">
        <f t="shared" si="3"/>
        <v>55</v>
      </c>
      <c r="M56">
        <f t="shared" si="4"/>
        <v>1884.4999999999959</v>
      </c>
      <c r="N56">
        <f t="shared" si="0"/>
        <v>0</v>
      </c>
      <c r="O56">
        <f t="array" ref="O56">+SUM($F$2:$F$18*SIN(2*PI()*(M56)*$B$1/$E$2:$E$18+$G$2:$G$18))</f>
        <v>-0.6072371563136566</v>
      </c>
      <c r="P56">
        <f t="shared" si="1"/>
        <v>0</v>
      </c>
      <c r="Q56">
        <f t="shared" si="2"/>
        <v>0.40835585304756145</v>
      </c>
      <c r="R56">
        <f t="array" ref="R56">+$B$2*SIN(Q56*$B$3+$B$4)+Q56+$B$9*SIN(PI()*M56+$B$10)+$B$11*SIN(2*PI()*M56+$B$12) + SUM($I$2:$I$18*SIN(2*PI()*M56*$H$2:$H$18+$J$2:$J$18))</f>
        <v>11.959877784679112</v>
      </c>
    </row>
    <row r="57" spans="3:18" x14ac:dyDescent="0.35">
      <c r="C57">
        <v>0.21235600000000002</v>
      </c>
      <c r="L57">
        <f t="shared" si="3"/>
        <v>56</v>
      </c>
      <c r="M57">
        <f t="shared" si="4"/>
        <v>1884.5833333333292</v>
      </c>
      <c r="N57">
        <f t="shared" si="0"/>
        <v>0</v>
      </c>
      <c r="O57">
        <f t="array" ref="O57">+SUM($F$2:$F$18*SIN(2*PI()*(M57)*$B$1/$E$2:$E$18+$G$2:$G$18))</f>
        <v>-1.0318502230774746</v>
      </c>
      <c r="P57">
        <f t="shared" si="1"/>
        <v>0</v>
      </c>
      <c r="Q57">
        <f t="shared" si="2"/>
        <v>0.4074143554722835</v>
      </c>
      <c r="R57">
        <f t="array" ref="R57">+$B$2*SIN(Q57*$B$3+$B$4)+Q57+$B$9*SIN(PI()*M57+$B$10)+$B$11*SIN(2*PI()*M57+$B$12) + SUM($I$2:$I$18*SIN(2*PI()*M57*$H$2:$H$18+$J$2:$J$18))</f>
        <v>12.065426577703276</v>
      </c>
    </row>
    <row r="58" spans="3:18" x14ac:dyDescent="0.35">
      <c r="C58">
        <v>-0.33829799999999999</v>
      </c>
      <c r="L58">
        <f t="shared" si="3"/>
        <v>57</v>
      </c>
      <c r="M58">
        <f t="shared" si="4"/>
        <v>1884.6666666666624</v>
      </c>
      <c r="N58">
        <f t="shared" si="0"/>
        <v>0</v>
      </c>
      <c r="O58">
        <f t="array" ref="O58">+SUM($F$2:$F$18*SIN(2*PI()*(M58)*$B$1/$E$2:$E$18+$G$2:$G$18))</f>
        <v>-0.55079078576937435</v>
      </c>
      <c r="P58">
        <f t="shared" si="1"/>
        <v>0</v>
      </c>
      <c r="Q58">
        <f t="shared" si="2"/>
        <v>0.4064750285961094</v>
      </c>
      <c r="R58">
        <f t="array" ref="R58">+$B$2*SIN(Q58*$B$3+$B$4)+Q58+$B$9*SIN(PI()*M58+$B$10)+$B$11*SIN(2*PI()*M58+$B$12) + SUM($I$2:$I$18*SIN(2*PI()*M58*$H$2:$H$18+$J$2:$J$18))</f>
        <v>11.87092828762605</v>
      </c>
    </row>
    <row r="59" spans="3:18" x14ac:dyDescent="0.35">
      <c r="C59">
        <v>-0.62587199999999998</v>
      </c>
      <c r="L59">
        <f t="shared" si="3"/>
        <v>58</v>
      </c>
      <c r="M59">
        <f t="shared" si="4"/>
        <v>1884.7499999999957</v>
      </c>
      <c r="N59">
        <f t="shared" si="0"/>
        <v>0</v>
      </c>
      <c r="O59">
        <f t="array" ref="O59">+SUM($F$2:$F$18*SIN(2*PI()*(M59)*$B$1/$E$2:$E$18+$G$2:$G$18))</f>
        <v>0.15690690577585753</v>
      </c>
      <c r="P59">
        <f t="shared" si="1"/>
        <v>0</v>
      </c>
      <c r="Q59">
        <f t="shared" si="2"/>
        <v>0.40553786741431608</v>
      </c>
      <c r="R59">
        <f t="array" ref="R59">+$B$2*SIN(Q59*$B$3+$B$4)+Q59+$B$9*SIN(PI()*M59+$B$10)+$B$11*SIN(2*PI()*M59+$B$12) + SUM($I$2:$I$18*SIN(2*PI()*M59*$H$2:$H$18+$J$2:$J$18))</f>
        <v>11.284521286459663</v>
      </c>
    </row>
    <row r="60" spans="3:18" x14ac:dyDescent="0.35">
      <c r="C60">
        <v>-0.91806399999999999</v>
      </c>
      <c r="L60">
        <f t="shared" si="3"/>
        <v>59</v>
      </c>
      <c r="M60">
        <f t="shared" si="4"/>
        <v>1884.8333333333289</v>
      </c>
      <c r="N60">
        <f t="shared" si="0"/>
        <v>0</v>
      </c>
      <c r="O60">
        <f t="array" ref="O60">+SUM($F$2:$F$18*SIN(2*PI()*(M60)*$B$1/$E$2:$E$18+$G$2:$G$18))</f>
        <v>0.13387294543655021</v>
      </c>
      <c r="P60">
        <f t="shared" si="1"/>
        <v>0</v>
      </c>
      <c r="Q60">
        <f t="shared" si="2"/>
        <v>0.40460286693371933</v>
      </c>
      <c r="R60">
        <f t="array" ref="R60">+$B$2*SIN(Q60*$B$3+$B$4)+Q60+$B$9*SIN(PI()*M60+$B$10)+$B$11*SIN(2*PI()*M60+$B$12) + SUM($I$2:$I$18*SIN(2*PI()*M60*$H$2:$H$18+$J$2:$J$18))</f>
        <v>10.289264839319605</v>
      </c>
    </row>
    <row r="61" spans="3:18" x14ac:dyDescent="0.35">
      <c r="C61">
        <v>-0.85948800000000003</v>
      </c>
      <c r="L61">
        <f t="shared" si="3"/>
        <v>60</v>
      </c>
      <c r="M61">
        <f t="shared" si="4"/>
        <v>1884.9166666666622</v>
      </c>
      <c r="N61">
        <f t="shared" si="0"/>
        <v>0</v>
      </c>
      <c r="O61">
        <f t="array" ref="O61">+SUM($F$2:$F$18*SIN(2*PI()*(M61)*$B$1/$E$2:$E$18+$G$2:$G$18))</f>
        <v>-2.0982943794665351E-2</v>
      </c>
      <c r="P61">
        <f t="shared" si="1"/>
        <v>0</v>
      </c>
      <c r="Q61">
        <f t="shared" si="2"/>
        <v>0.40367002217264708</v>
      </c>
      <c r="R61">
        <f t="array" ref="R61">+$B$2*SIN(Q61*$B$3+$B$4)+Q61+$B$9*SIN(PI()*M61+$B$10)+$B$11*SIN(2*PI()*M61+$B$12) + SUM($I$2:$I$18*SIN(2*PI()*M61*$H$2:$H$18+$J$2:$J$18))</f>
        <v>8.9496962717179986</v>
      </c>
    </row>
    <row r="62" spans="3:18" x14ac:dyDescent="0.35">
      <c r="C62">
        <v>-0.77783600000000008</v>
      </c>
      <c r="L62">
        <f t="shared" si="3"/>
        <v>61</v>
      </c>
      <c r="M62">
        <f t="shared" si="4"/>
        <v>1884.9999999999955</v>
      </c>
      <c r="N62">
        <f t="shared" si="0"/>
        <v>200</v>
      </c>
      <c r="O62">
        <f t="array" ref="O62">+SUM($F$2:$F$18*SIN(2*PI()*(M62)*$B$1/$E$2:$E$18+$G$2:$G$18))</f>
        <v>2.5901009827703658E-2</v>
      </c>
      <c r="P62">
        <f t="shared" si="1"/>
        <v>5.1802019655407321</v>
      </c>
      <c r="Q62">
        <f t="shared" si="2"/>
        <v>0.41468270439418703</v>
      </c>
      <c r="R62">
        <f t="array" ref="R62">+$B$2*SIN(Q62*$B$3+$B$4)+Q62+$B$9*SIN(PI()*M62+$B$10)+$B$11*SIN(2*PI()*M62+$B$12) + SUM($I$2:$I$18*SIN(2*PI()*M62*$H$2:$H$18+$J$2:$J$18))</f>
        <v>6.4628263861048634</v>
      </c>
    </row>
    <row r="63" spans="3:18" x14ac:dyDescent="0.35">
      <c r="C63">
        <v>-0.60541400000000001</v>
      </c>
      <c r="L63">
        <f t="shared" si="3"/>
        <v>62</v>
      </c>
      <c r="M63">
        <f t="shared" si="4"/>
        <v>1885.0833333333287</v>
      </c>
      <c r="N63">
        <f t="shared" si="0"/>
        <v>0</v>
      </c>
      <c r="O63">
        <f t="array" ref="O63">+SUM($F$2:$F$18*SIN(2*PI()*(M63)*$B$1/$E$2:$E$18+$G$2:$G$18))</f>
        <v>2.124266426337329E-2</v>
      </c>
      <c r="P63">
        <f t="shared" si="1"/>
        <v>0</v>
      </c>
      <c r="Q63">
        <f t="shared" si="2"/>
        <v>0.41372661974942659</v>
      </c>
      <c r="R63">
        <f t="array" ref="R63">+$B$2*SIN(Q63*$B$3+$B$4)+Q63+$B$9*SIN(PI()*M63+$B$10)+$B$11*SIN(2*PI()*M63+$B$12) + SUM($I$2:$I$18*SIN(2*PI()*M63*$H$2:$H$18+$J$2:$J$18))</f>
        <v>4.8751830458485266</v>
      </c>
    </row>
    <row r="64" spans="3:18" x14ac:dyDescent="0.35">
      <c r="C64">
        <v>-0.60992000000000002</v>
      </c>
      <c r="L64">
        <f t="shared" si="3"/>
        <v>63</v>
      </c>
      <c r="M64">
        <f t="shared" si="4"/>
        <v>1885.166666666662</v>
      </c>
      <c r="N64">
        <f t="shared" si="0"/>
        <v>0</v>
      </c>
      <c r="O64">
        <f t="array" ref="O64">+SUM($F$2:$F$18*SIN(2*PI()*(M64)*$B$1/$E$2:$E$18+$G$2:$G$18))</f>
        <v>-0.24454959714894597</v>
      </c>
      <c r="P64">
        <f t="shared" si="1"/>
        <v>0</v>
      </c>
      <c r="Q64">
        <f t="shared" si="2"/>
        <v>0.41277273943544307</v>
      </c>
      <c r="R64">
        <f t="array" ref="R64">+$B$2*SIN(Q64*$B$3+$B$4)+Q64+$B$9*SIN(PI()*M64+$B$10)+$B$11*SIN(2*PI()*M64+$B$12) + SUM($I$2:$I$18*SIN(2*PI()*M64*$H$2:$H$18+$J$2:$J$18))</f>
        <v>3.4101536766200344</v>
      </c>
    </row>
    <row r="65" spans="3:18" x14ac:dyDescent="0.35">
      <c r="C65">
        <v>-0.568272</v>
      </c>
      <c r="L65">
        <f t="shared" si="3"/>
        <v>64</v>
      </c>
      <c r="M65">
        <f t="shared" si="4"/>
        <v>1885.2499999999952</v>
      </c>
      <c r="N65">
        <f t="shared" si="0"/>
        <v>0</v>
      </c>
      <c r="O65">
        <f t="array" ref="O65">+SUM($F$2:$F$18*SIN(2*PI()*(M65)*$B$1/$E$2:$E$18+$G$2:$G$18))</f>
        <v>-0.83950566126206971</v>
      </c>
      <c r="P65">
        <f t="shared" si="1"/>
        <v>0</v>
      </c>
      <c r="Q65">
        <f t="shared" si="2"/>
        <v>0.41182105836997285</v>
      </c>
      <c r="R65">
        <f t="array" ref="R65">+$B$2*SIN(Q65*$B$3+$B$4)+Q65+$B$9*SIN(PI()*M65+$B$10)+$B$11*SIN(2*PI()*M65+$B$12) + SUM($I$2:$I$18*SIN(2*PI()*M65*$H$2:$H$18+$J$2:$J$18))</f>
        <v>2.1932683168073268</v>
      </c>
    </row>
    <row r="66" spans="3:18" x14ac:dyDescent="0.35">
      <c r="C66">
        <v>-0.55123800000000001</v>
      </c>
      <c r="L66">
        <f t="shared" si="3"/>
        <v>65</v>
      </c>
      <c r="M66">
        <f t="shared" si="4"/>
        <v>1885.3333333333285</v>
      </c>
      <c r="N66">
        <f t="shared" ref="N66:N129" si="5">+IF(MOD(L66,$B$5)=1, $B$6, 0)</f>
        <v>0</v>
      </c>
      <c r="O66">
        <f t="array" ref="O66">+SUM($F$2:$F$18*SIN(2*PI()*(M66)*$B$1/$E$2:$E$18+$G$2:$G$18))</f>
        <v>-0.79904383391115141</v>
      </c>
      <c r="P66">
        <f t="shared" si="1"/>
        <v>0</v>
      </c>
      <c r="Q66">
        <f t="shared" si="2"/>
        <v>0.41087157148246994</v>
      </c>
      <c r="R66">
        <f t="array" ref="R66">+$B$2*SIN(Q66*$B$3+$B$4)+Q66+$B$9*SIN(PI()*M66+$B$10)+$B$11*SIN(2*PI()*M66+$B$12) + SUM($I$2:$I$18*SIN(2*PI()*M66*$H$2:$H$18+$J$2:$J$18))</f>
        <v>1.2833442772052166</v>
      </c>
    </row>
    <row r="67" spans="3:18" x14ac:dyDescent="0.35">
      <c r="C67">
        <v>-0.32036200000000004</v>
      </c>
      <c r="L67">
        <f t="shared" si="3"/>
        <v>66</v>
      </c>
      <c r="M67">
        <f t="shared" si="4"/>
        <v>1885.4166666666617</v>
      </c>
      <c r="N67">
        <f t="shared" si="5"/>
        <v>0</v>
      </c>
      <c r="O67">
        <f t="array" ref="O67">+SUM($F$2:$F$18*SIN(2*PI()*(M67)*$B$1/$E$2:$E$18+$G$2:$G$18))</f>
        <v>0.19964973431547406</v>
      </c>
      <c r="P67">
        <f t="shared" ref="P67:P130" si="6">+N67*O67</f>
        <v>0</v>
      </c>
      <c r="Q67">
        <f t="shared" ref="Q67:Q130" si="7">+(1-$B$7)*Q66+($B$7)*P67</f>
        <v>0.40992427371407886</v>
      </c>
      <c r="R67">
        <f t="array" ref="R67">+$B$2*SIN(Q67*$B$3+$B$4)+Q67+$B$9*SIN(PI()*M67+$B$10)+$B$11*SIN(2*PI()*M67+$B$12) + SUM($I$2:$I$18*SIN(2*PI()*M67*$H$2:$H$18+$J$2:$J$18))</f>
        <v>0.6646093123857737</v>
      </c>
    </row>
    <row r="68" spans="3:18" x14ac:dyDescent="0.35">
      <c r="C68">
        <v>-0.37563999999999997</v>
      </c>
      <c r="L68">
        <f t="shared" ref="L68:L131" si="8">+L67+1</f>
        <v>67</v>
      </c>
      <c r="M68">
        <f t="shared" ref="M68:M131" si="9">+M67+1/12</f>
        <v>1885.499999999995</v>
      </c>
      <c r="N68">
        <f t="shared" si="5"/>
        <v>0</v>
      </c>
      <c r="O68">
        <f t="array" ref="O68">+SUM($F$2:$F$18*SIN(2*PI()*(M68)*$B$1/$E$2:$E$18+$G$2:$G$18))</f>
        <v>0.58198597786094497</v>
      </c>
      <c r="P68">
        <f t="shared" si="6"/>
        <v>0</v>
      </c>
      <c r="Q68">
        <f t="shared" si="7"/>
        <v>0.40897916001760781</v>
      </c>
      <c r="R68">
        <f t="array" ref="R68">+$B$2*SIN(Q68*$B$3+$B$4)+Q68+$B$9*SIN(PI()*M68+$B$10)+$B$11*SIN(2*PI()*M68+$B$12) + SUM($I$2:$I$18*SIN(2*PI()*M68*$H$2:$H$18+$J$2:$J$18))</f>
        <v>0.25893971100942892</v>
      </c>
    </row>
    <row r="69" spans="3:18" x14ac:dyDescent="0.35">
      <c r="C69">
        <v>-0.61399599999999999</v>
      </c>
      <c r="L69">
        <f t="shared" si="8"/>
        <v>68</v>
      </c>
      <c r="M69">
        <f t="shared" si="9"/>
        <v>1885.5833333333283</v>
      </c>
      <c r="N69">
        <f t="shared" si="5"/>
        <v>0</v>
      </c>
      <c r="O69">
        <f t="array" ref="O69">+SUM($F$2:$F$18*SIN(2*PI()*(M69)*$B$1/$E$2:$E$18+$G$2:$G$18))</f>
        <v>4.5676677676284583E-3</v>
      </c>
      <c r="P69">
        <f t="shared" si="6"/>
        <v>0</v>
      </c>
      <c r="Q69">
        <f t="shared" si="7"/>
        <v>0.40803622535750161</v>
      </c>
      <c r="R69">
        <f t="array" ref="R69">+$B$2*SIN(Q69*$B$3+$B$4)+Q69+$B$9*SIN(PI()*M69+$B$10)+$B$11*SIN(2*PI()*M69+$B$12) + SUM($I$2:$I$18*SIN(2*PI()*M69*$H$2:$H$18+$J$2:$J$18))</f>
        <v>-4.5392333863271794E-2</v>
      </c>
    </row>
    <row r="70" spans="3:18" x14ac:dyDescent="0.35">
      <c r="C70">
        <v>-0.62466200000000005</v>
      </c>
      <c r="L70">
        <f t="shared" si="8"/>
        <v>69</v>
      </c>
      <c r="M70">
        <f t="shared" si="9"/>
        <v>1885.6666666666615</v>
      </c>
      <c r="N70">
        <f t="shared" si="5"/>
        <v>0</v>
      </c>
      <c r="O70">
        <f t="array" ref="O70">+SUM($F$2:$F$18*SIN(2*PI()*(M70)*$B$1/$E$2:$E$18+$G$2:$G$18))</f>
        <v>-0.26580839170418102</v>
      </c>
      <c r="P70">
        <f t="shared" si="6"/>
        <v>0</v>
      </c>
      <c r="Q70">
        <f t="shared" si="7"/>
        <v>0.407095464709815</v>
      </c>
      <c r="R70">
        <f t="array" ref="R70">+$B$2*SIN(Q70*$B$3+$B$4)+Q70+$B$9*SIN(PI()*M70+$B$10)+$B$11*SIN(2*PI()*M70+$B$12) + SUM($I$2:$I$18*SIN(2*PI()*M70*$H$2:$H$18+$J$2:$J$18))</f>
        <v>-0.35648830194459613</v>
      </c>
    </row>
    <row r="71" spans="3:18" x14ac:dyDescent="0.35">
      <c r="C71">
        <v>-0.73532600000000004</v>
      </c>
      <c r="L71">
        <f t="shared" si="8"/>
        <v>70</v>
      </c>
      <c r="M71">
        <f t="shared" si="9"/>
        <v>1885.7499999999948</v>
      </c>
      <c r="N71">
        <f t="shared" si="5"/>
        <v>0</v>
      </c>
      <c r="O71">
        <f t="array" ref="O71">+SUM($F$2:$F$18*SIN(2*PI()*(M71)*$B$1/$E$2:$E$18+$G$2:$G$18))</f>
        <v>-1.9902366041260056E-2</v>
      </c>
      <c r="P71">
        <f t="shared" si="6"/>
        <v>0</v>
      </c>
      <c r="Q71">
        <f t="shared" si="7"/>
        <v>0.40615687306218579</v>
      </c>
      <c r="R71">
        <f t="array" ref="R71">+$B$2*SIN(Q71*$B$3+$B$4)+Q71+$B$9*SIN(PI()*M71+$B$10)+$B$11*SIN(2*PI()*M71+$B$12) + SUM($I$2:$I$18*SIN(2*PI()*M71*$H$2:$H$18+$J$2:$J$18))</f>
        <v>-0.74339015449786583</v>
      </c>
    </row>
    <row r="72" spans="3:18" x14ac:dyDescent="0.35">
      <c r="C72">
        <v>-0.91676199999999997</v>
      </c>
      <c r="L72">
        <f t="shared" si="8"/>
        <v>71</v>
      </c>
      <c r="M72">
        <f t="shared" si="9"/>
        <v>1885.833333333328</v>
      </c>
      <c r="N72">
        <f t="shared" si="5"/>
        <v>0</v>
      </c>
      <c r="O72">
        <f t="array" ref="O72">+SUM($F$2:$F$18*SIN(2*PI()*(M72)*$B$1/$E$2:$E$18+$G$2:$G$18))</f>
        <v>0.14702886646481594</v>
      </c>
      <c r="P72">
        <f t="shared" si="6"/>
        <v>0</v>
      </c>
      <c r="Q72">
        <f t="shared" si="7"/>
        <v>0.40522044541380825</v>
      </c>
      <c r="R72">
        <f t="array" ref="R72">+$B$2*SIN(Q72*$B$3+$B$4)+Q72+$B$9*SIN(PI()*M72+$B$10)+$B$11*SIN(2*PI()*M72+$B$12) + SUM($I$2:$I$18*SIN(2*PI()*M72*$H$2:$H$18+$J$2:$J$18))</f>
        <v>-1.2122095283599021</v>
      </c>
    </row>
    <row r="73" spans="3:18" x14ac:dyDescent="0.35">
      <c r="C73">
        <v>-1.0658920000000001</v>
      </c>
      <c r="L73">
        <f t="shared" si="8"/>
        <v>72</v>
      </c>
      <c r="M73">
        <f t="shared" si="9"/>
        <v>1885.9166666666613</v>
      </c>
      <c r="N73">
        <f t="shared" si="5"/>
        <v>0</v>
      </c>
      <c r="O73">
        <f t="array" ref="O73">+SUM($F$2:$F$18*SIN(2*PI()*(M73)*$B$1/$E$2:$E$18+$G$2:$G$18))</f>
        <v>-0.27427990742933595</v>
      </c>
      <c r="P73">
        <f t="shared" si="6"/>
        <v>0</v>
      </c>
      <c r="Q73">
        <f t="shared" si="7"/>
        <v>0.40428617677540646</v>
      </c>
      <c r="R73">
        <f t="array" ref="R73">+$B$2*SIN(Q73*$B$3+$B$4)+Q73+$B$9*SIN(PI()*M73+$B$10)+$B$11*SIN(2*PI()*M73+$B$12) + SUM($I$2:$I$18*SIN(2*PI()*M73*$H$2:$H$18+$J$2:$J$18))</f>
        <v>-1.7004402114338593</v>
      </c>
    </row>
    <row r="74" spans="3:18" x14ac:dyDescent="0.35">
      <c r="C74">
        <v>-1.1196380000000001</v>
      </c>
      <c r="L74">
        <f t="shared" si="8"/>
        <v>73</v>
      </c>
      <c r="M74">
        <f t="shared" si="9"/>
        <v>1885.9999999999945</v>
      </c>
      <c r="N74">
        <f t="shared" si="5"/>
        <v>200</v>
      </c>
      <c r="O74">
        <f t="array" ref="O74">+SUM($F$2:$F$18*SIN(2*PI()*(M74)*$B$1/$E$2:$E$18+$G$2:$G$18))</f>
        <v>-0.96903038295904542</v>
      </c>
      <c r="P74">
        <f t="shared" si="6"/>
        <v>-193.80607659180907</v>
      </c>
      <c r="Q74">
        <f t="shared" si="7"/>
        <v>-4.3481583318813966E-2</v>
      </c>
      <c r="R74">
        <f t="array" ref="R74">+$B$2*SIN(Q74*$B$3+$B$4)+Q74+$B$9*SIN(PI()*M74+$B$10)+$B$11*SIN(2*PI()*M74+$B$12) + SUM($I$2:$I$18*SIN(2*PI()*M74*$H$2:$H$18+$J$2:$J$18))</f>
        <v>-18.713226529357197</v>
      </c>
    </row>
    <row r="75" spans="3:18" x14ac:dyDescent="0.35">
      <c r="C75">
        <v>-1.0256940000000001</v>
      </c>
      <c r="L75">
        <f t="shared" si="8"/>
        <v>74</v>
      </c>
      <c r="M75">
        <f t="shared" si="9"/>
        <v>1886.0833333333278</v>
      </c>
      <c r="N75">
        <f t="shared" si="5"/>
        <v>0</v>
      </c>
      <c r="O75">
        <f t="array" ref="O75">+SUM($F$2:$F$18*SIN(2*PI()*(M75)*$B$1/$E$2:$E$18+$G$2:$G$18))</f>
        <v>-0.59573894887764323</v>
      </c>
      <c r="P75">
        <f t="shared" si="6"/>
        <v>0</v>
      </c>
      <c r="Q75">
        <f t="shared" si="7"/>
        <v>-4.3381332998025393E-2</v>
      </c>
      <c r="R75">
        <f t="array" ref="R75">+$B$2*SIN(Q75*$B$3+$B$4)+Q75+$B$9*SIN(PI()*M75+$B$10)+$B$11*SIN(2*PI()*M75+$B$12) + SUM($I$2:$I$18*SIN(2*PI()*M75*$H$2:$H$18+$J$2:$J$18))</f>
        <v>-18.936196712082804</v>
      </c>
    </row>
    <row r="76" spans="3:18" x14ac:dyDescent="0.35">
      <c r="C76">
        <v>-0.896366</v>
      </c>
      <c r="L76">
        <f t="shared" si="8"/>
        <v>75</v>
      </c>
      <c r="M76">
        <f t="shared" si="9"/>
        <v>1886.1666666666611</v>
      </c>
      <c r="N76">
        <f t="shared" si="5"/>
        <v>0</v>
      </c>
      <c r="O76">
        <f t="array" ref="O76">+SUM($F$2:$F$18*SIN(2*PI()*(M76)*$B$1/$E$2:$E$18+$G$2:$G$18))</f>
        <v>0.49538593190339997</v>
      </c>
      <c r="P76">
        <f t="shared" si="6"/>
        <v>0</v>
      </c>
      <c r="Q76">
        <f t="shared" si="7"/>
        <v>-4.3281313812491132E-2</v>
      </c>
      <c r="R76">
        <f t="array" ref="R76">+$B$2*SIN(Q76*$B$3+$B$4)+Q76+$B$9*SIN(PI()*M76+$B$10)+$B$11*SIN(2*PI()*M76+$B$12) + SUM($I$2:$I$18*SIN(2*PI()*M76*$H$2:$H$18+$J$2:$J$18))</f>
        <v>-18.793408501062494</v>
      </c>
    </row>
    <row r="77" spans="3:18" x14ac:dyDescent="0.35">
      <c r="C77">
        <v>-0.85011399999999993</v>
      </c>
      <c r="L77">
        <f t="shared" si="8"/>
        <v>76</v>
      </c>
      <c r="M77">
        <f t="shared" si="9"/>
        <v>1886.2499999999943</v>
      </c>
      <c r="N77">
        <f t="shared" si="5"/>
        <v>0</v>
      </c>
      <c r="O77">
        <f t="array" ref="O77">+SUM($F$2:$F$18*SIN(2*PI()*(M77)*$B$1/$E$2:$E$18+$G$2:$G$18))</f>
        <v>0.52185231159455869</v>
      </c>
      <c r="P77">
        <f t="shared" si="6"/>
        <v>0</v>
      </c>
      <c r="Q77">
        <f t="shared" si="7"/>
        <v>-4.3181525229310083E-2</v>
      </c>
      <c r="R77">
        <f t="array" ref="R77">+$B$2*SIN(Q77*$B$3+$B$4)+Q77+$B$9*SIN(PI()*M77+$B$10)+$B$11*SIN(2*PI()*M77+$B$12) + SUM($I$2:$I$18*SIN(2*PI()*M77*$H$2:$H$18+$J$2:$J$18))</f>
        <v>-18.208838280354698</v>
      </c>
    </row>
    <row r="78" spans="3:18" x14ac:dyDescent="0.35">
      <c r="C78">
        <v>-0.85463399999999989</v>
      </c>
      <c r="L78">
        <f t="shared" si="8"/>
        <v>77</v>
      </c>
      <c r="M78">
        <f t="shared" si="9"/>
        <v>1886.3333333333276</v>
      </c>
      <c r="N78">
        <f t="shared" si="5"/>
        <v>0</v>
      </c>
      <c r="O78">
        <f t="array" ref="O78">+SUM($F$2:$F$18*SIN(2*PI()*(M78)*$B$1/$E$2:$E$18+$G$2:$G$18))</f>
        <v>-0.19013119508710791</v>
      </c>
      <c r="P78">
        <f t="shared" si="6"/>
        <v>0</v>
      </c>
      <c r="Q78">
        <f t="shared" si="7"/>
        <v>-4.3081966716809798E-2</v>
      </c>
      <c r="R78">
        <f t="array" ref="R78">+$B$2*SIN(Q78*$B$3+$B$4)+Q78+$B$9*SIN(PI()*M78+$B$10)+$B$11*SIN(2*PI()*M78+$B$12) + SUM($I$2:$I$18*SIN(2*PI()*M78*$H$2:$H$18+$J$2:$J$18))</f>
        <v>-17.18120612256137</v>
      </c>
    </row>
    <row r="79" spans="3:18" x14ac:dyDescent="0.35">
      <c r="C79">
        <v>-1.0037720000000001</v>
      </c>
      <c r="L79">
        <f t="shared" si="8"/>
        <v>78</v>
      </c>
      <c r="M79">
        <f t="shared" si="9"/>
        <v>1886.4166666666608</v>
      </c>
      <c r="N79">
        <f t="shared" si="5"/>
        <v>0</v>
      </c>
      <c r="O79">
        <f t="array" ref="O79">+SUM($F$2:$F$18*SIN(2*PI()*(M79)*$B$1/$E$2:$E$18+$G$2:$G$18))</f>
        <v>-0.36895477404162025</v>
      </c>
      <c r="P79">
        <f t="shared" si="6"/>
        <v>0</v>
      </c>
      <c r="Q79">
        <f t="shared" si="7"/>
        <v>-4.2982637744543646E-2</v>
      </c>
      <c r="R79">
        <f t="array" ref="R79">+$B$2*SIN(Q79*$B$3+$B$4)+Q79+$B$9*SIN(PI()*M79+$B$10)+$B$11*SIN(2*PI()*M79+$B$12) + SUM($I$2:$I$18*SIN(2*PI()*M79*$H$2:$H$18+$J$2:$J$18))</f>
        <v>-15.78946334171075</v>
      </c>
    </row>
    <row r="80" spans="3:18" x14ac:dyDescent="0.35">
      <c r="C80">
        <v>-1.3467560000000001</v>
      </c>
      <c r="L80">
        <f t="shared" si="8"/>
        <v>79</v>
      </c>
      <c r="M80">
        <f t="shared" si="9"/>
        <v>1886.4999999999941</v>
      </c>
      <c r="N80">
        <f t="shared" si="5"/>
        <v>0</v>
      </c>
      <c r="O80">
        <f t="array" ref="O80">+SUM($F$2:$F$18*SIN(2*PI()*(M80)*$B$1/$E$2:$E$18+$G$2:$G$18))</f>
        <v>-7.5819265604562397E-2</v>
      </c>
      <c r="P80">
        <f t="shared" si="6"/>
        <v>0</v>
      </c>
      <c r="Q80">
        <f t="shared" si="7"/>
        <v>-4.2883537783287982E-2</v>
      </c>
      <c r="R80">
        <f t="array" ref="R80">+$B$2*SIN(Q80*$B$3+$B$4)+Q80+$B$9*SIN(PI()*M80+$B$10)+$B$11*SIN(2*PI()*M80+$B$12) + SUM($I$2:$I$18*SIN(2*PI()*M80*$H$2:$H$18+$J$2:$J$18))</f>
        <v>-14.177936437664416</v>
      </c>
    </row>
    <row r="81" spans="3:18" x14ac:dyDescent="0.35">
      <c r="C81">
        <v>-1.3497399999999999</v>
      </c>
      <c r="L81">
        <f t="shared" si="8"/>
        <v>80</v>
      </c>
      <c r="M81">
        <f t="shared" si="9"/>
        <v>1886.5833333333273</v>
      </c>
      <c r="N81">
        <f t="shared" si="5"/>
        <v>0</v>
      </c>
      <c r="O81">
        <f t="array" ref="O81">+SUM($F$2:$F$18*SIN(2*PI()*(M81)*$B$1/$E$2:$E$18+$G$2:$G$18))</f>
        <v>0.11635887031358527</v>
      </c>
      <c r="P81">
        <f t="shared" si="6"/>
        <v>0</v>
      </c>
      <c r="Q81">
        <f t="shared" si="7"/>
        <v>-4.2784666305039319E-2</v>
      </c>
      <c r="R81">
        <f t="array" ref="R81">+$B$2*SIN(Q81*$B$3+$B$4)+Q81+$B$9*SIN(PI()*M81+$B$10)+$B$11*SIN(2*PI()*M81+$B$12) + SUM($I$2:$I$18*SIN(2*PI()*M81*$H$2:$H$18+$J$2:$J$18))</f>
        <v>-12.524862113823046</v>
      </c>
    </row>
    <row r="82" spans="3:18" x14ac:dyDescent="0.35">
      <c r="C82">
        <v>-1.6250340000000001</v>
      </c>
      <c r="L82">
        <f t="shared" si="8"/>
        <v>81</v>
      </c>
      <c r="M82">
        <f t="shared" si="9"/>
        <v>1886.6666666666606</v>
      </c>
      <c r="N82">
        <f t="shared" si="5"/>
        <v>0</v>
      </c>
      <c r="O82">
        <f t="array" ref="O82">+SUM($F$2:$F$18*SIN(2*PI()*(M82)*$B$1/$E$2:$E$18+$G$2:$G$18))</f>
        <v>-0.35656230340076006</v>
      </c>
      <c r="P82">
        <f t="shared" si="6"/>
        <v>0</v>
      </c>
      <c r="Q82">
        <f t="shared" si="7"/>
        <v>-4.2686022783011535E-2</v>
      </c>
      <c r="R82">
        <f t="array" ref="R82">+$B$2*SIN(Q82*$B$3+$B$4)+Q82+$B$9*SIN(PI()*M82+$B$10)+$B$11*SIN(2*PI()*M82+$B$12) + SUM($I$2:$I$18*SIN(2*PI()*M82*$H$2:$H$18+$J$2:$J$18))</f>
        <v>-11.002468355628867</v>
      </c>
    </row>
    <row r="83" spans="3:18" x14ac:dyDescent="0.35">
      <c r="C83">
        <v>-1.9249440000000002</v>
      </c>
      <c r="L83">
        <f t="shared" si="8"/>
        <v>82</v>
      </c>
      <c r="M83">
        <f t="shared" si="9"/>
        <v>1886.7499999999939</v>
      </c>
      <c r="N83">
        <f t="shared" si="5"/>
        <v>0</v>
      </c>
      <c r="O83">
        <f t="array" ref="O83">+SUM($F$2:$F$18*SIN(2*PI()*(M83)*$B$1/$E$2:$E$18+$G$2:$G$18))</f>
        <v>-0.98150025842252597</v>
      </c>
      <c r="P83">
        <f t="shared" si="6"/>
        <v>0</v>
      </c>
      <c r="Q83">
        <f t="shared" si="7"/>
        <v>-4.2587606691633056E-2</v>
      </c>
      <c r="R83">
        <f t="array" ref="R83">+$B$2*SIN(Q83*$B$3+$B$4)+Q83+$B$9*SIN(PI()*M83+$B$10)+$B$11*SIN(2*PI()*M83+$B$12) + SUM($I$2:$I$18*SIN(2*PI()*M83*$H$2:$H$18+$J$2:$J$18))</f>
        <v>-9.7390041606794018</v>
      </c>
    </row>
    <row r="84" spans="3:18" x14ac:dyDescent="0.35">
      <c r="C84">
        <v>-1.577162</v>
      </c>
      <c r="L84">
        <f t="shared" si="8"/>
        <v>83</v>
      </c>
      <c r="M84">
        <f t="shared" si="9"/>
        <v>1886.8333333333271</v>
      </c>
      <c r="N84">
        <f t="shared" si="5"/>
        <v>0</v>
      </c>
      <c r="O84">
        <f t="array" ref="O84">+SUM($F$2:$F$18*SIN(2*PI()*(M84)*$B$1/$E$2:$E$18+$G$2:$G$18))</f>
        <v>-0.45918778819394768</v>
      </c>
      <c r="P84">
        <f t="shared" si="6"/>
        <v>0</v>
      </c>
      <c r="Q84">
        <f t="shared" si="7"/>
        <v>-4.2489417506544058E-2</v>
      </c>
      <c r="R84">
        <f t="array" ref="R84">+$B$2*SIN(Q84*$B$3+$B$4)+Q84+$B$9*SIN(PI()*M84+$B$10)+$B$11*SIN(2*PI()*M84+$B$12) + SUM($I$2:$I$18*SIN(2*PI()*M84*$H$2:$H$18+$J$2:$J$18))</f>
        <v>-8.7925935410272089</v>
      </c>
    </row>
    <row r="85" spans="3:18" x14ac:dyDescent="0.35">
      <c r="C85">
        <v>-1.215538</v>
      </c>
      <c r="L85">
        <f t="shared" si="8"/>
        <v>84</v>
      </c>
      <c r="M85">
        <f t="shared" si="9"/>
        <v>1886.9166666666604</v>
      </c>
      <c r="N85">
        <f t="shared" si="5"/>
        <v>0</v>
      </c>
      <c r="O85">
        <f t="array" ref="O85">+SUM($F$2:$F$18*SIN(2*PI()*(M85)*$B$1/$E$2:$E$18+$G$2:$G$18))</f>
        <v>0.42869461732215752</v>
      </c>
      <c r="P85">
        <f t="shared" si="6"/>
        <v>0</v>
      </c>
      <c r="Q85">
        <f t="shared" si="7"/>
        <v>-4.2391454704593663E-2</v>
      </c>
      <c r="R85">
        <f t="array" ref="R85">+$B$2*SIN(Q85*$B$3+$B$4)+Q85+$B$9*SIN(PI()*M85+$B$10)+$B$11*SIN(2*PI()*M85+$B$12) + SUM($I$2:$I$18*SIN(2*PI()*M85*$H$2:$H$18+$J$2:$J$18))</f>
        <v>-8.1436288768942102</v>
      </c>
    </row>
    <row r="86" spans="3:18" x14ac:dyDescent="0.35">
      <c r="C86">
        <v>-1.0708360000000001</v>
      </c>
      <c r="L86">
        <f t="shared" si="8"/>
        <v>85</v>
      </c>
      <c r="M86">
        <f t="shared" si="9"/>
        <v>1886.9999999999936</v>
      </c>
      <c r="N86">
        <f t="shared" si="5"/>
        <v>200</v>
      </c>
      <c r="O86">
        <f t="array" ref="O86">+SUM($F$2:$F$18*SIN(2*PI()*(M86)*$B$1/$E$2:$E$18+$G$2:$G$18))</f>
        <v>0.29131525650654017</v>
      </c>
      <c r="P86">
        <f t="shared" si="6"/>
        <v>58.263051301308032</v>
      </c>
      <c r="Q86">
        <f t="shared" si="7"/>
        <v>9.203647762603212E-2</v>
      </c>
      <c r="R86">
        <f t="array" ref="R86">+$B$2*SIN(Q86*$B$3+$B$4)+Q86+$B$9*SIN(PI()*M86+$B$10)+$B$11*SIN(2*PI()*M86+$B$12) + SUM($I$2:$I$18*SIN(2*PI()*M86*$H$2:$H$18+$J$2:$J$18))</f>
        <v>-1.2891227263096789</v>
      </c>
    </row>
    <row r="87" spans="3:18" x14ac:dyDescent="0.35">
      <c r="C87">
        <v>-0.83844200000000002</v>
      </c>
      <c r="L87">
        <f t="shared" si="8"/>
        <v>86</v>
      </c>
      <c r="M87">
        <f t="shared" si="9"/>
        <v>1887.0833333333269</v>
      </c>
      <c r="N87">
        <f t="shared" si="5"/>
        <v>0</v>
      </c>
      <c r="O87">
        <f t="array" ref="O87">+SUM($F$2:$F$18*SIN(2*PI()*(M87)*$B$1/$E$2:$E$18+$G$2:$G$18))</f>
        <v>-0.15592655462367744</v>
      </c>
      <c r="P87">
        <f t="shared" si="6"/>
        <v>0</v>
      </c>
      <c r="Q87">
        <f t="shared" si="7"/>
        <v>9.1824280054048399E-2</v>
      </c>
      <c r="R87">
        <f t="array" ref="R87">+$B$2*SIN(Q87*$B$3+$B$4)+Q87+$B$9*SIN(PI()*M87+$B$10)+$B$11*SIN(2*PI()*M87+$B$12) + SUM($I$2:$I$18*SIN(2*PI()*M87*$H$2:$H$18+$J$2:$J$18))</f>
        <v>-0.96373787167607272</v>
      </c>
    </row>
    <row r="88" spans="3:18" x14ac:dyDescent="0.35">
      <c r="C88">
        <v>-0.68912800000000007</v>
      </c>
      <c r="L88">
        <f t="shared" si="8"/>
        <v>87</v>
      </c>
      <c r="M88">
        <f t="shared" si="9"/>
        <v>1887.1666666666601</v>
      </c>
      <c r="N88">
        <f t="shared" si="5"/>
        <v>0</v>
      </c>
      <c r="O88">
        <f t="array" ref="O88">+SUM($F$2:$F$18*SIN(2*PI()*(M88)*$B$1/$E$2:$E$18+$G$2:$G$18))</f>
        <v>-0.20168467779063751</v>
      </c>
      <c r="P88">
        <f t="shared" si="6"/>
        <v>0</v>
      </c>
      <c r="Q88">
        <f t="shared" si="7"/>
        <v>9.1612571720796079E-2</v>
      </c>
      <c r="R88">
        <f t="array" ref="R88">+$B$2*SIN(Q88*$B$3+$B$4)+Q88+$B$9*SIN(PI()*M88+$B$10)+$B$11*SIN(2*PI()*M88+$B$12) + SUM($I$2:$I$18*SIN(2*PI()*M88*$H$2:$H$18+$J$2:$J$18))</f>
        <v>-0.61277939751416444</v>
      </c>
    </row>
    <row r="89" spans="3:18" x14ac:dyDescent="0.35">
      <c r="C89">
        <v>-0.70443</v>
      </c>
      <c r="L89">
        <f t="shared" si="8"/>
        <v>88</v>
      </c>
      <c r="M89">
        <f t="shared" si="9"/>
        <v>1887.2499999999934</v>
      </c>
      <c r="N89">
        <f t="shared" si="5"/>
        <v>0</v>
      </c>
      <c r="O89">
        <f t="array" ref="O89">+SUM($F$2:$F$18*SIN(2*PI()*(M89)*$B$1/$E$2:$E$18+$G$2:$G$18))</f>
        <v>-3.5187467200287231E-2</v>
      </c>
      <c r="P89">
        <f t="shared" si="6"/>
        <v>0</v>
      </c>
      <c r="Q89">
        <f t="shared" si="7"/>
        <v>9.1401351498295536E-2</v>
      </c>
      <c r="R89">
        <f t="array" ref="R89">+$B$2*SIN(Q89*$B$3+$B$4)+Q89+$B$9*SIN(PI()*M89+$B$10)+$B$11*SIN(2*PI()*M89+$B$12) + SUM($I$2:$I$18*SIN(2*PI()*M89*$H$2:$H$18+$J$2:$J$18))</f>
        <v>-0.15673485076823734</v>
      </c>
    </row>
    <row r="90" spans="3:18" x14ac:dyDescent="0.35">
      <c r="C90">
        <v>-0.70742400000000005</v>
      </c>
      <c r="L90">
        <f t="shared" si="8"/>
        <v>89</v>
      </c>
      <c r="M90">
        <f t="shared" si="9"/>
        <v>1887.3333333333267</v>
      </c>
      <c r="N90">
        <f t="shared" si="5"/>
        <v>0</v>
      </c>
      <c r="O90">
        <f t="array" ref="O90">+SUM($F$2:$F$18*SIN(2*PI()*(M90)*$B$1/$E$2:$E$18+$G$2:$G$18))</f>
        <v>0.11876919519565313</v>
      </c>
      <c r="P90">
        <f t="shared" si="6"/>
        <v>0</v>
      </c>
      <c r="Q90">
        <f t="shared" si="7"/>
        <v>9.1190618261167797E-2</v>
      </c>
      <c r="R90">
        <f t="array" ref="R90">+$B$2*SIN(Q90*$B$3+$B$4)+Q90+$B$9*SIN(PI()*M90+$B$10)+$B$11*SIN(2*PI()*M90+$B$12) + SUM($I$2:$I$18*SIN(2*PI()*M90*$H$2:$H$18+$J$2:$J$18))</f>
        <v>0.4207183800787524</v>
      </c>
    </row>
    <row r="91" spans="3:18" x14ac:dyDescent="0.35">
      <c r="C91">
        <v>-0.73657399999999995</v>
      </c>
      <c r="L91">
        <f t="shared" si="8"/>
        <v>90</v>
      </c>
      <c r="M91">
        <f t="shared" si="9"/>
        <v>1887.4166666666599</v>
      </c>
      <c r="N91">
        <f t="shared" si="5"/>
        <v>0</v>
      </c>
      <c r="O91">
        <f t="array" ref="O91">+SUM($F$2:$F$18*SIN(2*PI()*(M91)*$B$1/$E$2:$E$18+$G$2:$G$18))</f>
        <v>-0.30590349727022437</v>
      </c>
      <c r="P91">
        <f t="shared" si="6"/>
        <v>0</v>
      </c>
      <c r="Q91">
        <f t="shared" si="7"/>
        <v>9.0980370886628539E-2</v>
      </c>
      <c r="R91">
        <f t="array" ref="R91">+$B$2*SIN(Q91*$B$3+$B$4)+Q91+$B$9*SIN(PI()*M91+$B$10)+$B$11*SIN(2*PI()*M91+$B$12) + SUM($I$2:$I$18*SIN(2*PI()*M91*$H$2:$H$18+$J$2:$J$18))</f>
        <v>1.0662413231387111</v>
      </c>
    </row>
    <row r="92" spans="3:18" x14ac:dyDescent="0.35">
      <c r="C92">
        <v>-0.60110999999999992</v>
      </c>
      <c r="L92">
        <f t="shared" si="8"/>
        <v>91</v>
      </c>
      <c r="M92">
        <f t="shared" si="9"/>
        <v>1887.4999999999932</v>
      </c>
      <c r="N92">
        <f t="shared" si="5"/>
        <v>0</v>
      </c>
      <c r="O92">
        <f t="array" ref="O92">+SUM($F$2:$F$18*SIN(2*PI()*(M92)*$B$1/$E$2:$E$18+$G$2:$G$18))</f>
        <v>-0.79877691282331864</v>
      </c>
      <c r="P92">
        <f t="shared" si="6"/>
        <v>0</v>
      </c>
      <c r="Q92">
        <f t="shared" si="7"/>
        <v>9.0770608254482132E-2</v>
      </c>
      <c r="R92">
        <f t="array" ref="R92">+$B$2*SIN(Q92*$B$3+$B$4)+Q92+$B$9*SIN(PI()*M92+$B$10)+$B$11*SIN(2*PI()*M92+$B$12) + SUM($I$2:$I$18*SIN(2*PI()*M92*$H$2:$H$18+$J$2:$J$18))</f>
        <v>1.6703034461520545</v>
      </c>
    </row>
    <row r="93" spans="3:18" x14ac:dyDescent="0.35">
      <c r="C93">
        <v>-0.1918</v>
      </c>
      <c r="L93">
        <f t="shared" si="8"/>
        <v>92</v>
      </c>
      <c r="M93">
        <f t="shared" si="9"/>
        <v>1887.5833333333264</v>
      </c>
      <c r="N93">
        <f t="shared" si="5"/>
        <v>0</v>
      </c>
      <c r="O93">
        <f t="array" ref="O93">+SUM($F$2:$F$18*SIN(2*PI()*(M93)*$B$1/$E$2:$E$18+$G$2:$G$18))</f>
        <v>-0.28124007457652789</v>
      </c>
      <c r="P93">
        <f t="shared" si="6"/>
        <v>0</v>
      </c>
      <c r="Q93">
        <f t="shared" si="7"/>
        <v>9.0561329247115616E-2</v>
      </c>
      <c r="R93">
        <f t="array" ref="R93">+$B$2*SIN(Q93*$B$3+$B$4)+Q93+$B$9*SIN(PI()*M93+$B$10)+$B$11*SIN(2*PI()*M93+$B$12) + SUM($I$2:$I$18*SIN(2*PI()*M93*$H$2:$H$18+$J$2:$J$18))</f>
        <v>2.0969347508260032</v>
      </c>
    </row>
    <row r="94" spans="3:18" x14ac:dyDescent="0.35">
      <c r="C94">
        <v>-0.13326199999999999</v>
      </c>
      <c r="L94">
        <f t="shared" si="8"/>
        <v>93</v>
      </c>
      <c r="M94">
        <f t="shared" si="9"/>
        <v>1887.6666666666597</v>
      </c>
      <c r="N94">
        <f t="shared" si="5"/>
        <v>0</v>
      </c>
      <c r="O94">
        <f t="array" ref="O94">+SUM($F$2:$F$18*SIN(2*PI()*(M94)*$B$1/$E$2:$E$18+$G$2:$G$18))</f>
        <v>0.36162028034665666</v>
      </c>
      <c r="P94">
        <f t="shared" si="6"/>
        <v>0</v>
      </c>
      <c r="Q94">
        <f t="shared" si="7"/>
        <v>9.03525327494928E-2</v>
      </c>
      <c r="R94">
        <f t="array" ref="R94">+$B$2*SIN(Q94*$B$3+$B$4)+Q94+$B$9*SIN(PI()*M94+$B$10)+$B$11*SIN(2*PI()*M94+$B$12) + SUM($I$2:$I$18*SIN(2*PI()*M94*$H$2:$H$18+$J$2:$J$18))</f>
        <v>2.2216926814953615</v>
      </c>
    </row>
    <row r="95" spans="3:18" x14ac:dyDescent="0.35">
      <c r="C95">
        <v>0.27296799999999999</v>
      </c>
      <c r="L95">
        <f t="shared" si="8"/>
        <v>94</v>
      </c>
      <c r="M95">
        <f t="shared" si="9"/>
        <v>1887.749999999993</v>
      </c>
      <c r="N95">
        <f t="shared" si="5"/>
        <v>0</v>
      </c>
      <c r="O95">
        <f t="array" ref="O95">+SUM($F$2:$F$18*SIN(2*PI()*(M95)*$B$1/$E$2:$E$18+$G$2:$G$18))</f>
        <v>0.3307169309157274</v>
      </c>
      <c r="P95">
        <f t="shared" si="6"/>
        <v>0</v>
      </c>
      <c r="Q95">
        <f t="shared" si="7"/>
        <v>9.0144217649148289E-2</v>
      </c>
      <c r="R95">
        <f t="array" ref="R95">+$B$2*SIN(Q95*$B$3+$B$4)+Q95+$B$9*SIN(PI()*M95+$B$10)+$B$11*SIN(2*PI()*M95+$B$12) + SUM($I$2:$I$18*SIN(2*PI()*M95*$H$2:$H$18+$J$2:$J$18))</f>
        <v>1.9675375771710213</v>
      </c>
    </row>
    <row r="96" spans="3:18" x14ac:dyDescent="0.35">
      <c r="C96">
        <v>0.40535200000000005</v>
      </c>
      <c r="L96">
        <f t="shared" si="8"/>
        <v>95</v>
      </c>
      <c r="M96">
        <f t="shared" si="9"/>
        <v>1887.8333333333262</v>
      </c>
      <c r="N96">
        <f t="shared" si="5"/>
        <v>0</v>
      </c>
      <c r="O96">
        <f t="array" ref="O96">+SUM($F$2:$F$18*SIN(2*PI()*(M96)*$B$1/$E$2:$E$18+$G$2:$G$18))</f>
        <v>0.26242404769510602</v>
      </c>
      <c r="P96">
        <f t="shared" si="6"/>
        <v>0</v>
      </c>
      <c r="Q96">
        <f t="shared" si="7"/>
        <v>8.9936382836181578E-2</v>
      </c>
      <c r="R96">
        <f t="array" ref="R96">+$B$2*SIN(Q96*$B$3+$B$4)+Q96+$B$9*SIN(PI()*M96+$B$10)+$B$11*SIN(2*PI()*M96+$B$12) + SUM($I$2:$I$18*SIN(2*PI()*M96*$H$2:$H$18+$J$2:$J$18))</f>
        <v>1.3288413931334788</v>
      </c>
    </row>
    <row r="97" spans="3:18" x14ac:dyDescent="0.35">
      <c r="C97">
        <v>0.20696200000000001</v>
      </c>
      <c r="L97">
        <f t="shared" si="8"/>
        <v>96</v>
      </c>
      <c r="M97">
        <f t="shared" si="9"/>
        <v>1887.9166666666595</v>
      </c>
      <c r="N97">
        <f t="shared" si="5"/>
        <v>0</v>
      </c>
      <c r="O97">
        <f t="array" ref="O97">+SUM($F$2:$F$18*SIN(2*PI()*(M97)*$B$1/$E$2:$E$18+$G$2:$G$18))</f>
        <v>0.18367707907473302</v>
      </c>
      <c r="P97">
        <f t="shared" si="6"/>
        <v>0</v>
      </c>
      <c r="Q97">
        <f t="shared" si="7"/>
        <v>8.9729027203251113E-2</v>
      </c>
      <c r="R97">
        <f t="array" ref="R97">+$B$2*SIN(Q97*$B$3+$B$4)+Q97+$B$9*SIN(PI()*M97+$B$10)+$B$11*SIN(2*PI()*M97+$B$12) + SUM($I$2:$I$18*SIN(2*PI()*M97*$H$2:$H$18+$J$2:$J$18))</f>
        <v>0.37691416817988532</v>
      </c>
    </row>
    <row r="98" spans="3:18" x14ac:dyDescent="0.35">
      <c r="C98">
        <v>0.22242000000000001</v>
      </c>
      <c r="L98">
        <f t="shared" si="8"/>
        <v>97</v>
      </c>
      <c r="M98">
        <f t="shared" si="9"/>
        <v>1887.9999999999927</v>
      </c>
      <c r="N98">
        <f t="shared" si="5"/>
        <v>200</v>
      </c>
      <c r="O98">
        <f t="array" ref="O98">+SUM($F$2:$F$18*SIN(2*PI()*(M98)*$B$1/$E$2:$E$18+$G$2:$G$18))</f>
        <v>0.16225168335294352</v>
      </c>
      <c r="P98">
        <f t="shared" si="6"/>
        <v>32.450336670588705</v>
      </c>
      <c r="Q98">
        <f t="shared" si="7"/>
        <v>0.16433903561476171</v>
      </c>
      <c r="R98">
        <f t="array" ref="R98">+$B$2*SIN(Q98*$B$3+$B$4)+Q98+$B$9*SIN(PI()*M98+$B$10)+$B$11*SIN(2*PI()*M98+$B$12) + SUM($I$2:$I$18*SIN(2*PI()*M98*$H$2:$H$18+$J$2:$J$18))</f>
        <v>6.2664493757338144</v>
      </c>
    </row>
    <row r="99" spans="3:18" x14ac:dyDescent="0.35">
      <c r="C99">
        <v>0.208646</v>
      </c>
      <c r="L99">
        <f t="shared" si="8"/>
        <v>98</v>
      </c>
      <c r="M99">
        <f t="shared" si="9"/>
        <v>1888.083333333326</v>
      </c>
      <c r="N99">
        <f t="shared" si="5"/>
        <v>0</v>
      </c>
      <c r="O99">
        <f t="array" ref="O99">+SUM($F$2:$F$18*SIN(2*PI()*(M99)*$B$1/$E$2:$E$18+$G$2:$G$18))</f>
        <v>0.3385265299312189</v>
      </c>
      <c r="P99">
        <f t="shared" si="6"/>
        <v>0</v>
      </c>
      <c r="Q99">
        <f t="shared" si="7"/>
        <v>0.16396013862479547</v>
      </c>
      <c r="R99">
        <f t="array" ref="R99">+$B$2*SIN(Q99*$B$3+$B$4)+Q99+$B$9*SIN(PI()*M99+$B$10)+$B$11*SIN(2*PI()*M99+$B$12) + SUM($I$2:$I$18*SIN(2*PI()*M99*$H$2:$H$18+$J$2:$J$18))</f>
        <v>5.1033659884237474</v>
      </c>
    </row>
    <row r="100" spans="3:18" x14ac:dyDescent="0.35">
      <c r="C100">
        <v>0.22564000000000001</v>
      </c>
      <c r="L100">
        <f t="shared" si="8"/>
        <v>99</v>
      </c>
      <c r="M100">
        <f t="shared" si="9"/>
        <v>1888.1666666666592</v>
      </c>
      <c r="N100">
        <f t="shared" si="5"/>
        <v>0</v>
      </c>
      <c r="O100">
        <f t="array" ref="O100">+SUM($F$2:$F$18*SIN(2*PI()*(M100)*$B$1/$E$2:$E$18+$G$2:$G$18))</f>
        <v>-4.2230338296860404E-2</v>
      </c>
      <c r="P100">
        <f t="shared" si="6"/>
        <v>0</v>
      </c>
      <c r="Q100">
        <f t="shared" si="7"/>
        <v>0.1635821152126038</v>
      </c>
      <c r="R100">
        <f t="array" ref="R100">+$B$2*SIN(Q100*$B$3+$B$4)+Q100+$B$9*SIN(PI()*M100+$B$10)+$B$11*SIN(2*PI()*M100+$B$12) + SUM($I$2:$I$18*SIN(2*PI()*M100*$H$2:$H$18+$J$2:$J$18))</f>
        <v>4.0823061697567367</v>
      </c>
    </row>
    <row r="101" spans="3:18" x14ac:dyDescent="0.35">
      <c r="C101">
        <v>0.20263200000000001</v>
      </c>
      <c r="L101">
        <f t="shared" si="8"/>
        <v>100</v>
      </c>
      <c r="M101">
        <f t="shared" si="9"/>
        <v>1888.2499999999925</v>
      </c>
      <c r="N101">
        <f t="shared" si="5"/>
        <v>0</v>
      </c>
      <c r="O101">
        <f t="array" ref="O101">+SUM($F$2:$F$18*SIN(2*PI()*(M101)*$B$1/$E$2:$E$18+$G$2:$G$18))</f>
        <v>-0.49808637610961715</v>
      </c>
      <c r="P101">
        <f t="shared" si="6"/>
        <v>0</v>
      </c>
      <c r="Q101">
        <f t="shared" si="7"/>
        <v>0.16320496336408219</v>
      </c>
      <c r="R101">
        <f t="array" ref="R101">+$B$2*SIN(Q101*$B$3+$B$4)+Q101+$B$9*SIN(PI()*M101+$B$10)+$B$11*SIN(2*PI()*M101+$B$12) + SUM($I$2:$I$18*SIN(2*PI()*M101*$H$2:$H$18+$J$2:$J$18))</f>
        <v>3.3146902809986942</v>
      </c>
    </row>
    <row r="102" spans="3:18" x14ac:dyDescent="0.35">
      <c r="C102">
        <v>-3.4222000000000002E-2</v>
      </c>
      <c r="L102">
        <f t="shared" si="8"/>
        <v>101</v>
      </c>
      <c r="M102">
        <f t="shared" si="9"/>
        <v>1888.3333333333258</v>
      </c>
      <c r="N102">
        <f t="shared" si="5"/>
        <v>0</v>
      </c>
      <c r="O102">
        <f t="array" ref="O102">+SUM($F$2:$F$18*SIN(2*PI()*(M102)*$B$1/$E$2:$E$18+$G$2:$G$18))</f>
        <v>-4.1436210235038351E-2</v>
      </c>
      <c r="P102">
        <f t="shared" si="6"/>
        <v>0</v>
      </c>
      <c r="Q102">
        <f t="shared" si="7"/>
        <v>0.16282868106976986</v>
      </c>
      <c r="R102">
        <f t="array" ref="R102">+$B$2*SIN(Q102*$B$3+$B$4)+Q102+$B$9*SIN(PI()*M102+$B$10)+$B$11*SIN(2*PI()*M102+$B$12) + SUM($I$2:$I$18*SIN(2*PI()*M102*$H$2:$H$18+$J$2:$J$18))</f>
        <v>2.8412488302156191</v>
      </c>
    </row>
    <row r="103" spans="3:18" x14ac:dyDescent="0.35">
      <c r="C103">
        <v>-0.12646399999999999</v>
      </c>
      <c r="L103">
        <f t="shared" si="8"/>
        <v>102</v>
      </c>
      <c r="M103">
        <f t="shared" si="9"/>
        <v>1888.416666666659</v>
      </c>
      <c r="N103">
        <f t="shared" si="5"/>
        <v>0</v>
      </c>
      <c r="O103">
        <f t="array" ref="O103">+SUM($F$2:$F$18*SIN(2*PI()*(M103)*$B$1/$E$2:$E$18+$G$2:$G$18))</f>
        <v>0.53973062242859549</v>
      </c>
      <c r="P103">
        <f t="shared" si="6"/>
        <v>0</v>
      </c>
      <c r="Q103">
        <f t="shared" si="7"/>
        <v>0.16245326632483895</v>
      </c>
      <c r="R103">
        <f t="array" ref="R103">+$B$2*SIN(Q103*$B$3+$B$4)+Q103+$B$9*SIN(PI()*M103+$B$10)+$B$11*SIN(2*PI()*M103+$B$12) + SUM($I$2:$I$18*SIN(2*PI()*M103*$H$2:$H$18+$J$2:$J$18))</f>
        <v>2.625287897008068</v>
      </c>
    </row>
    <row r="104" spans="3:18" x14ac:dyDescent="0.35">
      <c r="C104">
        <v>-0.35562800000000006</v>
      </c>
      <c r="L104">
        <f t="shared" si="8"/>
        <v>103</v>
      </c>
      <c r="M104">
        <f t="shared" si="9"/>
        <v>1888.4999999999923</v>
      </c>
      <c r="N104">
        <f t="shared" si="5"/>
        <v>0</v>
      </c>
      <c r="O104">
        <f t="array" ref="O104">+SUM($F$2:$F$18*SIN(2*PI()*(M104)*$B$1/$E$2:$E$18+$G$2:$G$18))</f>
        <v>0.76905947055706747</v>
      </c>
      <c r="P104">
        <f t="shared" si="6"/>
        <v>0</v>
      </c>
      <c r="Q104">
        <f t="shared" si="7"/>
        <v>0.16207871712908392</v>
      </c>
      <c r="R104">
        <f t="array" ref="R104">+$B$2*SIN(Q104*$B$3+$B$4)+Q104+$B$9*SIN(PI()*M104+$B$10)+$B$11*SIN(2*PI()*M104+$B$12) + SUM($I$2:$I$18*SIN(2*PI()*M104*$H$2:$H$18+$J$2:$J$18))</f>
        <v>2.56627210840825</v>
      </c>
    </row>
    <row r="105" spans="3:18" x14ac:dyDescent="0.35">
      <c r="C105">
        <v>-0.28325400000000001</v>
      </c>
      <c r="L105">
        <f t="shared" si="8"/>
        <v>104</v>
      </c>
      <c r="M105">
        <f t="shared" si="9"/>
        <v>1888.5833333333255</v>
      </c>
      <c r="N105">
        <f t="shared" si="5"/>
        <v>0</v>
      </c>
      <c r="O105">
        <f t="array" ref="O105">+SUM($F$2:$F$18*SIN(2*PI()*(M105)*$B$1/$E$2:$E$18+$G$2:$G$18))</f>
        <v>0.81765865328170739</v>
      </c>
      <c r="P105">
        <f t="shared" si="6"/>
        <v>0</v>
      </c>
      <c r="Q105">
        <f t="shared" si="7"/>
        <v>0.1617050314869109</v>
      </c>
      <c r="R105">
        <f t="array" ref="R105">+$B$2*SIN(Q105*$B$3+$B$4)+Q105+$B$9*SIN(PI()*M105+$B$10)+$B$11*SIN(2*PI()*M105+$B$12) + SUM($I$2:$I$18*SIN(2*PI()*M105*$H$2:$H$18+$J$2:$J$18))</f>
        <v>2.530029117050101</v>
      </c>
    </row>
    <row r="106" spans="3:18" x14ac:dyDescent="0.35">
      <c r="C106">
        <v>-0.57242400000000004</v>
      </c>
      <c r="L106">
        <f t="shared" si="8"/>
        <v>105</v>
      </c>
      <c r="M106">
        <f t="shared" si="9"/>
        <v>1888.6666666666588</v>
      </c>
      <c r="N106">
        <f t="shared" si="5"/>
        <v>0</v>
      </c>
      <c r="O106">
        <f t="array" ref="O106">+SUM($F$2:$F$18*SIN(2*PI()*(M106)*$B$1/$E$2:$E$18+$G$2:$G$18))</f>
        <v>0.44172657119082426</v>
      </c>
      <c r="P106">
        <f t="shared" si="6"/>
        <v>0</v>
      </c>
      <c r="Q106">
        <f t="shared" si="7"/>
        <v>0.16133220740732696</v>
      </c>
      <c r="R106">
        <f t="array" ref="R106">+$B$2*SIN(Q106*$B$3+$B$4)+Q106+$B$9*SIN(PI()*M106+$B$10)+$B$11*SIN(2*PI()*M106+$B$12) + SUM($I$2:$I$18*SIN(2*PI()*M106*$H$2:$H$18+$J$2:$J$18))</f>
        <v>2.3874535082108608</v>
      </c>
    </row>
    <row r="107" spans="3:18" x14ac:dyDescent="0.35">
      <c r="C107">
        <v>-0.27082200000000001</v>
      </c>
      <c r="L107">
        <f t="shared" si="8"/>
        <v>106</v>
      </c>
      <c r="M107">
        <f t="shared" si="9"/>
        <v>1888.749999999992</v>
      </c>
      <c r="N107">
        <f t="shared" si="5"/>
        <v>0</v>
      </c>
      <c r="O107">
        <f t="array" ref="O107">+SUM($F$2:$F$18*SIN(2*PI()*(M107)*$B$1/$E$2:$E$18+$G$2:$G$18))</f>
        <v>0.36306482094474346</v>
      </c>
      <c r="P107">
        <f t="shared" si="6"/>
        <v>0</v>
      </c>
      <c r="Q107">
        <f t="shared" si="7"/>
        <v>0.1609602429039296</v>
      </c>
      <c r="R107">
        <f t="array" ref="R107">+$B$2*SIN(Q107*$B$3+$B$4)+Q107+$B$9*SIN(PI()*M107+$B$10)+$B$11*SIN(2*PI()*M107+$B$12) + SUM($I$2:$I$18*SIN(2*PI()*M107*$H$2:$H$18+$J$2:$J$18))</f>
        <v>2.0513346077694621</v>
      </c>
    </row>
    <row r="108" spans="3:18" x14ac:dyDescent="0.35">
      <c r="C108">
        <v>-0.33999000000000001</v>
      </c>
      <c r="L108">
        <f t="shared" si="8"/>
        <v>107</v>
      </c>
      <c r="M108">
        <f t="shared" si="9"/>
        <v>1888.8333333333253</v>
      </c>
      <c r="N108">
        <f t="shared" si="5"/>
        <v>0</v>
      </c>
      <c r="O108">
        <f t="array" ref="O108">+SUM($F$2:$F$18*SIN(2*PI()*(M108)*$B$1/$E$2:$E$18+$G$2:$G$18))</f>
        <v>0.69977665126213562</v>
      </c>
      <c r="P108">
        <f t="shared" si="6"/>
        <v>0</v>
      </c>
      <c r="Q108">
        <f t="shared" si="7"/>
        <v>0.16058913599489616</v>
      </c>
      <c r="R108">
        <f t="array" ref="R108">+$B$2*SIN(Q108*$B$3+$B$4)+Q108+$B$9*SIN(PI()*M108+$B$10)+$B$11*SIN(2*PI()*M108+$B$12) + SUM($I$2:$I$18*SIN(2*PI()*M108*$H$2:$H$18+$J$2:$J$18))</f>
        <v>1.5014542978985341</v>
      </c>
    </row>
    <row r="109" spans="3:18" x14ac:dyDescent="0.35">
      <c r="C109">
        <v>-0.224546</v>
      </c>
      <c r="L109">
        <f t="shared" si="8"/>
        <v>108</v>
      </c>
      <c r="M109">
        <f t="shared" si="9"/>
        <v>1888.9166666666586</v>
      </c>
      <c r="N109">
        <f t="shared" si="5"/>
        <v>0</v>
      </c>
      <c r="O109">
        <f t="array" ref="O109">+SUM($F$2:$F$18*SIN(2*PI()*(M109)*$B$1/$E$2:$E$18+$G$2:$G$18))</f>
        <v>0.23104126493706267</v>
      </c>
      <c r="P109">
        <f t="shared" si="6"/>
        <v>0</v>
      </c>
      <c r="Q109">
        <f t="shared" si="7"/>
        <v>0.16021888470297316</v>
      </c>
      <c r="R109">
        <f t="array" ref="R109">+$B$2*SIN(Q109*$B$3+$B$4)+Q109+$B$9*SIN(PI()*M109+$B$10)+$B$11*SIN(2*PI()*M109+$B$12) + SUM($I$2:$I$18*SIN(2*PI()*M109*$H$2:$H$18+$J$2:$J$18))</f>
        <v>0.79125713281152876</v>
      </c>
    </row>
    <row r="110" spans="3:18" x14ac:dyDescent="0.35">
      <c r="C110">
        <v>-0.18756399999999998</v>
      </c>
      <c r="L110">
        <f t="shared" si="8"/>
        <v>109</v>
      </c>
      <c r="M110">
        <f t="shared" si="9"/>
        <v>1888.9999999999918</v>
      </c>
      <c r="N110">
        <f t="shared" si="5"/>
        <v>200</v>
      </c>
      <c r="O110">
        <f t="array" ref="O110">+SUM($F$2:$F$18*SIN(2*PI()*(M110)*$B$1/$E$2:$E$18+$G$2:$G$18))</f>
        <v>-0.36583621600825955</v>
      </c>
      <c r="P110">
        <f t="shared" si="6"/>
        <v>-73.167243201651914</v>
      </c>
      <c r="Q110">
        <f t="shared" si="7"/>
        <v>-8.8435328927586598E-3</v>
      </c>
      <c r="R110">
        <f t="array" ref="R110">+$B$2*SIN(Q110*$B$3+$B$4)+Q110+$B$9*SIN(PI()*M110+$B$10)+$B$11*SIN(2*PI()*M110+$B$12) + SUM($I$2:$I$18*SIN(2*PI()*M110*$H$2:$H$18+$J$2:$J$18))</f>
        <v>-12.466731401493799</v>
      </c>
    </row>
    <row r="111" spans="3:18" x14ac:dyDescent="0.35">
      <c r="C111">
        <v>-0.155198</v>
      </c>
      <c r="L111">
        <f t="shared" si="8"/>
        <v>110</v>
      </c>
      <c r="M111">
        <f t="shared" si="9"/>
        <v>1889.0833333333251</v>
      </c>
      <c r="N111">
        <f t="shared" si="5"/>
        <v>0</v>
      </c>
      <c r="O111">
        <f t="array" ref="O111">+SUM($F$2:$F$18*SIN(2*PI()*(M111)*$B$1/$E$2:$E$18+$G$2:$G$18))</f>
        <v>9.3254407934174999E-2</v>
      </c>
      <c r="P111">
        <f t="shared" si="6"/>
        <v>0</v>
      </c>
      <c r="Q111">
        <f t="shared" si="7"/>
        <v>-8.8231434096319086E-3</v>
      </c>
      <c r="R111">
        <f t="array" ref="R111">+$B$2*SIN(Q111*$B$3+$B$4)+Q111+$B$9*SIN(PI()*M111+$B$10)+$B$11*SIN(2*PI()*M111+$B$12) + SUM($I$2:$I$18*SIN(2*PI()*M111*$H$2:$H$18+$J$2:$J$18))</f>
        <v>-13.091807860627696</v>
      </c>
    </row>
    <row r="112" spans="3:18" x14ac:dyDescent="0.35">
      <c r="C112">
        <v>7.9360000000000003E-3</v>
      </c>
      <c r="L112">
        <f t="shared" si="8"/>
        <v>111</v>
      </c>
      <c r="M112">
        <f t="shared" si="9"/>
        <v>1889.1666666666583</v>
      </c>
      <c r="N112">
        <f t="shared" si="5"/>
        <v>0</v>
      </c>
      <c r="O112">
        <f t="array" ref="O112">+SUM($F$2:$F$18*SIN(2*PI()*(M112)*$B$1/$E$2:$E$18+$G$2:$G$18))</f>
        <v>0.87090855749508367</v>
      </c>
      <c r="P112">
        <f t="shared" si="6"/>
        <v>0</v>
      </c>
      <c r="Q112">
        <f t="shared" si="7"/>
        <v>-8.8028009361140122E-3</v>
      </c>
      <c r="R112">
        <f t="array" ref="R112">+$B$2*SIN(Q112*$B$3+$B$4)+Q112+$B$9*SIN(PI()*M112+$B$10)+$B$11*SIN(2*PI()*M112+$B$12) + SUM($I$2:$I$18*SIN(2*PI()*M112*$H$2:$H$18+$J$2:$J$18))</f>
        <v>-13.484589396952039</v>
      </c>
    </row>
    <row r="113" spans="3:18" x14ac:dyDescent="0.35">
      <c r="C113">
        <v>5.7222000000000002E-2</v>
      </c>
      <c r="L113">
        <f t="shared" si="8"/>
        <v>112</v>
      </c>
      <c r="M113">
        <f t="shared" si="9"/>
        <v>1889.2499999999916</v>
      </c>
      <c r="N113">
        <f t="shared" si="5"/>
        <v>0</v>
      </c>
      <c r="O113">
        <f t="array" ref="O113">+SUM($F$2:$F$18*SIN(2*PI()*(M113)*$B$1/$E$2:$E$18+$G$2:$G$18))</f>
        <v>1.2888879010622625</v>
      </c>
      <c r="P113">
        <f t="shared" si="6"/>
        <v>0</v>
      </c>
      <c r="Q113">
        <f t="shared" si="7"/>
        <v>-8.7825053638204992E-3</v>
      </c>
      <c r="R113">
        <f t="array" ref="R113">+$B$2*SIN(Q113*$B$3+$B$4)+Q113+$B$9*SIN(PI()*M113+$B$10)+$B$11*SIN(2*PI()*M113+$B$12) + SUM($I$2:$I$18*SIN(2*PI()*M113*$H$2:$H$18+$J$2:$J$18))</f>
        <v>-13.55467080555945</v>
      </c>
    </row>
    <row r="114" spans="3:18" x14ac:dyDescent="0.35">
      <c r="C114">
        <v>0.112662</v>
      </c>
      <c r="L114">
        <f t="shared" si="8"/>
        <v>113</v>
      </c>
      <c r="M114">
        <f t="shared" si="9"/>
        <v>1889.3333333333248</v>
      </c>
      <c r="N114">
        <f t="shared" si="5"/>
        <v>0</v>
      </c>
      <c r="O114">
        <f t="array" ref="O114">+SUM($F$2:$F$18*SIN(2*PI()*(M114)*$B$1/$E$2:$E$18+$G$2:$G$18))</f>
        <v>0.97289016546332052</v>
      </c>
      <c r="P114">
        <f t="shared" si="6"/>
        <v>0</v>
      </c>
      <c r="Q114">
        <f t="shared" si="7"/>
        <v>-8.7622565846167903E-3</v>
      </c>
      <c r="R114">
        <f t="array" ref="R114">+$B$2*SIN(Q114*$B$3+$B$4)+Q114+$B$9*SIN(PI()*M114+$B$10)+$B$11*SIN(2*PI()*M114+$B$12) + SUM($I$2:$I$18*SIN(2*PI()*M114*$H$2:$H$18+$J$2:$J$18))</f>
        <v>-13.281465136305748</v>
      </c>
    </row>
    <row r="115" spans="3:18" x14ac:dyDescent="0.35">
      <c r="C115">
        <v>0.33271600000000001</v>
      </c>
      <c r="L115">
        <f t="shared" si="8"/>
        <v>114</v>
      </c>
      <c r="M115">
        <f t="shared" si="9"/>
        <v>1889.4166666666581</v>
      </c>
      <c r="N115">
        <f t="shared" si="5"/>
        <v>0</v>
      </c>
      <c r="O115">
        <f t="array" ref="O115">+SUM($F$2:$F$18*SIN(2*PI()*(M115)*$B$1/$E$2:$E$18+$G$2:$G$18))</f>
        <v>0.1384295941188064</v>
      </c>
      <c r="P115">
        <f t="shared" si="6"/>
        <v>0</v>
      </c>
      <c r="Q115">
        <f t="shared" si="7"/>
        <v>-8.7420544906176151E-3</v>
      </c>
      <c r="R115">
        <f t="array" ref="R115">+$B$2*SIN(Q115*$B$3+$B$4)+Q115+$B$9*SIN(PI()*M115+$B$10)+$B$11*SIN(2*PI()*M115+$B$12) + SUM($I$2:$I$18*SIN(2*PI()*M115*$H$2:$H$18+$J$2:$J$18))</f>
        <v>-12.72068572394506</v>
      </c>
    </row>
    <row r="116" spans="3:18" x14ac:dyDescent="0.35">
      <c r="C116">
        <v>0.16353799999999999</v>
      </c>
      <c r="L116">
        <f t="shared" si="8"/>
        <v>115</v>
      </c>
      <c r="M116">
        <f t="shared" si="9"/>
        <v>1889.4999999999914</v>
      </c>
      <c r="N116">
        <f t="shared" si="5"/>
        <v>0</v>
      </c>
      <c r="O116">
        <f t="array" ref="O116">+SUM($F$2:$F$18*SIN(2*PI()*(M116)*$B$1/$E$2:$E$18+$G$2:$G$18))</f>
        <v>0.29990019822586</v>
      </c>
      <c r="P116">
        <f t="shared" si="6"/>
        <v>0</v>
      </c>
      <c r="Q116">
        <f t="shared" si="7"/>
        <v>-8.7218989741864456E-3</v>
      </c>
      <c r="R116">
        <f t="array" ref="R116">+$B$2*SIN(Q116*$B$3+$B$4)+Q116+$B$9*SIN(PI()*M116+$B$10)+$B$11*SIN(2*PI()*M116+$B$12) + SUM($I$2:$I$18*SIN(2*PI()*M116*$H$2:$H$18+$J$2:$J$18))</f>
        <v>-11.990697899945481</v>
      </c>
    </row>
    <row r="117" spans="3:18" x14ac:dyDescent="0.35">
      <c r="C117">
        <v>0.13128200000000001</v>
      </c>
      <c r="L117">
        <f t="shared" si="8"/>
        <v>116</v>
      </c>
      <c r="M117">
        <f t="shared" si="9"/>
        <v>1889.5833333333246</v>
      </c>
      <c r="N117">
        <f t="shared" si="5"/>
        <v>0</v>
      </c>
      <c r="O117">
        <f t="array" ref="O117">+SUM($F$2:$F$18*SIN(2*PI()*(M117)*$B$1/$E$2:$E$18+$G$2:$G$18))</f>
        <v>0.92598766917594</v>
      </c>
      <c r="P117">
        <f t="shared" si="6"/>
        <v>0</v>
      </c>
      <c r="Q117">
        <f t="shared" si="7"/>
        <v>-8.7017899279349178E-3</v>
      </c>
      <c r="R117">
        <f t="array" ref="R117">+$B$2*SIN(Q117*$B$3+$B$4)+Q117+$B$9*SIN(PI()*M117+$B$10)+$B$11*SIN(2*PI()*M117+$B$12) + SUM($I$2:$I$18*SIN(2*PI()*M117*$H$2:$H$18+$J$2:$J$18))</f>
        <v>-11.242395908073817</v>
      </c>
    </row>
    <row r="118" spans="3:18" x14ac:dyDescent="0.35">
      <c r="C118">
        <v>-4.7131999999999993E-2</v>
      </c>
      <c r="L118">
        <f t="shared" si="8"/>
        <v>117</v>
      </c>
      <c r="M118">
        <f t="shared" si="9"/>
        <v>1889.6666666666579</v>
      </c>
      <c r="N118">
        <f t="shared" si="5"/>
        <v>0</v>
      </c>
      <c r="O118">
        <f t="array" ref="O118">+SUM($F$2:$F$18*SIN(2*PI()*(M118)*$B$1/$E$2:$E$18+$G$2:$G$18))</f>
        <v>0.20025352378135333</v>
      </c>
      <c r="P118">
        <f t="shared" si="6"/>
        <v>0</v>
      </c>
      <c r="Q118">
        <f t="shared" si="7"/>
        <v>-8.6817272447222583E-3</v>
      </c>
      <c r="R118">
        <f t="array" ref="R118">+$B$2*SIN(Q118*$B$3+$B$4)+Q118+$B$9*SIN(PI()*M118+$B$10)+$B$11*SIN(2*PI()*M118+$B$12) + SUM($I$2:$I$18*SIN(2*PI()*M118*$H$2:$H$18+$J$2:$J$18))</f>
        <v>-10.62067332583713</v>
      </c>
    </row>
    <row r="119" spans="3:18" x14ac:dyDescent="0.35">
      <c r="C119">
        <v>3.6880000000000003E-3</v>
      </c>
      <c r="L119">
        <f t="shared" si="8"/>
        <v>118</v>
      </c>
      <c r="M119">
        <f t="shared" si="9"/>
        <v>1889.7499999999911</v>
      </c>
      <c r="N119">
        <f t="shared" si="5"/>
        <v>0</v>
      </c>
      <c r="O119">
        <f t="array" ref="O119">+SUM($F$2:$F$18*SIN(2*PI()*(M119)*$B$1/$E$2:$E$18+$G$2:$G$18))</f>
        <v>-0.64878254420123982</v>
      </c>
      <c r="P119">
        <f t="shared" si="6"/>
        <v>0</v>
      </c>
      <c r="Q119">
        <f t="shared" si="7"/>
        <v>-8.6617108176547161E-3</v>
      </c>
      <c r="R119">
        <f t="array" ref="R119">+$B$2*SIN(Q119*$B$3+$B$4)+Q119+$B$9*SIN(PI()*M119+$B$10)+$B$11*SIN(2*PI()*M119+$B$12) + SUM($I$2:$I$18*SIN(2*PI()*M119*$H$2:$H$18+$J$2:$J$18))</f>
        <v>-10.227801197466579</v>
      </c>
    </row>
    <row r="120" spans="3:18" x14ac:dyDescent="0.35">
      <c r="C120">
        <v>-0.445494</v>
      </c>
      <c r="L120">
        <f t="shared" si="8"/>
        <v>119</v>
      </c>
      <c r="M120">
        <f t="shared" si="9"/>
        <v>1889.8333333333244</v>
      </c>
      <c r="N120">
        <f t="shared" si="5"/>
        <v>0</v>
      </c>
      <c r="O120">
        <f t="array" ref="O120">+SUM($F$2:$F$18*SIN(2*PI()*(M120)*$B$1/$E$2:$E$18+$G$2:$G$18))</f>
        <v>-5.3640690882562903E-2</v>
      </c>
      <c r="P120">
        <f t="shared" si="6"/>
        <v>0</v>
      </c>
      <c r="Q120">
        <f t="shared" si="7"/>
        <v>-8.6417405400849943E-3</v>
      </c>
      <c r="R120">
        <f t="array" ref="R120">+$B$2*SIN(Q120*$B$3+$B$4)+Q120+$B$9*SIN(PI()*M120+$B$10)+$B$11*SIN(2*PI()*M120+$B$12) + SUM($I$2:$I$18*SIN(2*PI()*M120*$H$2:$H$18+$J$2:$J$18))</f>
        <v>-10.098505361103724</v>
      </c>
    </row>
    <row r="121" spans="3:18" x14ac:dyDescent="0.35">
      <c r="C121">
        <v>-0.42852600000000002</v>
      </c>
      <c r="L121">
        <f t="shared" si="8"/>
        <v>120</v>
      </c>
      <c r="M121">
        <f t="shared" si="9"/>
        <v>1889.9166666666576</v>
      </c>
      <c r="N121">
        <f t="shared" si="5"/>
        <v>0</v>
      </c>
      <c r="O121">
        <f t="array" ref="O121">+SUM($F$2:$F$18*SIN(2*PI()*(M121)*$B$1/$E$2:$E$18+$G$2:$G$18))</f>
        <v>1.0712271103391322</v>
      </c>
      <c r="P121">
        <f t="shared" si="6"/>
        <v>0</v>
      </c>
      <c r="Q121">
        <f t="shared" si="7"/>
        <v>-8.6218163056116775E-3</v>
      </c>
      <c r="R121">
        <f t="array" ref="R121">+$B$2*SIN(Q121*$B$3+$B$4)+Q121+$B$9*SIN(PI()*M121+$B$10)+$B$11*SIN(2*PI()*M121+$B$12) + SUM($I$2:$I$18*SIN(2*PI()*M121*$H$2:$H$18+$J$2:$J$18))</f>
        <v>-10.193383830883676</v>
      </c>
    </row>
    <row r="122" spans="3:18" x14ac:dyDescent="0.35">
      <c r="C122">
        <v>-0.50848000000000004</v>
      </c>
      <c r="L122">
        <f t="shared" si="8"/>
        <v>121</v>
      </c>
      <c r="M122">
        <f t="shared" si="9"/>
        <v>1889.9999999999909</v>
      </c>
      <c r="N122">
        <f t="shared" si="5"/>
        <v>200</v>
      </c>
      <c r="O122">
        <f t="array" ref="O122">+SUM($F$2:$F$18*SIN(2*PI()*(M122)*$B$1/$E$2:$E$18+$G$2:$G$18))</f>
        <v>1.4286834381751117</v>
      </c>
      <c r="P122">
        <f t="shared" si="6"/>
        <v>285.73668763502235</v>
      </c>
      <c r="Q122">
        <f t="shared" si="7"/>
        <v>0.65018719546123016</v>
      </c>
      <c r="R122">
        <f t="array" ref="R122">+$B$2*SIN(Q122*$B$3+$B$4)+Q122+$B$9*SIN(PI()*M122+$B$10)+$B$11*SIN(2*PI()*M122+$B$12) + SUM($I$2:$I$18*SIN(2*PI()*M122*$H$2:$H$18+$J$2:$J$18))</f>
        <v>-10.003459873484912</v>
      </c>
    </row>
    <row r="123" spans="3:18" x14ac:dyDescent="0.35">
      <c r="C123">
        <v>-0.22074200000000002</v>
      </c>
      <c r="L123">
        <f t="shared" si="8"/>
        <v>122</v>
      </c>
      <c r="M123">
        <f t="shared" si="9"/>
        <v>1890.0833333333242</v>
      </c>
      <c r="N123">
        <f t="shared" si="5"/>
        <v>0</v>
      </c>
      <c r="O123">
        <f t="array" ref="O123">+SUM($F$2:$F$18*SIN(2*PI()*(M123)*$B$1/$E$2:$E$18+$G$2:$G$18))</f>
        <v>0.35965460450239961</v>
      </c>
      <c r="P123">
        <f t="shared" si="6"/>
        <v>0</v>
      </c>
      <c r="Q123">
        <f t="shared" si="7"/>
        <v>0.64868813609074472</v>
      </c>
      <c r="R123">
        <f t="array" ref="R123">+$B$2*SIN(Q123*$B$3+$B$4)+Q123+$B$9*SIN(PI()*M123+$B$10)+$B$11*SIN(2*PI()*M123+$B$12) + SUM($I$2:$I$18*SIN(2*PI()*M123*$H$2:$H$18+$J$2:$J$18))</f>
        <v>-10.230459396334355</v>
      </c>
    </row>
    <row r="124" spans="3:18" x14ac:dyDescent="0.35">
      <c r="C124">
        <v>-7.1470000000000006E-2</v>
      </c>
      <c r="L124">
        <f t="shared" si="8"/>
        <v>123</v>
      </c>
      <c r="M124">
        <f t="shared" si="9"/>
        <v>1890.1666666666574</v>
      </c>
      <c r="N124">
        <f t="shared" si="5"/>
        <v>0</v>
      </c>
      <c r="O124">
        <f t="array" ref="O124">+SUM($F$2:$F$18*SIN(2*PI()*(M124)*$B$1/$E$2:$E$18+$G$2:$G$18))</f>
        <v>-0.83469128704015272</v>
      </c>
      <c r="P124">
        <f t="shared" si="6"/>
        <v>0</v>
      </c>
      <c r="Q124">
        <f t="shared" si="7"/>
        <v>0.64719253292335266</v>
      </c>
      <c r="R124">
        <f t="array" ref="R124">+$B$2*SIN(Q124*$B$3+$B$4)+Q124+$B$9*SIN(PI()*M124+$B$10)+$B$11*SIN(2*PI()*M124+$B$12) + SUM($I$2:$I$18*SIN(2*PI()*M124*$H$2:$H$18+$J$2:$J$18))</f>
        <v>-10.325034814168616</v>
      </c>
    </row>
    <row r="125" spans="3:18" x14ac:dyDescent="0.35">
      <c r="C125">
        <v>-0.10680999999999999</v>
      </c>
      <c r="L125">
        <f t="shared" si="8"/>
        <v>124</v>
      </c>
      <c r="M125">
        <f t="shared" si="9"/>
        <v>1890.2499999999907</v>
      </c>
      <c r="N125">
        <f t="shared" si="5"/>
        <v>0</v>
      </c>
      <c r="O125">
        <f t="array" ref="O125">+SUM($F$2:$F$18*SIN(2*PI()*(M125)*$B$1/$E$2:$E$18+$G$2:$G$18))</f>
        <v>-0.10178097643777659</v>
      </c>
      <c r="P125">
        <f t="shared" si="6"/>
        <v>0</v>
      </c>
      <c r="Q125">
        <f t="shared" si="7"/>
        <v>0.64570037799049718</v>
      </c>
      <c r="R125">
        <f t="array" ref="R125">+$B$2*SIN(Q125*$B$3+$B$4)+Q125+$B$9*SIN(PI()*M125+$B$10)+$B$11*SIN(2*PI()*M125+$B$12) + SUM($I$2:$I$18*SIN(2*PI()*M125*$H$2:$H$18+$J$2:$J$18))</f>
        <v>-10.206898999966121</v>
      </c>
    </row>
    <row r="126" spans="3:18" x14ac:dyDescent="0.35">
      <c r="C126">
        <v>-0.19446200000000002</v>
      </c>
      <c r="L126">
        <f t="shared" si="8"/>
        <v>125</v>
      </c>
      <c r="M126">
        <f t="shared" si="9"/>
        <v>1890.3333333333239</v>
      </c>
      <c r="N126">
        <f t="shared" si="5"/>
        <v>0</v>
      </c>
      <c r="O126">
        <f t="array" ref="O126">+SUM($F$2:$F$18*SIN(2*PI()*(M126)*$B$1/$E$2:$E$18+$G$2:$G$18))</f>
        <v>0.85775889208807765</v>
      </c>
      <c r="P126">
        <f t="shared" si="6"/>
        <v>0</v>
      </c>
      <c r="Q126">
        <f t="shared" si="7"/>
        <v>0.64421166334199353</v>
      </c>
      <c r="R126">
        <f t="array" ref="R126">+$B$2*SIN(Q126*$B$3+$B$4)+Q126+$B$9*SIN(PI()*M126+$B$10)+$B$11*SIN(2*PI()*M126+$B$12) + SUM($I$2:$I$18*SIN(2*PI()*M126*$H$2:$H$18+$J$2:$J$18))</f>
        <v>-9.8633205900141299</v>
      </c>
    </row>
    <row r="127" spans="3:18" x14ac:dyDescent="0.35">
      <c r="C127">
        <v>-0.10519199999999999</v>
      </c>
      <c r="L127">
        <f t="shared" si="8"/>
        <v>126</v>
      </c>
      <c r="M127">
        <f t="shared" si="9"/>
        <v>1890.4166666666572</v>
      </c>
      <c r="N127">
        <f t="shared" si="5"/>
        <v>0</v>
      </c>
      <c r="O127">
        <f t="array" ref="O127">+SUM($F$2:$F$18*SIN(2*PI()*(M127)*$B$1/$E$2:$E$18+$G$2:$G$18))</f>
        <v>-0.18931775605882661</v>
      </c>
      <c r="P127">
        <f t="shared" si="6"/>
        <v>0</v>
      </c>
      <c r="Q127">
        <f t="shared" si="7"/>
        <v>0.64272638104598678</v>
      </c>
      <c r="R127">
        <f t="array" ref="R127">+$B$2*SIN(Q127*$B$3+$B$4)+Q127+$B$9*SIN(PI()*M127+$B$10)+$B$11*SIN(2*PI()*M127+$B$12) + SUM($I$2:$I$18*SIN(2*PI()*M127*$H$2:$H$18+$J$2:$J$18))</f>
        <v>-9.3549005277845954</v>
      </c>
    </row>
    <row r="128" spans="3:18" x14ac:dyDescent="0.35">
      <c r="C128">
        <v>4.078E-3</v>
      </c>
      <c r="L128">
        <f t="shared" si="8"/>
        <v>127</v>
      </c>
      <c r="M128">
        <f t="shared" si="9"/>
        <v>1890.4999999999905</v>
      </c>
      <c r="N128">
        <f t="shared" si="5"/>
        <v>0</v>
      </c>
      <c r="O128">
        <f t="array" ref="O128">+SUM($F$2:$F$18*SIN(2*PI()*(M128)*$B$1/$E$2:$E$18+$G$2:$G$18))</f>
        <v>-1.228340671709407</v>
      </c>
      <c r="P128">
        <f t="shared" si="6"/>
        <v>0</v>
      </c>
      <c r="Q128">
        <f t="shared" si="7"/>
        <v>0.64124452318890968</v>
      </c>
      <c r="R128">
        <f t="array" ref="R128">+$B$2*SIN(Q128*$B$3+$B$4)+Q128+$B$9*SIN(PI()*M128+$B$10)+$B$11*SIN(2*PI()*M128+$B$12) + SUM($I$2:$I$18*SIN(2*PI()*M128*$H$2:$H$18+$J$2:$J$18))</f>
        <v>-8.8012275268334488</v>
      </c>
    </row>
    <row r="129" spans="3:18" x14ac:dyDescent="0.35">
      <c r="C129">
        <v>3.7961999999999996E-2</v>
      </c>
      <c r="L129">
        <f t="shared" si="8"/>
        <v>128</v>
      </c>
      <c r="M129">
        <f t="shared" si="9"/>
        <v>1890.5833333333237</v>
      </c>
      <c r="N129">
        <f t="shared" si="5"/>
        <v>0</v>
      </c>
      <c r="O129">
        <f t="array" ref="O129">+SUM($F$2:$F$18*SIN(2*PI()*(M129)*$B$1/$E$2:$E$18+$G$2:$G$18))</f>
        <v>-0.40773087596229385</v>
      </c>
      <c r="P129">
        <f t="shared" si="6"/>
        <v>0</v>
      </c>
      <c r="Q129">
        <f t="shared" si="7"/>
        <v>0.63976608187544015</v>
      </c>
      <c r="R129">
        <f t="array" ref="R129">+$B$2*SIN(Q129*$B$3+$B$4)+Q129+$B$9*SIN(PI()*M129+$B$10)+$B$11*SIN(2*PI()*M129+$B$12) + SUM($I$2:$I$18*SIN(2*PI()*M129*$H$2:$H$18+$J$2:$J$18))</f>
        <v>-8.3501462855262112</v>
      </c>
    </row>
    <row r="130" spans="3:18" x14ac:dyDescent="0.35">
      <c r="C130">
        <v>0.18568999999999999</v>
      </c>
      <c r="L130">
        <f t="shared" si="8"/>
        <v>129</v>
      </c>
      <c r="M130">
        <f t="shared" si="9"/>
        <v>1890.666666666657</v>
      </c>
      <c r="N130">
        <f t="shared" ref="N130:N193" si="10">+IF(MOD(L130,$B$5)=1, $B$6, 0)</f>
        <v>0</v>
      </c>
      <c r="O130">
        <f t="array" ref="O130">+SUM($F$2:$F$18*SIN(2*PI()*(M130)*$B$1/$E$2:$E$18+$G$2:$G$18))</f>
        <v>0.98929027309792139</v>
      </c>
      <c r="P130">
        <f t="shared" si="6"/>
        <v>0</v>
      </c>
      <c r="Q130">
        <f t="shared" si="7"/>
        <v>0.63829104922845947</v>
      </c>
      <c r="R130">
        <f t="array" ref="R130">+$B$2*SIN(Q130*$B$3+$B$4)+Q130+$B$9*SIN(PI()*M130+$B$10)+$B$11*SIN(2*PI()*M130+$B$12) + SUM($I$2:$I$18*SIN(2*PI()*M130*$H$2:$H$18+$J$2:$J$18))</f>
        <v>-8.1387856964959528</v>
      </c>
    </row>
    <row r="131" spans="3:18" x14ac:dyDescent="0.35">
      <c r="C131">
        <v>2.7264E-2</v>
      </c>
      <c r="L131">
        <f t="shared" si="8"/>
        <v>130</v>
      </c>
      <c r="M131">
        <f t="shared" si="9"/>
        <v>1890.7499999999902</v>
      </c>
      <c r="N131">
        <f t="shared" si="10"/>
        <v>0</v>
      </c>
      <c r="O131">
        <f t="array" ref="O131">+SUM($F$2:$F$18*SIN(2*PI()*(M131)*$B$1/$E$2:$E$18+$G$2:$G$18))</f>
        <v>1.0236886785965551</v>
      </c>
      <c r="P131">
        <f t="shared" ref="P131:P194" si="11">+N131*O131</f>
        <v>0</v>
      </c>
      <c r="Q131">
        <f t="shared" ref="Q131:Q194" si="12">+(1-$B$7)*Q130+($B$7)*P131</f>
        <v>0.63681941738901027</v>
      </c>
      <c r="R131">
        <f t="array" ref="R131">+$B$2*SIN(Q131*$B$3+$B$4)+Q131+$B$9*SIN(PI()*M131+$B$10)+$B$11*SIN(2*PI()*M131+$B$12) + SUM($I$2:$I$18*SIN(2*PI()*M131*$H$2:$H$18+$J$2:$J$18))</f>
        <v>-8.2567329335130104</v>
      </c>
    </row>
    <row r="132" spans="3:18" x14ac:dyDescent="0.35">
      <c r="C132">
        <v>0.11960800000000001</v>
      </c>
      <c r="L132">
        <f t="shared" ref="L132:L195" si="13">+L131+1</f>
        <v>131</v>
      </c>
      <c r="M132">
        <f t="shared" ref="M132:M195" si="14">+M131+1/12</f>
        <v>1890.8333333333235</v>
      </c>
      <c r="N132">
        <f t="shared" si="10"/>
        <v>0</v>
      </c>
      <c r="O132">
        <f t="array" ref="O132">+SUM($F$2:$F$18*SIN(2*PI()*(M132)*$B$1/$E$2:$E$18+$G$2:$G$18))</f>
        <v>-0.82646521549538754</v>
      </c>
      <c r="P132">
        <f t="shared" si="11"/>
        <v>0</v>
      </c>
      <c r="Q132">
        <f t="shared" si="12"/>
        <v>0.63535117851625478</v>
      </c>
      <c r="R132">
        <f t="array" ref="R132">+$B$2*SIN(Q132*$B$3+$B$4)+Q132+$B$9*SIN(PI()*M132+$B$10)+$B$11*SIN(2*PI()*M132+$B$12) + SUM($I$2:$I$18*SIN(2*PI()*M132*$H$2:$H$18+$J$2:$J$18))</f>
        <v>-8.7212017072525114</v>
      </c>
    </row>
    <row r="133" spans="3:18" x14ac:dyDescent="0.35">
      <c r="C133">
        <v>0.201178</v>
      </c>
      <c r="L133">
        <f t="shared" si="13"/>
        <v>132</v>
      </c>
      <c r="M133">
        <f t="shared" si="14"/>
        <v>1890.9166666666567</v>
      </c>
      <c r="N133">
        <f t="shared" si="10"/>
        <v>0</v>
      </c>
      <c r="O133">
        <f t="array" ref="O133">+SUM($F$2:$F$18*SIN(2*PI()*(M133)*$B$1/$E$2:$E$18+$G$2:$G$18))</f>
        <v>-2.0274487466365247</v>
      </c>
      <c r="P133">
        <f t="shared" si="11"/>
        <v>0</v>
      </c>
      <c r="Q133">
        <f t="shared" si="12"/>
        <v>0.63388632478743268</v>
      </c>
      <c r="R133">
        <f t="array" ref="R133">+$B$2*SIN(Q133*$B$3+$B$4)+Q133+$B$9*SIN(PI()*M133+$B$10)+$B$11*SIN(2*PI()*M133+$B$12) + SUM($I$2:$I$18*SIN(2*PI()*M133*$H$2:$H$18+$J$2:$J$18))</f>
        <v>-9.4708708989482311</v>
      </c>
    </row>
    <row r="134" spans="3:18" x14ac:dyDescent="0.35">
      <c r="C134">
        <v>0.11351800000000001</v>
      </c>
      <c r="L134">
        <f t="shared" si="13"/>
        <v>133</v>
      </c>
      <c r="M134">
        <f t="shared" si="14"/>
        <v>1890.99999999999</v>
      </c>
      <c r="N134">
        <f t="shared" si="10"/>
        <v>200</v>
      </c>
      <c r="O134">
        <f t="array" ref="O134">+SUM($F$2:$F$18*SIN(2*PI()*(M134)*$B$1/$E$2:$E$18+$G$2:$G$18))</f>
        <v>-0.54246928104711978</v>
      </c>
      <c r="P134">
        <f t="shared" si="11"/>
        <v>-108.49385620942395</v>
      </c>
      <c r="Q134">
        <f t="shared" si="12"/>
        <v>0.38228345384842199</v>
      </c>
      <c r="R134">
        <f t="array" ref="R134">+$B$2*SIN(Q134*$B$3+$B$4)+Q134+$B$9*SIN(PI()*M134+$B$10)+$B$11*SIN(2*PI()*M134+$B$12) + SUM($I$2:$I$18*SIN(2*PI()*M134*$H$2:$H$18+$J$2:$J$18))</f>
        <v>7.0446177145706006</v>
      </c>
    </row>
    <row r="135" spans="3:18" x14ac:dyDescent="0.35">
      <c r="C135">
        <v>0.15354999999999999</v>
      </c>
      <c r="L135">
        <f t="shared" si="13"/>
        <v>134</v>
      </c>
      <c r="M135">
        <f t="shared" si="14"/>
        <v>1891.0833333333233</v>
      </c>
      <c r="N135">
        <f t="shared" si="10"/>
        <v>0</v>
      </c>
      <c r="O135">
        <f t="array" ref="O135">+SUM($F$2:$F$18*SIN(2*PI()*(M135)*$B$1/$E$2:$E$18+$G$2:$G$18))</f>
        <v>0.6745769573268886</v>
      </c>
      <c r="P135">
        <f t="shared" si="11"/>
        <v>0</v>
      </c>
      <c r="Q135">
        <f t="shared" si="12"/>
        <v>0.38140206830642209</v>
      </c>
      <c r="R135">
        <f t="array" ref="R135">+$B$2*SIN(Q135*$B$3+$B$4)+Q135+$B$9*SIN(PI()*M135+$B$10)+$B$11*SIN(2*PI()*M135+$B$12) + SUM($I$2:$I$18*SIN(2*PI()*M135*$H$2:$H$18+$J$2:$J$18))</f>
        <v>6.1813815969457666</v>
      </c>
    </row>
    <row r="136" spans="3:18" x14ac:dyDescent="0.35">
      <c r="C136">
        <v>8.2810000000000009E-2</v>
      </c>
      <c r="L136">
        <f t="shared" si="13"/>
        <v>135</v>
      </c>
      <c r="M136">
        <f t="shared" si="14"/>
        <v>1891.1666666666565</v>
      </c>
      <c r="N136">
        <f t="shared" si="10"/>
        <v>0</v>
      </c>
      <c r="O136">
        <f t="array" ref="O136">+SUM($F$2:$F$18*SIN(2*PI()*(M136)*$B$1/$E$2:$E$18+$G$2:$G$18))</f>
        <v>-0.57263065600554242</v>
      </c>
      <c r="P136">
        <f t="shared" si="11"/>
        <v>0</v>
      </c>
      <c r="Q136">
        <f t="shared" si="12"/>
        <v>0.38052271487035255</v>
      </c>
      <c r="R136">
        <f t="array" ref="R136">+$B$2*SIN(Q136*$B$3+$B$4)+Q136+$B$9*SIN(PI()*M136+$B$10)+$B$11*SIN(2*PI()*M136+$B$12) + SUM($I$2:$I$18*SIN(2*PI()*M136*$H$2:$H$18+$J$2:$J$18))</f>
        <v>5.4680995618017327</v>
      </c>
    </row>
    <row r="137" spans="3:18" x14ac:dyDescent="0.35">
      <c r="C137">
        <v>2.2837999999999997E-2</v>
      </c>
      <c r="L137">
        <f t="shared" si="13"/>
        <v>136</v>
      </c>
      <c r="M137">
        <f t="shared" si="14"/>
        <v>1891.2499999999898</v>
      </c>
      <c r="N137">
        <f t="shared" si="10"/>
        <v>0</v>
      </c>
      <c r="O137">
        <f t="array" ref="O137">+SUM($F$2:$F$18*SIN(2*PI()*(M137)*$B$1/$E$2:$E$18+$G$2:$G$18))</f>
        <v>-1.5968676242040241</v>
      </c>
      <c r="P137">
        <f t="shared" si="11"/>
        <v>0</v>
      </c>
      <c r="Q137">
        <f t="shared" si="12"/>
        <v>0.37964538885502813</v>
      </c>
      <c r="R137">
        <f t="array" ref="R137">+$B$2*SIN(Q137*$B$3+$B$4)+Q137+$B$9*SIN(PI()*M137+$B$10)+$B$11*SIN(2*PI()*M137+$B$12) + SUM($I$2:$I$18*SIN(2*PI()*M137*$H$2:$H$18+$J$2:$J$18))</f>
        <v>5.0141104201843234</v>
      </c>
    </row>
    <row r="138" spans="3:18" x14ac:dyDescent="0.35">
      <c r="C138">
        <v>3.5173999999999997E-2</v>
      </c>
      <c r="L138">
        <f t="shared" si="13"/>
        <v>137</v>
      </c>
      <c r="M138">
        <f t="shared" si="14"/>
        <v>1891.333333333323</v>
      </c>
      <c r="N138">
        <f t="shared" si="10"/>
        <v>0</v>
      </c>
      <c r="O138">
        <f t="array" ref="O138">+SUM($F$2:$F$18*SIN(2*PI()*(M138)*$B$1/$E$2:$E$18+$G$2:$G$18))</f>
        <v>-0.62885674841406758</v>
      </c>
      <c r="P138">
        <f t="shared" si="11"/>
        <v>0</v>
      </c>
      <c r="Q138">
        <f t="shared" si="12"/>
        <v>0.37877008558606573</v>
      </c>
      <c r="R138">
        <f t="array" ref="R138">+$B$2*SIN(Q138*$B$3+$B$4)+Q138+$B$9*SIN(PI()*M138+$B$10)+$B$11*SIN(2*PI()*M138+$B$12) + SUM($I$2:$I$18*SIN(2*PI()*M138*$H$2:$H$18+$J$2:$J$18))</f>
        <v>4.8592354295284199</v>
      </c>
    </row>
    <row r="139" spans="3:18" x14ac:dyDescent="0.35">
      <c r="C139">
        <v>3.9813999999999995E-2</v>
      </c>
      <c r="L139">
        <f t="shared" si="13"/>
        <v>138</v>
      </c>
      <c r="M139">
        <f t="shared" si="14"/>
        <v>1891.4166666666563</v>
      </c>
      <c r="N139">
        <f t="shared" si="10"/>
        <v>0</v>
      </c>
      <c r="O139">
        <f t="array" ref="O139">+SUM($F$2:$F$18*SIN(2*PI()*(M139)*$B$1/$E$2:$E$18+$G$2:$G$18))</f>
        <v>0.74716623193909815</v>
      </c>
      <c r="P139">
        <f t="shared" si="11"/>
        <v>0</v>
      </c>
      <c r="Q139">
        <f t="shared" si="12"/>
        <v>0.37789680039985935</v>
      </c>
      <c r="R139">
        <f t="array" ref="R139">+$B$2*SIN(Q139*$B$3+$B$4)+Q139+$B$9*SIN(PI()*M139+$B$10)+$B$11*SIN(2*PI()*M139+$B$12) + SUM($I$2:$I$18*SIN(2*PI()*M139*$H$2:$H$18+$J$2:$J$18))</f>
        <v>4.9663826914658973</v>
      </c>
    </row>
    <row r="140" spans="3:18" x14ac:dyDescent="0.35">
      <c r="C140">
        <v>-0.25708200000000003</v>
      </c>
      <c r="L140">
        <f t="shared" si="13"/>
        <v>139</v>
      </c>
      <c r="M140">
        <f t="shared" si="14"/>
        <v>1891.4999999999895</v>
      </c>
      <c r="N140">
        <f t="shared" si="10"/>
        <v>0</v>
      </c>
      <c r="O140">
        <f t="array" ref="O140">+SUM($F$2:$F$18*SIN(2*PI()*(M140)*$B$1/$E$2:$E$18+$G$2:$G$18))</f>
        <v>0.3525745402059175</v>
      </c>
      <c r="P140">
        <f t="shared" si="11"/>
        <v>0</v>
      </c>
      <c r="Q140">
        <f t="shared" si="12"/>
        <v>0.37702552864355537</v>
      </c>
      <c r="R140">
        <f t="array" ref="R140">+$B$2*SIN(Q140*$B$3+$B$4)+Q140+$B$9*SIN(PI()*M140+$B$10)+$B$11*SIN(2*PI()*M140+$B$12) + SUM($I$2:$I$18*SIN(2*PI()*M140*$H$2:$H$18+$J$2:$J$18))</f>
        <v>5.2344103503526629</v>
      </c>
    </row>
    <row r="141" spans="3:18" x14ac:dyDescent="0.35">
      <c r="C141">
        <v>-0.60628799999999994</v>
      </c>
      <c r="L141">
        <f t="shared" si="13"/>
        <v>140</v>
      </c>
      <c r="M141">
        <f t="shared" si="14"/>
        <v>1891.5833333333228</v>
      </c>
      <c r="N141">
        <f t="shared" si="10"/>
        <v>0</v>
      </c>
      <c r="O141">
        <f t="array" ref="O141">+SUM($F$2:$F$18*SIN(2*PI()*(M141)*$B$1/$E$2:$E$18+$G$2:$G$18))</f>
        <v>-1.8947808342024788</v>
      </c>
      <c r="P141">
        <f t="shared" si="11"/>
        <v>0</v>
      </c>
      <c r="Q141">
        <f t="shared" si="12"/>
        <v>0.37615626567502763</v>
      </c>
      <c r="R141">
        <f t="array" ref="R141">+$B$2*SIN(Q141*$B$3+$B$4)+Q141+$B$9*SIN(PI()*M141+$B$10)+$B$11*SIN(2*PI()*M141+$B$12) + SUM($I$2:$I$18*SIN(2*PI()*M141*$H$2:$H$18+$J$2:$J$18))</f>
        <v>5.527630651858118</v>
      </c>
    </row>
    <row r="142" spans="3:18" x14ac:dyDescent="0.35">
      <c r="C142">
        <v>-0.55242000000000002</v>
      </c>
      <c r="L142">
        <f t="shared" si="13"/>
        <v>141</v>
      </c>
      <c r="M142">
        <f t="shared" si="14"/>
        <v>1891.6666666666561</v>
      </c>
      <c r="N142">
        <f t="shared" si="10"/>
        <v>0</v>
      </c>
      <c r="O142">
        <f t="array" ref="O142">+SUM($F$2:$F$18*SIN(2*PI()*(M142)*$B$1/$E$2:$E$18+$G$2:$G$18))</f>
        <v>-2.6726478181232891</v>
      </c>
      <c r="P142">
        <f t="shared" si="11"/>
        <v>0</v>
      </c>
      <c r="Q142">
        <f t="shared" si="12"/>
        <v>0.37528900686285288</v>
      </c>
      <c r="R142">
        <f t="array" ref="R142">+$B$2*SIN(Q142*$B$3+$B$4)+Q142+$B$9*SIN(PI()*M142+$B$10)+$B$11*SIN(2*PI()*M142+$B$12) + SUM($I$2:$I$18*SIN(2*PI()*M142*$H$2:$H$18+$J$2:$J$18))</f>
        <v>5.7139103474912343</v>
      </c>
    </row>
    <row r="143" spans="3:18" x14ac:dyDescent="0.35">
      <c r="C143">
        <v>-0.36932000000000004</v>
      </c>
      <c r="L143">
        <f t="shared" si="13"/>
        <v>142</v>
      </c>
      <c r="M143">
        <f t="shared" si="14"/>
        <v>1891.7499999999893</v>
      </c>
      <c r="N143">
        <f t="shared" si="10"/>
        <v>0</v>
      </c>
      <c r="O143">
        <f t="array" ref="O143">+SUM($F$2:$F$18*SIN(2*PI()*(M143)*$B$1/$E$2:$E$18+$G$2:$G$18))</f>
        <v>-0.54302669313459084</v>
      </c>
      <c r="P143">
        <f t="shared" si="11"/>
        <v>0</v>
      </c>
      <c r="Q143">
        <f t="shared" si="12"/>
        <v>0.37442374758628583</v>
      </c>
      <c r="R143">
        <f t="array" ref="R143">+$B$2*SIN(Q143*$B$3+$B$4)+Q143+$B$9*SIN(PI()*M143+$B$10)+$B$11*SIN(2*PI()*M143+$B$12) + SUM($I$2:$I$18*SIN(2*PI()*M143*$H$2:$H$18+$J$2:$J$18))</f>
        <v>5.701062187884701</v>
      </c>
    </row>
    <row r="144" spans="3:18" x14ac:dyDescent="0.35">
      <c r="C144">
        <v>-0.38314599999999999</v>
      </c>
      <c r="L144">
        <f t="shared" si="13"/>
        <v>143</v>
      </c>
      <c r="M144">
        <f t="shared" si="14"/>
        <v>1891.8333333333226</v>
      </c>
      <c r="N144">
        <f t="shared" si="10"/>
        <v>0</v>
      </c>
      <c r="O144">
        <f t="array" ref="O144">+SUM($F$2:$F$18*SIN(2*PI()*(M144)*$B$1/$E$2:$E$18+$G$2:$G$18))</f>
        <v>0.74970046987412076</v>
      </c>
      <c r="P144">
        <f t="shared" si="11"/>
        <v>0</v>
      </c>
      <c r="Q144">
        <f t="shared" si="12"/>
        <v>0.37356048323523483</v>
      </c>
      <c r="R144">
        <f t="array" ref="R144">+$B$2*SIN(Q144*$B$3+$B$4)+Q144+$B$9*SIN(PI()*M144+$B$10)+$B$11*SIN(2*PI()*M144+$B$12) + SUM($I$2:$I$18*SIN(2*PI()*M144*$H$2:$H$18+$J$2:$J$18))</f>
        <v>5.4617303362794685</v>
      </c>
    </row>
    <row r="145" spans="3:18" x14ac:dyDescent="0.35">
      <c r="C145">
        <v>-0.493896</v>
      </c>
      <c r="L145">
        <f t="shared" si="13"/>
        <v>144</v>
      </c>
      <c r="M145">
        <f t="shared" si="14"/>
        <v>1891.9166666666558</v>
      </c>
      <c r="N145">
        <f t="shared" si="10"/>
        <v>0</v>
      </c>
      <c r="O145">
        <f t="array" ref="O145">+SUM($F$2:$F$18*SIN(2*PI()*(M145)*$B$1/$E$2:$E$18+$G$2:$G$18))</f>
        <v>-0.43966044649343883</v>
      </c>
      <c r="P145">
        <f t="shared" si="11"/>
        <v>0</v>
      </c>
      <c r="Q145">
        <f t="shared" si="12"/>
        <v>0.37269920921023714</v>
      </c>
      <c r="R145">
        <f t="array" ref="R145">+$B$2*SIN(Q145*$B$3+$B$4)+Q145+$B$9*SIN(PI()*M145+$B$10)+$B$11*SIN(2*PI()*M145+$B$12) + SUM($I$2:$I$18*SIN(2*PI()*M145*$H$2:$H$18+$J$2:$J$18))</f>
        <v>5.0401099212179679</v>
      </c>
    </row>
    <row r="146" spans="3:18" x14ac:dyDescent="0.35">
      <c r="C146">
        <v>-0.37849200000000005</v>
      </c>
      <c r="L146">
        <f t="shared" si="13"/>
        <v>145</v>
      </c>
      <c r="M146">
        <f t="shared" si="14"/>
        <v>1891.9999999999891</v>
      </c>
      <c r="N146">
        <f t="shared" si="10"/>
        <v>200</v>
      </c>
      <c r="O146">
        <f t="array" ref="O146">+SUM($F$2:$F$18*SIN(2*PI()*(M146)*$B$1/$E$2:$E$18+$G$2:$G$18))</f>
        <v>-1.2552594296096273</v>
      </c>
      <c r="P146">
        <f t="shared" si="11"/>
        <v>-251.05188592192548</v>
      </c>
      <c r="Q146">
        <f t="shared" si="12"/>
        <v>-0.20698058599685054</v>
      </c>
      <c r="R146">
        <f t="array" ref="R146">+$B$2*SIN(Q146*$B$3+$B$4)+Q146+$B$9*SIN(PI()*M146+$B$10)+$B$11*SIN(2*PI()*M146+$B$12) + SUM($I$2:$I$18*SIN(2*PI()*M146*$H$2:$H$18+$J$2:$J$18))</f>
        <v>-3.8238150499651344</v>
      </c>
    </row>
    <row r="147" spans="3:18" x14ac:dyDescent="0.35">
      <c r="C147">
        <v>-0.23847399999999999</v>
      </c>
      <c r="L147">
        <f t="shared" si="13"/>
        <v>146</v>
      </c>
      <c r="M147">
        <f t="shared" si="14"/>
        <v>1892.0833333333223</v>
      </c>
      <c r="N147">
        <f t="shared" si="10"/>
        <v>0</v>
      </c>
      <c r="O147">
        <f t="array" ref="O147">+SUM($F$2:$F$18*SIN(2*PI()*(M147)*$B$1/$E$2:$E$18+$G$2:$G$18))</f>
        <v>-0.42656996302012845</v>
      </c>
      <c r="P147">
        <f t="shared" si="11"/>
        <v>0</v>
      </c>
      <c r="Q147">
        <f t="shared" si="12"/>
        <v>-0.20650337545023706</v>
      </c>
      <c r="R147">
        <f t="array" ref="R147">+$B$2*SIN(Q147*$B$3+$B$4)+Q147+$B$9*SIN(PI()*M147+$B$10)+$B$11*SIN(2*PI()*M147+$B$12) + SUM($I$2:$I$18*SIN(2*PI()*M147*$H$2:$H$18+$J$2:$J$18))</f>
        <v>-4.3660623855215759</v>
      </c>
    </row>
    <row r="148" spans="3:18" x14ac:dyDescent="0.35">
      <c r="C148">
        <v>-2.3075999999999999E-2</v>
      </c>
      <c r="L148">
        <f t="shared" si="13"/>
        <v>147</v>
      </c>
      <c r="M148">
        <f t="shared" si="14"/>
        <v>1892.1666666666556</v>
      </c>
      <c r="N148">
        <f t="shared" si="10"/>
        <v>0</v>
      </c>
      <c r="O148">
        <f t="array" ref="O148">+SUM($F$2:$F$18*SIN(2*PI()*(M148)*$B$1/$E$2:$E$18+$G$2:$G$18))</f>
        <v>0.55570983222824211</v>
      </c>
      <c r="P148">
        <f t="shared" si="11"/>
        <v>0</v>
      </c>
      <c r="Q148">
        <f t="shared" si="12"/>
        <v>-0.20602726515128547</v>
      </c>
      <c r="R148">
        <f t="array" ref="R148">+$B$2*SIN(Q148*$B$3+$B$4)+Q148+$B$9*SIN(PI()*M148+$B$10)+$B$11*SIN(2*PI()*M148+$B$12) + SUM($I$2:$I$18*SIN(2*PI()*M148*$H$2:$H$18+$J$2:$J$18))</f>
        <v>-4.7330531686810984</v>
      </c>
    </row>
    <row r="149" spans="3:18" x14ac:dyDescent="0.35">
      <c r="C149">
        <v>3.6940000000000001E-2</v>
      </c>
      <c r="L149">
        <f t="shared" si="13"/>
        <v>148</v>
      </c>
      <c r="M149">
        <f t="shared" si="14"/>
        <v>1892.2499999999889</v>
      </c>
      <c r="N149">
        <f t="shared" si="10"/>
        <v>0</v>
      </c>
      <c r="O149">
        <f t="array" ref="O149">+SUM($F$2:$F$18*SIN(2*PI()*(M149)*$B$1/$E$2:$E$18+$G$2:$G$18))</f>
        <v>-0.14135456996932844</v>
      </c>
      <c r="P149">
        <f t="shared" si="11"/>
        <v>0</v>
      </c>
      <c r="Q149">
        <f t="shared" si="12"/>
        <v>-0.20555225256328544</v>
      </c>
      <c r="R149">
        <f t="array" ref="R149">+$B$2*SIN(Q149*$B$3+$B$4)+Q149+$B$9*SIN(PI()*M149+$B$10)+$B$11*SIN(2*PI()*M149+$B$12) + SUM($I$2:$I$18*SIN(2*PI()*M149*$H$2:$H$18+$J$2:$J$18))</f>
        <v>-4.8463246507496383</v>
      </c>
    </row>
    <row r="150" spans="3:18" x14ac:dyDescent="0.35">
      <c r="C150">
        <v>4.3108000000000007E-2</v>
      </c>
      <c r="L150">
        <f t="shared" si="13"/>
        <v>149</v>
      </c>
      <c r="M150">
        <f t="shared" si="14"/>
        <v>1892.3333333333221</v>
      </c>
      <c r="N150">
        <f t="shared" si="10"/>
        <v>0</v>
      </c>
      <c r="O150">
        <f t="array" ref="O150">+SUM($F$2:$F$18*SIN(2*PI()*(M150)*$B$1/$E$2:$E$18+$G$2:$G$18))</f>
        <v>-2.1790505470296124</v>
      </c>
      <c r="P150">
        <f t="shared" si="11"/>
        <v>0</v>
      </c>
      <c r="Q150">
        <f t="shared" si="12"/>
        <v>-0.20507833515537524</v>
      </c>
      <c r="R150">
        <f t="array" ref="R150">+$B$2*SIN(Q150*$B$3+$B$4)+Q150+$B$9*SIN(PI()*M150+$B$10)+$B$11*SIN(2*PI()*M150+$B$12) + SUM($I$2:$I$18*SIN(2*PI()*M150*$H$2:$H$18+$J$2:$J$18))</f>
        <v>-4.6954791490746706</v>
      </c>
    </row>
    <row r="151" spans="3:18" x14ac:dyDescent="0.35">
      <c r="C151">
        <v>-0.103034</v>
      </c>
      <c r="L151">
        <f t="shared" si="13"/>
        <v>150</v>
      </c>
      <c r="M151">
        <f t="shared" si="14"/>
        <v>1892.4166666666554</v>
      </c>
      <c r="N151">
        <f t="shared" si="10"/>
        <v>0</v>
      </c>
      <c r="O151">
        <f t="array" ref="O151">+SUM($F$2:$F$18*SIN(2*PI()*(M151)*$B$1/$E$2:$E$18+$G$2:$G$18))</f>
        <v>-2.2653761250278355</v>
      </c>
      <c r="P151">
        <f t="shared" si="11"/>
        <v>0</v>
      </c>
      <c r="Q151">
        <f t="shared" si="12"/>
        <v>-0.20460551040252828</v>
      </c>
      <c r="R151">
        <f t="array" ref="R151">+$B$2*SIN(Q151*$B$3+$B$4)+Q151+$B$9*SIN(PI()*M151+$B$10)+$B$11*SIN(2*PI()*M151+$B$12) + SUM($I$2:$I$18*SIN(2*PI()*M151*$H$2:$H$18+$J$2:$J$18))</f>
        <v>-4.3435424933159617</v>
      </c>
    </row>
    <row r="152" spans="3:18" x14ac:dyDescent="0.35">
      <c r="C152">
        <v>-0.40917399999999998</v>
      </c>
      <c r="L152">
        <f t="shared" si="13"/>
        <v>151</v>
      </c>
      <c r="M152">
        <f t="shared" si="14"/>
        <v>1892.4999999999886</v>
      </c>
      <c r="N152">
        <f t="shared" si="10"/>
        <v>0</v>
      </c>
      <c r="O152">
        <f t="array" ref="O152">+SUM($F$2:$F$18*SIN(2*PI()*(M152)*$B$1/$E$2:$E$18+$G$2:$G$18))</f>
        <v>0.1145369474307103</v>
      </c>
      <c r="P152">
        <f t="shared" si="11"/>
        <v>0</v>
      </c>
      <c r="Q152">
        <f t="shared" si="12"/>
        <v>-0.20413377578553957</v>
      </c>
      <c r="R152">
        <f t="array" ref="R152">+$B$2*SIN(Q152*$B$3+$B$4)+Q152+$B$9*SIN(PI()*M152+$B$10)+$B$11*SIN(2*PI()*M152+$B$12) + SUM($I$2:$I$18*SIN(2*PI()*M152*$H$2:$H$18+$J$2:$J$18))</f>
        <v>-3.9122718182232332</v>
      </c>
    </row>
    <row r="153" spans="3:18" x14ac:dyDescent="0.35">
      <c r="C153">
        <v>-0.29070200000000002</v>
      </c>
      <c r="L153">
        <f t="shared" si="13"/>
        <v>152</v>
      </c>
      <c r="M153">
        <f t="shared" si="14"/>
        <v>1892.5833333333219</v>
      </c>
      <c r="N153">
        <f t="shared" si="10"/>
        <v>0</v>
      </c>
      <c r="O153">
        <f t="array" ref="O153">+SUM($F$2:$F$18*SIN(2*PI()*(M153)*$B$1/$E$2:$E$18+$G$2:$G$18))</f>
        <v>1.2544956504498022</v>
      </c>
      <c r="P153">
        <f t="shared" si="11"/>
        <v>0</v>
      </c>
      <c r="Q153">
        <f t="shared" si="12"/>
        <v>-0.20366312879101239</v>
      </c>
      <c r="R153">
        <f t="array" ref="R153">+$B$2*SIN(Q153*$B$3+$B$4)+Q153+$B$9*SIN(PI()*M153+$B$10)+$B$11*SIN(2*PI()*M153+$B$12) + SUM($I$2:$I$18*SIN(2*PI()*M153*$H$2:$H$18+$J$2:$J$18))</f>
        <v>-3.5511613266341433</v>
      </c>
    </row>
    <row r="154" spans="3:18" x14ac:dyDescent="0.35">
      <c r="C154">
        <v>-0.21376999999999999</v>
      </c>
      <c r="L154">
        <f t="shared" si="13"/>
        <v>153</v>
      </c>
      <c r="M154">
        <f t="shared" si="14"/>
        <v>1892.6666666666551</v>
      </c>
      <c r="N154">
        <f t="shared" si="10"/>
        <v>0</v>
      </c>
      <c r="O154">
        <f t="array" ref="O154">+SUM($F$2:$F$18*SIN(2*PI()*(M154)*$B$1/$E$2:$E$18+$G$2:$G$18))</f>
        <v>0.37026606499089698</v>
      </c>
      <c r="P154">
        <f t="shared" si="11"/>
        <v>0</v>
      </c>
      <c r="Q154">
        <f t="shared" si="12"/>
        <v>-0.20319356691134485</v>
      </c>
      <c r="R154">
        <f t="array" ref="R154">+$B$2*SIN(Q154*$B$3+$B$4)+Q154+$B$9*SIN(PI()*M154+$B$10)+$B$11*SIN(2*PI()*M154+$B$12) + SUM($I$2:$I$18*SIN(2*PI()*M154*$H$2:$H$18+$J$2:$J$18))</f>
        <v>-3.3982986844716012</v>
      </c>
    </row>
    <row r="155" spans="3:18" x14ac:dyDescent="0.35">
      <c r="C155">
        <v>-0.28760799999999997</v>
      </c>
      <c r="L155">
        <f t="shared" si="13"/>
        <v>154</v>
      </c>
      <c r="M155">
        <f t="shared" si="14"/>
        <v>1892.7499999999884</v>
      </c>
      <c r="N155">
        <f t="shared" si="10"/>
        <v>0</v>
      </c>
      <c r="O155">
        <f t="array" ref="O155">+SUM($F$2:$F$18*SIN(2*PI()*(M155)*$B$1/$E$2:$E$18+$G$2:$G$18))</f>
        <v>-0.21254350557518903</v>
      </c>
      <c r="P155">
        <f t="shared" si="11"/>
        <v>0</v>
      </c>
      <c r="Q155">
        <f t="shared" si="12"/>
        <v>-0.20272508764471653</v>
      </c>
      <c r="R155">
        <f t="array" ref="R155">+$B$2*SIN(Q155*$B$3+$B$4)+Q155+$B$9*SIN(PI()*M155+$B$10)+$B$11*SIN(2*PI()*M155+$B$12) + SUM($I$2:$I$18*SIN(2*PI()*M155*$H$2:$H$18+$J$2:$J$18))</f>
        <v>-3.5434548356740336</v>
      </c>
    </row>
    <row r="156" spans="3:18" x14ac:dyDescent="0.35">
      <c r="C156">
        <v>-0.39837000000000006</v>
      </c>
      <c r="L156">
        <f t="shared" si="13"/>
        <v>155</v>
      </c>
      <c r="M156">
        <f t="shared" si="14"/>
        <v>1892.8333333333217</v>
      </c>
      <c r="N156">
        <f t="shared" si="10"/>
        <v>0</v>
      </c>
      <c r="O156">
        <f t="array" ref="O156">+SUM($F$2:$F$18*SIN(2*PI()*(M156)*$B$1/$E$2:$E$18+$G$2:$G$18))</f>
        <v>8.6011472031256586E-2</v>
      </c>
      <c r="P156">
        <f t="shared" si="11"/>
        <v>0</v>
      </c>
      <c r="Q156">
        <f t="shared" si="12"/>
        <v>-0.20225768849507514</v>
      </c>
      <c r="R156">
        <f t="array" ref="R156">+$B$2*SIN(Q156*$B$3+$B$4)+Q156+$B$9*SIN(PI()*M156+$B$10)+$B$11*SIN(2*PI()*M156+$B$12) + SUM($I$2:$I$18*SIN(2*PI()*M156*$H$2:$H$18+$J$2:$J$18))</f>
        <v>-4.003245570043676</v>
      </c>
    </row>
    <row r="157" spans="3:18" x14ac:dyDescent="0.35">
      <c r="C157">
        <v>-0.23221</v>
      </c>
      <c r="L157">
        <f t="shared" si="13"/>
        <v>156</v>
      </c>
      <c r="M157">
        <f t="shared" si="14"/>
        <v>1892.9166666666549</v>
      </c>
      <c r="N157">
        <f t="shared" si="10"/>
        <v>0</v>
      </c>
      <c r="O157">
        <f t="array" ref="O157">+SUM($F$2:$F$18*SIN(2*PI()*(M157)*$B$1/$E$2:$E$18+$G$2:$G$18))</f>
        <v>0.43129069622921334</v>
      </c>
      <c r="P157">
        <f t="shared" si="11"/>
        <v>0</v>
      </c>
      <c r="Q157">
        <f t="shared" si="12"/>
        <v>-0.2017913669721233</v>
      </c>
      <c r="R157">
        <f t="array" ref="R157">+$B$2*SIN(Q157*$B$3+$B$4)+Q157+$B$9*SIN(PI()*M157+$B$10)+$B$11*SIN(2*PI()*M157+$B$12) + SUM($I$2:$I$18*SIN(2*PI()*M157*$H$2:$H$18+$J$2:$J$18))</f>
        <v>-4.7150264359171024</v>
      </c>
    </row>
    <row r="158" spans="3:18" x14ac:dyDescent="0.35">
      <c r="C158">
        <v>-0.14143600000000001</v>
      </c>
      <c r="L158">
        <f t="shared" si="13"/>
        <v>157</v>
      </c>
      <c r="M158">
        <f t="shared" si="14"/>
        <v>1892.9999999999882</v>
      </c>
      <c r="N158">
        <f t="shared" si="10"/>
        <v>200</v>
      </c>
      <c r="O158">
        <f t="array" ref="O158">+SUM($F$2:$F$18*SIN(2*PI()*(M158)*$B$1/$E$2:$E$18+$G$2:$G$18))</f>
        <v>-0.25885897150706005</v>
      </c>
      <c r="P158">
        <f t="shared" si="11"/>
        <v>-51.771794301412008</v>
      </c>
      <c r="Q158">
        <f t="shared" si="12"/>
        <v>-0.32069019591629017</v>
      </c>
      <c r="R158">
        <f t="array" ref="R158">+$B$2*SIN(Q158*$B$3+$B$4)+Q158+$B$9*SIN(PI()*M158+$B$10)+$B$11*SIN(2*PI()*M158+$B$12) + SUM($I$2:$I$18*SIN(2*PI()*M158*$H$2:$H$18+$J$2:$J$18))</f>
        <v>3.5659895760960669</v>
      </c>
    </row>
    <row r="159" spans="3:18" x14ac:dyDescent="0.35">
      <c r="C159">
        <v>-0.109124</v>
      </c>
      <c r="L159">
        <f t="shared" si="13"/>
        <v>158</v>
      </c>
      <c r="M159">
        <f t="shared" si="14"/>
        <v>1893.0833333333214</v>
      </c>
      <c r="N159">
        <f t="shared" si="10"/>
        <v>0</v>
      </c>
      <c r="O159">
        <f t="array" ref="O159">+SUM($F$2:$F$18*SIN(2*PI()*(M159)*$B$1/$E$2:$E$18+$G$2:$G$18))</f>
        <v>-1.5599218894369735</v>
      </c>
      <c r="P159">
        <f t="shared" si="11"/>
        <v>0</v>
      </c>
      <c r="Q159">
        <f t="shared" si="12"/>
        <v>-0.31995081863146052</v>
      </c>
      <c r="R159">
        <f t="array" ref="R159">+$B$2*SIN(Q159*$B$3+$B$4)+Q159+$B$9*SIN(PI()*M159+$B$10)+$B$11*SIN(2*PI()*M159+$B$12) + SUM($I$2:$I$18*SIN(2*PI()*M159*$H$2:$H$18+$J$2:$J$18))</f>
        <v>2.7787889627855602</v>
      </c>
    </row>
    <row r="160" spans="3:18" x14ac:dyDescent="0.35">
      <c r="C160">
        <v>-0.12912200000000001</v>
      </c>
      <c r="L160">
        <f t="shared" si="13"/>
        <v>159</v>
      </c>
      <c r="M160">
        <f t="shared" si="14"/>
        <v>1893.1666666666547</v>
      </c>
      <c r="N160">
        <f t="shared" si="10"/>
        <v>0</v>
      </c>
      <c r="O160">
        <f t="array" ref="O160">+SUM($F$2:$F$18*SIN(2*PI()*(M160)*$B$1/$E$2:$E$18+$G$2:$G$18))</f>
        <v>-0.98978257492752764</v>
      </c>
      <c r="P160">
        <f t="shared" si="11"/>
        <v>0</v>
      </c>
      <c r="Q160">
        <f t="shared" si="12"/>
        <v>-0.3192131460409941</v>
      </c>
      <c r="R160">
        <f t="array" ref="R160">+$B$2*SIN(Q160*$B$3+$B$4)+Q160+$B$9*SIN(PI()*M160+$B$10)+$B$11*SIN(2*PI()*M160+$B$12) + SUM($I$2:$I$18*SIN(2*PI()*M160*$H$2:$H$18+$J$2:$J$18))</f>
        <v>2.1839420597051937</v>
      </c>
    </row>
    <row r="161" spans="3:18" x14ac:dyDescent="0.35">
      <c r="C161">
        <v>-0.16296600000000003</v>
      </c>
      <c r="L161">
        <f t="shared" si="13"/>
        <v>160</v>
      </c>
      <c r="M161">
        <f t="shared" si="14"/>
        <v>1893.2499999999879</v>
      </c>
      <c r="N161">
        <f t="shared" si="10"/>
        <v>0</v>
      </c>
      <c r="O161">
        <f t="array" ref="O161">+SUM($F$2:$F$18*SIN(2*PI()*(M161)*$B$1/$E$2:$E$18+$G$2:$G$18))</f>
        <v>1.1170941004493047</v>
      </c>
      <c r="P161">
        <f t="shared" si="11"/>
        <v>0</v>
      </c>
      <c r="Q161">
        <f t="shared" si="12"/>
        <v>-0.31847717421457966</v>
      </c>
      <c r="R161">
        <f t="array" ref="R161">+$B$2*SIN(Q161*$B$3+$B$4)+Q161+$B$9*SIN(PI()*M161+$B$10)+$B$11*SIN(2*PI()*M161+$B$12) + SUM($I$2:$I$18*SIN(2*PI()*M161*$H$2:$H$18+$J$2:$J$18))</f>
        <v>1.8937475631279339</v>
      </c>
    </row>
    <row r="162" spans="3:18" x14ac:dyDescent="0.35">
      <c r="C162">
        <v>-7.5274000000000008E-2</v>
      </c>
      <c r="L162">
        <f t="shared" si="13"/>
        <v>161</v>
      </c>
      <c r="M162">
        <f t="shared" si="14"/>
        <v>1893.3333333333212</v>
      </c>
      <c r="N162">
        <f t="shared" si="10"/>
        <v>0</v>
      </c>
      <c r="O162">
        <f t="array" ref="O162">+SUM($F$2:$F$18*SIN(2*PI()*(M162)*$B$1/$E$2:$E$18+$G$2:$G$18))</f>
        <v>1.9143780654523392</v>
      </c>
      <c r="P162">
        <f t="shared" si="11"/>
        <v>0</v>
      </c>
      <c r="Q162">
        <f t="shared" si="12"/>
        <v>-0.31774289923096755</v>
      </c>
      <c r="R162">
        <f t="array" ref="R162">+$B$2*SIN(Q162*$B$3+$B$4)+Q162+$B$9*SIN(PI()*M162+$B$10)+$B$11*SIN(2*PI()*M162+$B$12) + SUM($I$2:$I$18*SIN(2*PI()*M162*$H$2:$H$18+$J$2:$J$18))</f>
        <v>1.9510245947296472</v>
      </c>
    </row>
    <row r="163" spans="3:18" x14ac:dyDescent="0.35">
      <c r="C163">
        <v>6.9339999999999999E-2</v>
      </c>
      <c r="L163">
        <f t="shared" si="13"/>
        <v>162</v>
      </c>
      <c r="M163">
        <f t="shared" si="14"/>
        <v>1893.4166666666545</v>
      </c>
      <c r="N163">
        <f t="shared" si="10"/>
        <v>0</v>
      </c>
      <c r="O163">
        <f t="array" ref="O163">+SUM($F$2:$F$18*SIN(2*PI()*(M163)*$B$1/$E$2:$E$18+$G$2:$G$18))</f>
        <v>1.4301088422950361</v>
      </c>
      <c r="P163">
        <f t="shared" si="11"/>
        <v>0</v>
      </c>
      <c r="Q163">
        <f t="shared" si="12"/>
        <v>-0.31701031717794897</v>
      </c>
      <c r="R163">
        <f t="array" ref="R163">+$B$2*SIN(Q163*$B$3+$B$4)+Q163+$B$9*SIN(PI()*M163+$B$10)+$B$11*SIN(2*PI()*M163+$B$12) + SUM($I$2:$I$18*SIN(2*PI()*M163*$H$2:$H$18+$J$2:$J$18))</f>
        <v>2.3215657059295038</v>
      </c>
    </row>
    <row r="164" spans="3:18" x14ac:dyDescent="0.35">
      <c r="C164">
        <v>0.36164600000000002</v>
      </c>
      <c r="L164">
        <f t="shared" si="13"/>
        <v>163</v>
      </c>
      <c r="M164">
        <f t="shared" si="14"/>
        <v>1893.4999999999877</v>
      </c>
      <c r="N164">
        <f t="shared" si="10"/>
        <v>0</v>
      </c>
      <c r="O164">
        <f t="array" ref="O164">+SUM($F$2:$F$18*SIN(2*PI()*(M164)*$B$1/$E$2:$E$18+$G$2:$G$18))</f>
        <v>0.89876115378448262</v>
      </c>
      <c r="P164">
        <f t="shared" si="11"/>
        <v>0</v>
      </c>
      <c r="Q164">
        <f t="shared" si="12"/>
        <v>-0.31627942415233495</v>
      </c>
      <c r="R164">
        <f t="array" ref="R164">+$B$2*SIN(Q164*$B$3+$B$4)+Q164+$B$9*SIN(PI()*M164+$B$10)+$B$11*SIN(2*PI()*M164+$B$12) + SUM($I$2:$I$18*SIN(2*PI()*M164*$H$2:$H$18+$J$2:$J$18))</f>
        <v>2.906846366180476</v>
      </c>
    </row>
    <row r="165" spans="3:18" x14ac:dyDescent="0.35">
      <c r="C165">
        <v>0.56318199999999996</v>
      </c>
      <c r="L165">
        <f t="shared" si="13"/>
        <v>164</v>
      </c>
      <c r="M165">
        <f t="shared" si="14"/>
        <v>1893.583333333321</v>
      </c>
      <c r="N165">
        <f t="shared" si="10"/>
        <v>0</v>
      </c>
      <c r="O165">
        <f t="array" ref="O165">+SUM($F$2:$F$18*SIN(2*PI()*(M165)*$B$1/$E$2:$E$18+$G$2:$G$18))</f>
        <v>0.39289805791081944</v>
      </c>
      <c r="P165">
        <f t="shared" si="11"/>
        <v>0</v>
      </c>
      <c r="Q165">
        <f t="shared" si="12"/>
        <v>-0.31555021625993568</v>
      </c>
      <c r="R165">
        <f t="array" ref="R165">+$B$2*SIN(Q165*$B$3+$B$4)+Q165+$B$9*SIN(PI()*M165+$B$10)+$B$11*SIN(2*PI()*M165+$B$12) + SUM($I$2:$I$18*SIN(2*PI()*M165*$H$2:$H$18+$J$2:$J$18))</f>
        <v>3.5733670516525002</v>
      </c>
    </row>
    <row r="166" spans="3:18" x14ac:dyDescent="0.35">
      <c r="C166">
        <v>0.303178</v>
      </c>
      <c r="L166">
        <f t="shared" si="13"/>
        <v>165</v>
      </c>
      <c r="M166">
        <f t="shared" si="14"/>
        <v>1893.6666666666542</v>
      </c>
      <c r="N166">
        <f t="shared" si="10"/>
        <v>0</v>
      </c>
      <c r="O166">
        <f t="array" ref="O166">+SUM($F$2:$F$18*SIN(2*PI()*(M166)*$B$1/$E$2:$E$18+$G$2:$G$18))</f>
        <v>0.15760606991632062</v>
      </c>
      <c r="P166">
        <f t="shared" si="11"/>
        <v>0</v>
      </c>
      <c r="Q166">
        <f t="shared" si="12"/>
        <v>-0.31482268961553966</v>
      </c>
      <c r="R166">
        <f t="array" ref="R166">+$B$2*SIN(Q166*$B$3+$B$4)+Q166+$B$9*SIN(PI()*M166+$B$10)+$B$11*SIN(2*PI()*M166+$B$12) + SUM($I$2:$I$18*SIN(2*PI()*M166*$H$2:$H$18+$J$2:$J$18))</f>
        <v>4.190576725884477</v>
      </c>
    </row>
    <row r="167" spans="3:18" x14ac:dyDescent="0.35">
      <c r="C167">
        <v>0.40317199999999997</v>
      </c>
      <c r="L167">
        <f t="shared" si="13"/>
        <v>166</v>
      </c>
      <c r="M167">
        <f t="shared" si="14"/>
        <v>1893.7499999999875</v>
      </c>
      <c r="N167">
        <f t="shared" si="10"/>
        <v>0</v>
      </c>
      <c r="O167">
        <f t="array" ref="O167">+SUM($F$2:$F$18*SIN(2*PI()*(M167)*$B$1/$E$2:$E$18+$G$2:$G$18))</f>
        <v>-0.16988445332763896</v>
      </c>
      <c r="P167">
        <f t="shared" si="11"/>
        <v>0</v>
      </c>
      <c r="Q167">
        <f t="shared" si="12"/>
        <v>-0.31409684034289315</v>
      </c>
      <c r="R167">
        <f t="array" ref="R167">+$B$2*SIN(Q167*$B$3+$B$4)+Q167+$B$9*SIN(PI()*M167+$B$10)+$B$11*SIN(2*PI()*M167+$B$12) + SUM($I$2:$I$18*SIN(2*PI()*M167*$H$2:$H$18+$J$2:$J$18))</f>
        <v>4.6670670821243414</v>
      </c>
    </row>
    <row r="168" spans="3:18" x14ac:dyDescent="0.35">
      <c r="C168">
        <v>0.54470600000000002</v>
      </c>
      <c r="L168">
        <f t="shared" si="13"/>
        <v>167</v>
      </c>
      <c r="M168">
        <f t="shared" si="14"/>
        <v>1893.8333333333208</v>
      </c>
      <c r="N168">
        <f t="shared" si="10"/>
        <v>0</v>
      </c>
      <c r="O168">
        <f t="array" ref="O168">+SUM($F$2:$F$18*SIN(2*PI()*(M168)*$B$1/$E$2:$E$18+$G$2:$G$18))</f>
        <v>-0.52217000255463353</v>
      </c>
      <c r="P168">
        <f t="shared" si="11"/>
        <v>0</v>
      </c>
      <c r="Q168">
        <f t="shared" si="12"/>
        <v>-0.31337266457467938</v>
      </c>
      <c r="R168">
        <f t="array" ref="R168">+$B$2*SIN(Q168*$B$3+$B$4)+Q168+$B$9*SIN(PI()*M168+$B$10)+$B$11*SIN(2*PI()*M168+$B$12) + SUM($I$2:$I$18*SIN(2*PI()*M168*$H$2:$H$18+$J$2:$J$18))</f>
        <v>4.975238318793056</v>
      </c>
    </row>
    <row r="169" spans="3:18" x14ac:dyDescent="0.35">
      <c r="C169">
        <v>0.38469599999999998</v>
      </c>
      <c r="L169">
        <f t="shared" si="13"/>
        <v>168</v>
      </c>
      <c r="M169">
        <f t="shared" si="14"/>
        <v>1893.916666666654</v>
      </c>
      <c r="N169">
        <f t="shared" si="10"/>
        <v>0</v>
      </c>
      <c r="O169">
        <f t="array" ref="O169">+SUM($F$2:$F$18*SIN(2*PI()*(M169)*$B$1/$E$2:$E$18+$G$2:$G$18))</f>
        <v>0.40249649524189712</v>
      </c>
      <c r="P169">
        <f t="shared" si="11"/>
        <v>0</v>
      </c>
      <c r="Q169">
        <f t="shared" si="12"/>
        <v>-0.31265015845249805</v>
      </c>
      <c r="R169">
        <f t="array" ref="R169">+$B$2*SIN(Q169*$B$3+$B$4)+Q169+$B$9*SIN(PI()*M169+$B$10)+$B$11*SIN(2*PI()*M169+$B$12) + SUM($I$2:$I$18*SIN(2*PI()*M169*$H$2:$H$18+$J$2:$J$18))</f>
        <v>5.157779551749873</v>
      </c>
    </row>
    <row r="170" spans="3:18" x14ac:dyDescent="0.35">
      <c r="C170">
        <v>0.32468800000000003</v>
      </c>
      <c r="L170">
        <f t="shared" si="13"/>
        <v>169</v>
      </c>
      <c r="M170">
        <f t="shared" si="14"/>
        <v>1893.9999999999873</v>
      </c>
      <c r="N170">
        <f t="shared" si="10"/>
        <v>200</v>
      </c>
      <c r="O170">
        <f t="array" ref="O170">+SUM($F$2:$F$18*SIN(2*PI()*(M170)*$B$1/$E$2:$E$18+$G$2:$G$18))</f>
        <v>1.815871395995714</v>
      </c>
      <c r="P170">
        <f t="shared" si="11"/>
        <v>363.1742791991428</v>
      </c>
      <c r="Q170">
        <f t="shared" si="12"/>
        <v>0.52539847016735597</v>
      </c>
      <c r="R170">
        <f t="array" ref="R170">+$B$2*SIN(Q170*$B$3+$B$4)+Q170+$B$9*SIN(PI()*M170+$B$10)+$B$11*SIN(2*PI()*M170+$B$12) + SUM($I$2:$I$18*SIN(2*PI()*M170*$H$2:$H$18+$J$2:$J$18))</f>
        <v>-7.4284897276543891</v>
      </c>
    </row>
    <row r="171" spans="3:18" x14ac:dyDescent="0.35">
      <c r="C171">
        <v>0.35698799999999997</v>
      </c>
      <c r="L171">
        <f t="shared" si="13"/>
        <v>170</v>
      </c>
      <c r="M171">
        <f t="shared" si="14"/>
        <v>1894.0833333333205</v>
      </c>
      <c r="N171">
        <f t="shared" si="10"/>
        <v>0</v>
      </c>
      <c r="O171">
        <f t="array" ref="O171">+SUM($F$2:$F$18*SIN(2*PI()*(M171)*$B$1/$E$2:$E$18+$G$2:$G$18))</f>
        <v>2.1932017236989312</v>
      </c>
      <c r="P171">
        <f t="shared" si="11"/>
        <v>0</v>
      </c>
      <c r="Q171">
        <f t="shared" si="12"/>
        <v>0.524187121335141</v>
      </c>
      <c r="R171">
        <f t="array" ref="R171">+$B$2*SIN(Q171*$B$3+$B$4)+Q171+$B$9*SIN(PI()*M171+$B$10)+$B$11*SIN(2*PI()*M171+$B$12) + SUM($I$2:$I$18*SIN(2*PI()*M171*$H$2:$H$18+$J$2:$J$18))</f>
        <v>-7.0360329766480953</v>
      </c>
    </row>
    <row r="172" spans="3:18" x14ac:dyDescent="0.35">
      <c r="C172">
        <v>0.30774400000000002</v>
      </c>
      <c r="L172">
        <f t="shared" si="13"/>
        <v>171</v>
      </c>
      <c r="M172">
        <f t="shared" si="14"/>
        <v>1894.1666666666538</v>
      </c>
      <c r="N172">
        <f t="shared" si="10"/>
        <v>0</v>
      </c>
      <c r="O172">
        <f t="array" ref="O172">+SUM($F$2:$F$18*SIN(2*PI()*(M172)*$B$1/$E$2:$E$18+$G$2:$G$18))</f>
        <v>2.0111041496654156</v>
      </c>
      <c r="P172">
        <f t="shared" si="11"/>
        <v>0</v>
      </c>
      <c r="Q172">
        <f t="shared" si="12"/>
        <v>0.52297856536601306</v>
      </c>
      <c r="R172">
        <f t="array" ref="R172">+$B$2*SIN(Q172*$B$3+$B$4)+Q172+$B$9*SIN(PI()*M172+$B$10)+$B$11*SIN(2*PI()*M172+$B$12) + SUM($I$2:$I$18*SIN(2*PI()*M172*$H$2:$H$18+$J$2:$J$18))</f>
        <v>-6.4262479067208869</v>
      </c>
    </row>
    <row r="173" spans="3:18" x14ac:dyDescent="0.35">
      <c r="C173">
        <v>0.346194</v>
      </c>
      <c r="L173">
        <f t="shared" si="13"/>
        <v>172</v>
      </c>
      <c r="M173">
        <f t="shared" si="14"/>
        <v>1894.249999999987</v>
      </c>
      <c r="N173">
        <f t="shared" si="10"/>
        <v>0</v>
      </c>
      <c r="O173">
        <f t="array" ref="O173">+SUM($F$2:$F$18*SIN(2*PI()*(M173)*$B$1/$E$2:$E$18+$G$2:$G$18))</f>
        <v>1.2663790087890059</v>
      </c>
      <c r="P173">
        <f t="shared" si="11"/>
        <v>0</v>
      </c>
      <c r="Q173">
        <f t="shared" si="12"/>
        <v>0.5217727958207995</v>
      </c>
      <c r="R173">
        <f t="array" ref="R173">+$B$2*SIN(Q173*$B$3+$B$4)+Q173+$B$9*SIN(PI()*M173+$B$10)+$B$11*SIN(2*PI()*M173+$B$12) + SUM($I$2:$I$18*SIN(2*PI()*M173*$H$2:$H$18+$J$2:$J$18))</f>
        <v>-5.5295920794557691</v>
      </c>
    </row>
    <row r="174" spans="3:18" x14ac:dyDescent="0.35">
      <c r="C174">
        <v>0.393874</v>
      </c>
      <c r="L174">
        <f t="shared" si="13"/>
        <v>173</v>
      </c>
      <c r="M174">
        <f t="shared" si="14"/>
        <v>1894.3333333333203</v>
      </c>
      <c r="N174">
        <f t="shared" si="10"/>
        <v>0</v>
      </c>
      <c r="O174">
        <f t="array" ref="O174">+SUM($F$2:$F$18*SIN(2*PI()*(M174)*$B$1/$E$2:$E$18+$G$2:$G$18))</f>
        <v>5.2719666207797569E-3</v>
      </c>
      <c r="P174">
        <f t="shared" si="11"/>
        <v>0</v>
      </c>
      <c r="Q174">
        <f t="shared" si="12"/>
        <v>0.5205698062751738</v>
      </c>
      <c r="R174">
        <f t="array" ref="R174">+$B$2*SIN(Q174*$B$3+$B$4)+Q174+$B$9*SIN(PI()*M174+$B$10)+$B$11*SIN(2*PI()*M174+$B$12) + SUM($I$2:$I$18*SIN(2*PI()*M174*$H$2:$H$18+$J$2:$J$18))</f>
        <v>-4.3468286383384136</v>
      </c>
    </row>
    <row r="175" spans="3:18" x14ac:dyDescent="0.35">
      <c r="C175">
        <v>0.22924399999999998</v>
      </c>
      <c r="L175">
        <f t="shared" si="13"/>
        <v>174</v>
      </c>
      <c r="M175">
        <f t="shared" si="14"/>
        <v>1894.4166666666536</v>
      </c>
      <c r="N175">
        <f t="shared" si="10"/>
        <v>0</v>
      </c>
      <c r="O175">
        <f t="array" ref="O175">+SUM($F$2:$F$18*SIN(2*PI()*(M175)*$B$1/$E$2:$E$18+$G$2:$G$18))</f>
        <v>-0.43248250370474151</v>
      </c>
      <c r="P175">
        <f t="shared" si="11"/>
        <v>0</v>
      </c>
      <c r="Q175">
        <f t="shared" si="12"/>
        <v>0.51936959031962115</v>
      </c>
      <c r="R175">
        <f t="array" ref="R175">+$B$2*SIN(Q175*$B$3+$B$4)+Q175+$B$9*SIN(PI()*M175+$B$10)+$B$11*SIN(2*PI()*M175+$B$12) + SUM($I$2:$I$18*SIN(2*PI()*M175*$H$2:$H$18+$J$2:$J$18))</f>
        <v>-2.9543750592782216</v>
      </c>
    </row>
    <row r="176" spans="3:18" x14ac:dyDescent="0.35">
      <c r="C176">
        <v>-8.000199999999999E-2</v>
      </c>
      <c r="L176">
        <f t="shared" si="13"/>
        <v>175</v>
      </c>
      <c r="M176">
        <f t="shared" si="14"/>
        <v>1894.4999999999868</v>
      </c>
      <c r="N176">
        <f t="shared" si="10"/>
        <v>0</v>
      </c>
      <c r="O176">
        <f t="array" ref="O176">+SUM($F$2:$F$18*SIN(2*PI()*(M176)*$B$1/$E$2:$E$18+$G$2:$G$18))</f>
        <v>-0.14759243846135162</v>
      </c>
      <c r="P176">
        <f t="shared" si="11"/>
        <v>0</v>
      </c>
      <c r="Q176">
        <f t="shared" si="12"/>
        <v>0.5181721415594045</v>
      </c>
      <c r="R176">
        <f t="array" ref="R176">+$B$2*SIN(Q176*$B$3+$B$4)+Q176+$B$9*SIN(PI()*M176+$B$10)+$B$11*SIN(2*PI()*M176+$B$12) + SUM($I$2:$I$18*SIN(2*PI()*M176*$H$2:$H$18+$J$2:$J$18))</f>
        <v>-1.4894759830701356</v>
      </c>
    </row>
    <row r="177" spans="3:18" x14ac:dyDescent="0.35">
      <c r="C177">
        <v>-0.33078800000000003</v>
      </c>
      <c r="L177">
        <f t="shared" si="13"/>
        <v>176</v>
      </c>
      <c r="M177">
        <f t="shared" si="14"/>
        <v>1894.5833333333201</v>
      </c>
      <c r="N177">
        <f t="shared" si="10"/>
        <v>0</v>
      </c>
      <c r="O177">
        <f t="array" ref="O177">+SUM($F$2:$F$18*SIN(2*PI()*(M177)*$B$1/$E$2:$E$18+$G$2:$G$18))</f>
        <v>0.29470349582736705</v>
      </c>
      <c r="P177">
        <f t="shared" si="11"/>
        <v>0</v>
      </c>
      <c r="Q177">
        <f t="shared" si="12"/>
        <v>0.51697745361453029</v>
      </c>
      <c r="R177">
        <f t="array" ref="R177">+$B$2*SIN(Q177*$B$3+$B$4)+Q177+$B$9*SIN(PI()*M177+$B$10)+$B$11*SIN(2*PI()*M177+$B$12) + SUM($I$2:$I$18*SIN(2*PI()*M177*$H$2:$H$18+$J$2:$J$18))</f>
        <v>-0.11893313583053811</v>
      </c>
    </row>
    <row r="178" spans="3:18" x14ac:dyDescent="0.35">
      <c r="C178">
        <v>-8.4651999999999991E-2</v>
      </c>
      <c r="L178">
        <f t="shared" si="13"/>
        <v>177</v>
      </c>
      <c r="M178">
        <f t="shared" si="14"/>
        <v>1894.6666666666533</v>
      </c>
      <c r="N178">
        <f t="shared" si="10"/>
        <v>0</v>
      </c>
      <c r="O178">
        <f t="array" ref="O178">+SUM($F$2:$F$18*SIN(2*PI()*(M178)*$B$1/$E$2:$E$18+$G$2:$G$18))</f>
        <v>1.1752454938442509</v>
      </c>
      <c r="P178">
        <f t="shared" si="11"/>
        <v>0</v>
      </c>
      <c r="Q178">
        <f t="shared" si="12"/>
        <v>0.51578552011971457</v>
      </c>
      <c r="R178">
        <f t="array" ref="R178">+$B$2*SIN(Q178*$B$3+$B$4)+Q178+$B$9*SIN(PI()*M178+$B$10)+$B$11*SIN(2*PI()*M178+$B$12) + SUM($I$2:$I$18*SIN(2*PI()*M178*$H$2:$H$18+$J$2:$J$18))</f>
        <v>1.0004613697615388</v>
      </c>
    </row>
    <row r="179" spans="3:18" x14ac:dyDescent="0.35">
      <c r="C179">
        <v>9.5327999999999996E-2</v>
      </c>
      <c r="L179">
        <f t="shared" si="13"/>
        <v>178</v>
      </c>
      <c r="M179">
        <f t="shared" si="14"/>
        <v>1894.7499999999866</v>
      </c>
      <c r="N179">
        <f t="shared" si="10"/>
        <v>0</v>
      </c>
      <c r="O179">
        <f t="array" ref="O179">+SUM($F$2:$F$18*SIN(2*PI()*(M179)*$B$1/$E$2:$E$18+$G$2:$G$18))</f>
        <v>1.7438637838144058</v>
      </c>
      <c r="P179">
        <f t="shared" si="11"/>
        <v>0</v>
      </c>
      <c r="Q179">
        <f t="shared" si="12"/>
        <v>0.51459633472434907</v>
      </c>
      <c r="R179">
        <f t="array" ref="R179">+$B$2*SIN(Q179*$B$3+$B$4)+Q179+$B$9*SIN(PI()*M179+$B$10)+$B$11*SIN(2*PI()*M179+$B$12) + SUM($I$2:$I$18*SIN(2*PI()*M179*$H$2:$H$18+$J$2:$J$18))</f>
        <v>1.7594008148232623</v>
      </c>
    </row>
    <row r="180" spans="3:18" x14ac:dyDescent="0.35">
      <c r="C180">
        <v>-0.12315200000000001</v>
      </c>
      <c r="L180">
        <f t="shared" si="13"/>
        <v>179</v>
      </c>
      <c r="M180">
        <f t="shared" si="14"/>
        <v>1894.8333333333198</v>
      </c>
      <c r="N180">
        <f t="shared" si="10"/>
        <v>0</v>
      </c>
      <c r="O180">
        <f t="array" ref="O180">+SUM($F$2:$F$18*SIN(2*PI()*(M180)*$B$1/$E$2:$E$18+$G$2:$G$18))</f>
        <v>1.7595583720361789</v>
      </c>
      <c r="P180">
        <f t="shared" si="11"/>
        <v>0</v>
      </c>
      <c r="Q180">
        <f t="shared" si="12"/>
        <v>0.51340989109246737</v>
      </c>
      <c r="R180">
        <f t="array" ref="R180">+$B$2*SIN(Q180*$B$3+$B$4)+Q180+$B$9*SIN(PI()*M180+$B$10)+$B$11*SIN(2*PI()*M180+$B$12) + SUM($I$2:$I$18*SIN(2*PI()*M180*$H$2:$H$18+$J$2:$J$18))</f>
        <v>2.1215935908230041</v>
      </c>
    </row>
    <row r="181" spans="3:18" x14ac:dyDescent="0.35">
      <c r="C181">
        <v>-0.20317399999999999</v>
      </c>
      <c r="L181">
        <f t="shared" si="13"/>
        <v>180</v>
      </c>
      <c r="M181">
        <f t="shared" si="14"/>
        <v>1894.9166666666531</v>
      </c>
      <c r="N181">
        <f t="shared" si="10"/>
        <v>0</v>
      </c>
      <c r="O181">
        <f t="array" ref="O181">+SUM($F$2:$F$18*SIN(2*PI()*(M181)*$B$1/$E$2:$E$18+$G$2:$G$18))</f>
        <v>1.6706215851278814</v>
      </c>
      <c r="P181">
        <f t="shared" si="11"/>
        <v>0</v>
      </c>
      <c r="Q181">
        <f t="shared" si="12"/>
        <v>0.51222618290271116</v>
      </c>
      <c r="R181">
        <f t="array" ref="R181">+$B$2*SIN(Q181*$B$3+$B$4)+Q181+$B$9*SIN(PI()*M181+$B$10)+$B$11*SIN(2*PI()*M181+$B$12) + SUM($I$2:$I$18*SIN(2*PI()*M181*$H$2:$H$18+$J$2:$J$18))</f>
        <v>2.1306565239111332</v>
      </c>
    </row>
    <row r="182" spans="3:18" x14ac:dyDescent="0.35">
      <c r="C182">
        <v>-0.20473400000000003</v>
      </c>
      <c r="L182">
        <f t="shared" si="13"/>
        <v>181</v>
      </c>
      <c r="M182">
        <f t="shared" si="14"/>
        <v>1894.9999999999864</v>
      </c>
      <c r="N182">
        <f t="shared" si="10"/>
        <v>200</v>
      </c>
      <c r="O182">
        <f t="array" ref="O182">+SUM($F$2:$F$18*SIN(2*PI()*(M182)*$B$1/$E$2:$E$18+$G$2:$G$18))</f>
        <v>0.5565793192859253</v>
      </c>
      <c r="P182">
        <f t="shared" si="11"/>
        <v>111.31586385718506</v>
      </c>
      <c r="Q182">
        <f t="shared" si="12"/>
        <v>0.76769296615991545</v>
      </c>
      <c r="R182">
        <f t="array" ref="R182">+$B$2*SIN(Q182*$B$3+$B$4)+Q182+$B$9*SIN(PI()*M182+$B$10)+$B$11*SIN(2*PI()*M182+$B$12) + SUM($I$2:$I$18*SIN(2*PI()*M182*$H$2:$H$18+$J$2:$J$18))</f>
        <v>2.0857494568931254</v>
      </c>
    </row>
    <row r="183" spans="3:18" x14ac:dyDescent="0.35">
      <c r="C183">
        <v>-0.18167999999999998</v>
      </c>
      <c r="L183">
        <f t="shared" si="13"/>
        <v>182</v>
      </c>
      <c r="M183">
        <f t="shared" si="14"/>
        <v>1895.0833333333196</v>
      </c>
      <c r="N183">
        <f t="shared" si="10"/>
        <v>0</v>
      </c>
      <c r="O183">
        <f t="array" ref="O183">+SUM($F$2:$F$18*SIN(2*PI()*(M183)*$B$1/$E$2:$E$18+$G$2:$G$18))</f>
        <v>-1.0455527119608596</v>
      </c>
      <c r="P183">
        <f t="shared" si="11"/>
        <v>0</v>
      </c>
      <c r="Q183">
        <f t="shared" si="12"/>
        <v>0.76592298769431155</v>
      </c>
      <c r="R183">
        <f t="array" ref="R183">+$B$2*SIN(Q183*$B$3+$B$4)+Q183+$B$9*SIN(PI()*M183+$B$10)+$B$11*SIN(2*PI()*M183+$B$12) + SUM($I$2:$I$18*SIN(2*PI()*M183*$H$2:$H$18+$J$2:$J$18))</f>
        <v>1.4942301608854978</v>
      </c>
    </row>
    <row r="184" spans="3:18" x14ac:dyDescent="0.35">
      <c r="C184">
        <v>-0.138628</v>
      </c>
      <c r="L184">
        <f t="shared" si="13"/>
        <v>183</v>
      </c>
      <c r="M184">
        <f t="shared" si="14"/>
        <v>1895.1666666666529</v>
      </c>
      <c r="N184">
        <f t="shared" si="10"/>
        <v>0</v>
      </c>
      <c r="O184">
        <f t="array" ref="O184">+SUM($F$2:$F$18*SIN(2*PI()*(M184)*$B$1/$E$2:$E$18+$G$2:$G$18))</f>
        <v>-1.151771698078258</v>
      </c>
      <c r="P184">
        <f t="shared" si="11"/>
        <v>0</v>
      </c>
      <c r="Q184">
        <f t="shared" si="12"/>
        <v>0.76415709005777188</v>
      </c>
      <c r="R184">
        <f t="array" ref="R184">+$B$2*SIN(Q184*$B$3+$B$4)+Q184+$B$9*SIN(PI()*M184+$B$10)+$B$11*SIN(2*PI()*M184+$B$12) + SUM($I$2:$I$18*SIN(2*PI()*M184*$H$2:$H$18+$J$2:$J$18))</f>
        <v>0.95087681928990797</v>
      </c>
    </row>
    <row r="185" spans="3:18" x14ac:dyDescent="0.35">
      <c r="C185">
        <v>-9.7116000000000008E-2</v>
      </c>
      <c r="L185">
        <f t="shared" si="13"/>
        <v>184</v>
      </c>
      <c r="M185">
        <f t="shared" si="14"/>
        <v>1895.2499999999861</v>
      </c>
      <c r="N185">
        <f t="shared" si="10"/>
        <v>0</v>
      </c>
      <c r="O185">
        <f t="array" ref="O185">+SUM($F$2:$F$18*SIN(2*PI()*(M185)*$B$1/$E$2:$E$18+$G$2:$G$18))</f>
        <v>-0.21340959339124083</v>
      </c>
      <c r="P185">
        <f t="shared" si="11"/>
        <v>0</v>
      </c>
      <c r="Q185">
        <f t="shared" si="12"/>
        <v>0.76239526384161371</v>
      </c>
      <c r="R185">
        <f t="array" ref="R185">+$B$2*SIN(Q185*$B$3+$B$4)+Q185+$B$9*SIN(PI()*M185+$B$10)+$B$11*SIN(2*PI()*M185+$B$12) + SUM($I$2:$I$18*SIN(2*PI()*M185*$H$2:$H$18+$J$2:$J$18))</f>
        <v>0.55988975007690556</v>
      </c>
    </row>
    <row r="186" spans="3:18" x14ac:dyDescent="0.35">
      <c r="C186">
        <v>5.3628000000000002E-2</v>
      </c>
      <c r="L186">
        <f t="shared" si="13"/>
        <v>185</v>
      </c>
      <c r="M186">
        <f t="shared" si="14"/>
        <v>1895.3333333333194</v>
      </c>
      <c r="N186">
        <f t="shared" si="10"/>
        <v>0</v>
      </c>
      <c r="O186">
        <f t="array" ref="O186">+SUM($F$2:$F$18*SIN(2*PI()*(M186)*$B$1/$E$2:$E$18+$G$2:$G$18))</f>
        <v>0.62764059414939799</v>
      </c>
      <c r="P186">
        <f t="shared" si="11"/>
        <v>0</v>
      </c>
      <c r="Q186">
        <f t="shared" si="12"/>
        <v>0.76063749965884675</v>
      </c>
      <c r="R186">
        <f t="array" ref="R186">+$B$2*SIN(Q186*$B$3+$B$4)+Q186+$B$9*SIN(PI()*M186+$B$10)+$B$11*SIN(2*PI()*M186+$B$12) + SUM($I$2:$I$18*SIN(2*PI()*M186*$H$2:$H$18+$J$2:$J$18))</f>
        <v>0.3604356524632335</v>
      </c>
    </row>
    <row r="187" spans="3:18" x14ac:dyDescent="0.35">
      <c r="C187">
        <v>-2.1786E-2</v>
      </c>
      <c r="L187">
        <f t="shared" si="13"/>
        <v>186</v>
      </c>
      <c r="M187">
        <f t="shared" si="14"/>
        <v>1895.4166666666526</v>
      </c>
      <c r="N187">
        <f t="shared" si="10"/>
        <v>0</v>
      </c>
      <c r="O187">
        <f t="array" ref="O187">+SUM($F$2:$F$18*SIN(2*PI()*(M187)*$B$1/$E$2:$E$18+$G$2:$G$18))</f>
        <v>1.144513346321848</v>
      </c>
      <c r="P187">
        <f t="shared" si="11"/>
        <v>0</v>
      </c>
      <c r="Q187">
        <f t="shared" si="12"/>
        <v>0.75888378814412316</v>
      </c>
      <c r="R187">
        <f t="array" ref="R187">+$B$2*SIN(Q187*$B$3+$B$4)+Q187+$B$9*SIN(PI()*M187+$B$10)+$B$11*SIN(2*PI()*M187+$B$12) + SUM($I$2:$I$18*SIN(2*PI()*M187*$H$2:$H$18+$J$2:$J$18))</f>
        <v>0.31947769337353726</v>
      </c>
    </row>
    <row r="188" spans="3:18" x14ac:dyDescent="0.35">
      <c r="C188">
        <v>2.4340000000000001E-2</v>
      </c>
      <c r="L188">
        <f t="shared" si="13"/>
        <v>187</v>
      </c>
      <c r="M188">
        <f t="shared" si="14"/>
        <v>1895.4999999999859</v>
      </c>
      <c r="N188">
        <f t="shared" si="10"/>
        <v>0</v>
      </c>
      <c r="O188">
        <f t="array" ref="O188">+SUM($F$2:$F$18*SIN(2*PI()*(M188)*$B$1/$E$2:$E$18+$G$2:$G$18))</f>
        <v>0.98792151021331698</v>
      </c>
      <c r="P188">
        <f t="shared" si="11"/>
        <v>0</v>
      </c>
      <c r="Q188">
        <f t="shared" si="12"/>
        <v>0.75713411995368773</v>
      </c>
      <c r="R188">
        <f t="array" ref="R188">+$B$2*SIN(Q188*$B$3+$B$4)+Q188+$B$9*SIN(PI()*M188+$B$10)+$B$11*SIN(2*PI()*M188+$B$12) + SUM($I$2:$I$18*SIN(2*PI()*M188*$H$2:$H$18+$J$2:$J$18))</f>
        <v>0.34463792437863638</v>
      </c>
    </row>
    <row r="189" spans="3:18" x14ac:dyDescent="0.35">
      <c r="C189">
        <v>0.17354</v>
      </c>
      <c r="L189">
        <f t="shared" si="13"/>
        <v>188</v>
      </c>
      <c r="M189">
        <f t="shared" si="14"/>
        <v>1895.5833333333192</v>
      </c>
      <c r="N189">
        <f t="shared" si="10"/>
        <v>0</v>
      </c>
      <c r="O189">
        <f t="array" ref="O189">+SUM($F$2:$F$18*SIN(2*PI()*(M189)*$B$1/$E$2:$E$18+$G$2:$G$18))</f>
        <v>0.79466306945882015</v>
      </c>
      <c r="P189">
        <f t="shared" si="11"/>
        <v>0</v>
      </c>
      <c r="Q189">
        <f t="shared" si="12"/>
        <v>0.75538848576532802</v>
      </c>
      <c r="R189">
        <f t="array" ref="R189">+$B$2*SIN(Q189*$B$3+$B$4)+Q189+$B$9*SIN(PI()*M189+$B$10)+$B$11*SIN(2*PI()*M189+$B$12) + SUM($I$2:$I$18*SIN(2*PI()*M189*$H$2:$H$18+$J$2:$J$18))</f>
        <v>0.31344907852506498</v>
      </c>
    </row>
    <row r="190" spans="3:18" x14ac:dyDescent="0.35">
      <c r="C190">
        <v>6.1200000000000004E-2</v>
      </c>
      <c r="L190">
        <f t="shared" si="13"/>
        <v>189</v>
      </c>
      <c r="M190">
        <f t="shared" si="14"/>
        <v>1895.6666666666524</v>
      </c>
      <c r="N190">
        <f t="shared" si="10"/>
        <v>0</v>
      </c>
      <c r="O190">
        <f t="array" ref="O190">+SUM($F$2:$F$18*SIN(2*PI()*(M190)*$B$1/$E$2:$E$18+$G$2:$G$18))</f>
        <v>0.62143523686205238</v>
      </c>
      <c r="P190">
        <f t="shared" si="11"/>
        <v>0</v>
      </c>
      <c r="Q190">
        <f t="shared" si="12"/>
        <v>0.75364687627832483</v>
      </c>
      <c r="R190">
        <f t="array" ref="R190">+$B$2*SIN(Q190*$B$3+$B$4)+Q190+$B$9*SIN(PI()*M190+$B$10)+$B$11*SIN(2*PI()*M190+$B$12) + SUM($I$2:$I$18*SIN(2*PI()*M190*$H$2:$H$18+$J$2:$J$18))</f>
        <v>0.11094108494222077</v>
      </c>
    </row>
    <row r="191" spans="3:18" x14ac:dyDescent="0.35">
      <c r="C191">
        <v>-3.8831999999999998E-2</v>
      </c>
      <c r="L191">
        <f t="shared" si="13"/>
        <v>190</v>
      </c>
      <c r="M191">
        <f t="shared" si="14"/>
        <v>1895.7499999999857</v>
      </c>
      <c r="N191">
        <f t="shared" si="10"/>
        <v>0</v>
      </c>
      <c r="O191">
        <f t="array" ref="O191">+SUM($F$2:$F$18*SIN(2*PI()*(M191)*$B$1/$E$2:$E$18+$G$2:$G$18))</f>
        <v>-0.78589905737663324</v>
      </c>
      <c r="P191">
        <f t="shared" si="11"/>
        <v>0</v>
      </c>
      <c r="Q191">
        <f t="shared" si="12"/>
        <v>0.75190928221340225</v>
      </c>
      <c r="R191">
        <f t="array" ref="R191">+$B$2*SIN(Q191*$B$3+$B$4)+Q191+$B$9*SIN(PI()*M191+$B$10)+$B$11*SIN(2*PI()*M191+$B$12) + SUM($I$2:$I$18*SIN(2*PI()*M191*$H$2:$H$18+$J$2:$J$18))</f>
        <v>-0.33473555377216968</v>
      </c>
    </row>
    <row r="192" spans="3:18" x14ac:dyDescent="0.35">
      <c r="C192">
        <v>-2.5017999999999999E-2</v>
      </c>
      <c r="L192">
        <f t="shared" si="13"/>
        <v>191</v>
      </c>
      <c r="M192">
        <f t="shared" si="14"/>
        <v>1895.8333333333189</v>
      </c>
      <c r="N192">
        <f t="shared" si="10"/>
        <v>0</v>
      </c>
      <c r="O192">
        <f t="array" ref="O192">+SUM($F$2:$F$18*SIN(2*PI()*(M192)*$B$1/$E$2:$E$18+$G$2:$G$18))</f>
        <v>-2.1322125125638993</v>
      </c>
      <c r="P192">
        <f t="shared" si="11"/>
        <v>0</v>
      </c>
      <c r="Q192">
        <f t="shared" si="12"/>
        <v>0.75017569431267872</v>
      </c>
      <c r="R192">
        <f t="array" ref="R192">+$B$2*SIN(Q192*$B$3+$B$4)+Q192+$B$9*SIN(PI()*M192+$B$10)+$B$11*SIN(2*PI()*M192+$B$12) + SUM($I$2:$I$18*SIN(2*PI()*M192*$H$2:$H$18+$J$2:$J$18))</f>
        <v>-1.0284204296186226</v>
      </c>
    </row>
    <row r="193" spans="3:18" x14ac:dyDescent="0.35">
      <c r="C193">
        <v>2.8791999999999998E-2</v>
      </c>
      <c r="L193">
        <f t="shared" si="13"/>
        <v>192</v>
      </c>
      <c r="M193">
        <f t="shared" si="14"/>
        <v>1895.9166666666522</v>
      </c>
      <c r="N193">
        <f t="shared" si="10"/>
        <v>0</v>
      </c>
      <c r="O193">
        <f t="array" ref="O193">+SUM($F$2:$F$18*SIN(2*PI()*(M193)*$B$1/$E$2:$E$18+$G$2:$G$18))</f>
        <v>-1.4962151679747673</v>
      </c>
      <c r="P193">
        <f t="shared" si="11"/>
        <v>0</v>
      </c>
      <c r="Q193">
        <f t="shared" si="12"/>
        <v>0.74844610333961736</v>
      </c>
      <c r="R193">
        <f t="array" ref="R193">+$B$2*SIN(Q193*$B$3+$B$4)+Q193+$B$9*SIN(PI()*M193+$B$10)+$B$11*SIN(2*PI()*M193+$B$12) + SUM($I$2:$I$18*SIN(2*PI()*M193*$H$2:$H$18+$J$2:$J$18))</f>
        <v>-1.9024029020403761</v>
      </c>
    </row>
    <row r="194" spans="3:18" x14ac:dyDescent="0.35">
      <c r="C194">
        <v>0.13183400000000001</v>
      </c>
      <c r="L194">
        <f t="shared" si="13"/>
        <v>193</v>
      </c>
      <c r="M194">
        <f t="shared" si="14"/>
        <v>1895.9999999999854</v>
      </c>
      <c r="N194">
        <f t="shared" ref="N194:N257" si="15">+IF(MOD(L194,$B$5)=1, $B$6, 0)</f>
        <v>200</v>
      </c>
      <c r="O194">
        <f t="array" ref="O194">+SUM($F$2:$F$18*SIN(2*PI()*(M194)*$B$1/$E$2:$E$18+$G$2:$G$18))</f>
        <v>-8.4476786009799354E-2</v>
      </c>
      <c r="P194">
        <f t="shared" si="11"/>
        <v>-16.895357201959872</v>
      </c>
      <c r="Q194">
        <f t="shared" si="12"/>
        <v>0.7077668822469162</v>
      </c>
      <c r="R194">
        <f t="array" ref="R194">+$B$2*SIN(Q194*$B$3+$B$4)+Q194+$B$9*SIN(PI()*M194+$B$10)+$B$11*SIN(2*PI()*M194+$B$12) + SUM($I$2:$I$18*SIN(2*PI()*M194*$H$2:$H$18+$J$2:$J$18))</f>
        <v>-5.5472753415089411</v>
      </c>
    </row>
    <row r="195" spans="3:18" x14ac:dyDescent="0.35">
      <c r="C195">
        <v>0.313336</v>
      </c>
      <c r="L195">
        <f t="shared" si="13"/>
        <v>194</v>
      </c>
      <c r="M195">
        <f t="shared" si="14"/>
        <v>1896.0833333333187</v>
      </c>
      <c r="N195">
        <f t="shared" si="15"/>
        <v>0</v>
      </c>
      <c r="O195">
        <f t="array" ref="O195">+SUM($F$2:$F$18*SIN(2*PI()*(M195)*$B$1/$E$2:$E$18+$G$2:$G$18))</f>
        <v>0.72122855444554956</v>
      </c>
      <c r="P195">
        <f t="shared" ref="P195:P258" si="16">+N195*O195</f>
        <v>0</v>
      </c>
      <c r="Q195">
        <f t="shared" ref="Q195:Q258" si="17">+(1-$B$7)*Q194+($B$7)*P195</f>
        <v>0.70613506823341676</v>
      </c>
      <c r="R195">
        <f t="array" ref="R195">+$B$2*SIN(Q195*$B$3+$B$4)+Q195+$B$9*SIN(PI()*M195+$B$10)+$B$11*SIN(2*PI()*M195+$B$12) + SUM($I$2:$I$18*SIN(2*PI()*M195*$H$2:$H$18+$J$2:$J$18))</f>
        <v>-6.3314109755185779</v>
      </c>
    </row>
    <row r="196" spans="3:18" x14ac:dyDescent="0.35">
      <c r="C196">
        <v>0.57637399999999994</v>
      </c>
      <c r="L196">
        <f t="shared" ref="L196:L259" si="18">+L195+1</f>
        <v>195</v>
      </c>
      <c r="M196">
        <f t="shared" ref="M196:M259" si="19">+M195+1/12</f>
        <v>1896.166666666652</v>
      </c>
      <c r="N196">
        <f t="shared" si="15"/>
        <v>0</v>
      </c>
      <c r="O196">
        <f t="array" ref="O196">+SUM($F$2:$F$18*SIN(2*PI()*(M196)*$B$1/$E$2:$E$18+$G$2:$G$18))</f>
        <v>0.71032549058824968</v>
      </c>
      <c r="P196">
        <f t="shared" si="16"/>
        <v>0</v>
      </c>
      <c r="Q196">
        <f t="shared" si="17"/>
        <v>0.70450701649961911</v>
      </c>
      <c r="R196">
        <f t="array" ref="R196">+$B$2*SIN(Q196*$B$3+$B$4)+Q196+$B$9*SIN(PI()*M196+$B$10)+$B$11*SIN(2*PI()*M196+$B$12) + SUM($I$2:$I$18*SIN(2*PI()*M196*$H$2:$H$18+$J$2:$J$18))</f>
        <v>-6.8752960286038718</v>
      </c>
    </row>
    <row r="197" spans="3:18" x14ac:dyDescent="0.35">
      <c r="C197">
        <v>0.61941200000000007</v>
      </c>
      <c r="L197">
        <f t="shared" si="18"/>
        <v>196</v>
      </c>
      <c r="M197">
        <f t="shared" si="19"/>
        <v>1896.2499999999852</v>
      </c>
      <c r="N197">
        <f t="shared" si="15"/>
        <v>0</v>
      </c>
      <c r="O197">
        <f t="array" ref="O197">+SUM($F$2:$F$18*SIN(2*PI()*(M197)*$B$1/$E$2:$E$18+$G$2:$G$18))</f>
        <v>7.2320269911034907E-2</v>
      </c>
      <c r="P197">
        <f t="shared" si="16"/>
        <v>0</v>
      </c>
      <c r="Q197">
        <f t="shared" si="17"/>
        <v>0.70288271837128191</v>
      </c>
      <c r="R197">
        <f t="array" ref="R197">+$B$2*SIN(Q197*$B$3+$B$4)+Q197+$B$9*SIN(PI()*M197+$B$10)+$B$11*SIN(2*PI()*M197+$B$12) + SUM($I$2:$I$18*SIN(2*PI()*M197*$H$2:$H$18+$J$2:$J$18))</f>
        <v>-7.0860398025385471</v>
      </c>
    </row>
    <row r="198" spans="3:18" x14ac:dyDescent="0.35">
      <c r="C198">
        <v>0.52706399999999998</v>
      </c>
      <c r="L198">
        <f t="shared" si="18"/>
        <v>197</v>
      </c>
      <c r="M198">
        <f t="shared" si="19"/>
        <v>1896.3333333333185</v>
      </c>
      <c r="N198">
        <f t="shared" si="15"/>
        <v>0</v>
      </c>
      <c r="O198">
        <f t="array" ref="O198">+SUM($F$2:$F$18*SIN(2*PI()*(M198)*$B$1/$E$2:$E$18+$G$2:$G$18))</f>
        <v>-0.15750679833487641</v>
      </c>
      <c r="P198">
        <f t="shared" si="16"/>
        <v>0</v>
      </c>
      <c r="Q198">
        <f t="shared" si="17"/>
        <v>0.70126216519416296</v>
      </c>
      <c r="R198">
        <f t="array" ref="R198">+$B$2*SIN(Q198*$B$3+$B$4)+Q198+$B$9*SIN(PI()*M198+$B$10)+$B$11*SIN(2*PI()*M198+$B$12) + SUM($I$2:$I$18*SIN(2*PI()*M198*$H$2:$H$18+$J$2:$J$18))</f>
        <v>-6.9439647398950815</v>
      </c>
    </row>
    <row r="199" spans="3:18" x14ac:dyDescent="0.35">
      <c r="C199">
        <v>0.20856000000000002</v>
      </c>
      <c r="L199">
        <f t="shared" si="18"/>
        <v>198</v>
      </c>
      <c r="M199">
        <f t="shared" si="19"/>
        <v>1896.4166666666517</v>
      </c>
      <c r="N199">
        <f t="shared" si="15"/>
        <v>0</v>
      </c>
      <c r="O199">
        <f t="array" ref="O199">+SUM($F$2:$F$18*SIN(2*PI()*(M199)*$B$1/$E$2:$E$18+$G$2:$G$18))</f>
        <v>-0.4466027475987745</v>
      </c>
      <c r="P199">
        <f t="shared" si="16"/>
        <v>0</v>
      </c>
      <c r="Q199">
        <f t="shared" si="17"/>
        <v>0.69964534833397318</v>
      </c>
      <c r="R199">
        <f t="array" ref="R199">+$B$2*SIN(Q199*$B$3+$B$4)+Q199+$B$9*SIN(PI()*M199+$B$10)+$B$11*SIN(2*PI()*M199+$B$12) + SUM($I$2:$I$18*SIN(2*PI()*M199*$H$2:$H$18+$J$2:$J$18))</f>
        <v>-6.5086859898645191</v>
      </c>
    </row>
    <row r="200" spans="3:18" x14ac:dyDescent="0.35">
      <c r="C200">
        <v>9.3133999999999995E-2</v>
      </c>
      <c r="L200">
        <f t="shared" si="18"/>
        <v>199</v>
      </c>
      <c r="M200">
        <f t="shared" si="19"/>
        <v>1896.499999999985</v>
      </c>
      <c r="N200">
        <f t="shared" si="15"/>
        <v>0</v>
      </c>
      <c r="O200">
        <f t="array" ref="O200">+SUM($F$2:$F$18*SIN(2*PI()*(M200)*$B$1/$E$2:$E$18+$G$2:$G$18))</f>
        <v>-1.8702584327609255</v>
      </c>
      <c r="P200">
        <f t="shared" si="16"/>
        <v>0</v>
      </c>
      <c r="Q200">
        <f t="shared" si="17"/>
        <v>0.69803225917633049</v>
      </c>
      <c r="R200">
        <f t="array" ref="R200">+$B$2*SIN(Q200*$B$3+$B$4)+Q200+$B$9*SIN(PI()*M200+$B$10)+$B$11*SIN(2*PI()*M200+$B$12) + SUM($I$2:$I$18*SIN(2*PI()*M200*$H$2:$H$18+$J$2:$J$18))</f>
        <v>-5.904814714121672</v>
      </c>
    </row>
    <row r="201" spans="3:18" x14ac:dyDescent="0.35">
      <c r="C201">
        <v>-0.17152400000000001</v>
      </c>
      <c r="L201">
        <f t="shared" si="18"/>
        <v>200</v>
      </c>
      <c r="M201">
        <f t="shared" si="19"/>
        <v>1896.5833333333183</v>
      </c>
      <c r="N201">
        <f t="shared" si="15"/>
        <v>0</v>
      </c>
      <c r="O201">
        <f t="array" ref="O201">+SUM($F$2:$F$18*SIN(2*PI()*(M201)*$B$1/$E$2:$E$18+$G$2:$G$18))</f>
        <v>-2.4935047073809322</v>
      </c>
      <c r="P201">
        <f t="shared" si="16"/>
        <v>0</v>
      </c>
      <c r="Q201">
        <f t="shared" si="17"/>
        <v>0.69642288912671413</v>
      </c>
      <c r="R201">
        <f t="array" ref="R201">+$B$2*SIN(Q201*$B$3+$B$4)+Q201+$B$9*SIN(PI()*M201+$B$10)+$B$11*SIN(2*PI()*M201+$B$12) + SUM($I$2:$I$18*SIN(2*PI()*M201*$H$2:$H$18+$J$2:$J$18))</f>
        <v>-5.2909997171297718</v>
      </c>
    </row>
    <row r="202" spans="3:18" x14ac:dyDescent="0.35">
      <c r="C202">
        <v>-0.32695599999999997</v>
      </c>
      <c r="L202">
        <f t="shared" si="18"/>
        <v>201</v>
      </c>
      <c r="M202">
        <f t="shared" si="19"/>
        <v>1896.6666666666515</v>
      </c>
      <c r="N202">
        <f t="shared" si="15"/>
        <v>0</v>
      </c>
      <c r="O202">
        <f t="array" ref="O202">+SUM($F$2:$F$18*SIN(2*PI()*(M202)*$B$1/$E$2:$E$18+$G$2:$G$18))</f>
        <v>-1.0600336377790973</v>
      </c>
      <c r="P202">
        <f t="shared" si="16"/>
        <v>0</v>
      </c>
      <c r="Q202">
        <f t="shared" si="17"/>
        <v>0.69481722961041847</v>
      </c>
      <c r="R202">
        <f t="array" ref="R202">+$B$2*SIN(Q202*$B$3+$B$4)+Q202+$B$9*SIN(PI()*M202+$B$10)+$B$11*SIN(2*PI()*M202+$B$12) + SUM($I$2:$I$18*SIN(2*PI()*M202*$H$2:$H$18+$J$2:$J$18))</f>
        <v>-4.8204493903366652</v>
      </c>
    </row>
    <row r="203" spans="3:18" x14ac:dyDescent="0.35">
      <c r="C203">
        <v>-0.43315399999999998</v>
      </c>
      <c r="L203">
        <f t="shared" si="18"/>
        <v>202</v>
      </c>
      <c r="M203">
        <f t="shared" si="19"/>
        <v>1896.7499999999848</v>
      </c>
      <c r="N203">
        <f t="shared" si="15"/>
        <v>0</v>
      </c>
      <c r="O203">
        <f t="array" ref="O203">+SUM($F$2:$F$18*SIN(2*PI()*(M203)*$B$1/$E$2:$E$18+$G$2:$G$18))</f>
        <v>0.50727589373840631</v>
      </c>
      <c r="P203">
        <f t="shared" si="16"/>
        <v>0</v>
      </c>
      <c r="Q203">
        <f t="shared" si="17"/>
        <v>0.69321527207250766</v>
      </c>
      <c r="R203">
        <f t="array" ref="R203">+$B$2*SIN(Q203*$B$3+$B$4)+Q203+$B$9*SIN(PI()*M203+$B$10)+$B$11*SIN(2*PI()*M203+$B$12) + SUM($I$2:$I$18*SIN(2*PI()*M203*$H$2:$H$18+$J$2:$J$18))</f>
        <v>-4.603330590077702</v>
      </c>
    </row>
    <row r="204" spans="3:18" x14ac:dyDescent="0.35">
      <c r="C204">
        <v>-0.64704800000000007</v>
      </c>
      <c r="L204">
        <f t="shared" si="18"/>
        <v>203</v>
      </c>
      <c r="M204">
        <f t="shared" si="19"/>
        <v>1896.833333333318</v>
      </c>
      <c r="N204">
        <f t="shared" si="15"/>
        <v>0</v>
      </c>
      <c r="O204">
        <f t="array" ref="O204">+SUM($F$2:$F$18*SIN(2*PI()*(M204)*$B$1/$E$2:$E$18+$G$2:$G$18))</f>
        <v>0.97674072134567202</v>
      </c>
      <c r="P204">
        <f t="shared" si="16"/>
        <v>0</v>
      </c>
      <c r="Q204">
        <f t="shared" si="17"/>
        <v>0.69161700797776993</v>
      </c>
      <c r="R204">
        <f t="array" ref="R204">+$B$2*SIN(Q204*$B$3+$B$4)+Q204+$B$9*SIN(PI()*M204+$B$10)+$B$11*SIN(2*PI()*M204+$B$12) + SUM($I$2:$I$18*SIN(2*PI()*M204*$H$2:$H$18+$J$2:$J$18))</f>
        <v>-4.6809203402759181</v>
      </c>
    </row>
    <row r="205" spans="3:18" x14ac:dyDescent="0.35">
      <c r="C205">
        <v>-0.66555800000000009</v>
      </c>
      <c r="L205">
        <f t="shared" si="18"/>
        <v>204</v>
      </c>
      <c r="M205">
        <f t="shared" si="19"/>
        <v>1896.9166666666513</v>
      </c>
      <c r="N205">
        <f t="shared" si="15"/>
        <v>0</v>
      </c>
      <c r="O205">
        <f t="array" ref="O205">+SUM($F$2:$F$18*SIN(2*PI()*(M205)*$B$1/$E$2:$E$18+$G$2:$G$18))</f>
        <v>0.39801897310825796</v>
      </c>
      <c r="P205">
        <f t="shared" si="16"/>
        <v>0</v>
      </c>
      <c r="Q205">
        <f t="shared" si="17"/>
        <v>0.69002242881067222</v>
      </c>
      <c r="R205">
        <f t="array" ref="R205">+$B$2*SIN(Q205*$B$3+$B$4)+Q205+$B$9*SIN(PI()*M205+$B$10)+$B$11*SIN(2*PI()*M205+$B$12) + SUM($I$2:$I$18*SIN(2*PI()*M205*$H$2:$H$18+$J$2:$J$18))</f>
        <v>-5.0182306069699578</v>
      </c>
    </row>
    <row r="206" spans="3:18" x14ac:dyDescent="0.35">
      <c r="C206">
        <v>-0.56714599999999993</v>
      </c>
      <c r="L206">
        <f t="shared" si="18"/>
        <v>205</v>
      </c>
      <c r="M206">
        <f t="shared" si="19"/>
        <v>1896.9999999999845</v>
      </c>
      <c r="N206">
        <f t="shared" si="15"/>
        <v>200</v>
      </c>
      <c r="O206">
        <f t="array" ref="O206">+SUM($F$2:$F$18*SIN(2*PI()*(M206)*$B$1/$E$2:$E$18+$G$2:$G$18))</f>
        <v>-0.52666953406373163</v>
      </c>
      <c r="P206">
        <f t="shared" si="16"/>
        <v>-105.33390681274632</v>
      </c>
      <c r="Q206">
        <f t="shared" si="17"/>
        <v>0.4455756514291333</v>
      </c>
      <c r="R206">
        <f t="array" ref="R206">+$B$2*SIN(Q206*$B$3+$B$4)+Q206+$B$9*SIN(PI()*M206+$B$10)+$B$11*SIN(2*PI()*M206+$B$12) + SUM($I$2:$I$18*SIN(2*PI()*M206*$H$2:$H$18+$J$2:$J$18))</f>
        <v>5.8075101825012254</v>
      </c>
    </row>
    <row r="207" spans="3:18" x14ac:dyDescent="0.35">
      <c r="C207">
        <v>-0.66565799999999997</v>
      </c>
      <c r="L207">
        <f t="shared" si="18"/>
        <v>206</v>
      </c>
      <c r="M207">
        <f t="shared" si="19"/>
        <v>1897.0833333333178</v>
      </c>
      <c r="N207">
        <f t="shared" si="15"/>
        <v>0</v>
      </c>
      <c r="O207">
        <f t="array" ref="O207">+SUM($F$2:$F$18*SIN(2*PI()*(M207)*$B$1/$E$2:$E$18+$G$2:$G$18))</f>
        <v>-0.65530721301010808</v>
      </c>
      <c r="P207">
        <f t="shared" si="16"/>
        <v>0</v>
      </c>
      <c r="Q207">
        <f t="shared" si="17"/>
        <v>0.44454834058665943</v>
      </c>
      <c r="R207">
        <f t="array" ref="R207">+$B$2*SIN(Q207*$B$3+$B$4)+Q207+$B$9*SIN(PI()*M207+$B$10)+$B$11*SIN(2*PI()*M207+$B$12) + SUM($I$2:$I$18*SIN(2*PI()*M207*$H$2:$H$18+$J$2:$J$18))</f>
        <v>5.4400743903002651</v>
      </c>
    </row>
    <row r="208" spans="3:18" x14ac:dyDescent="0.35">
      <c r="C208">
        <v>-0.53955599999999992</v>
      </c>
      <c r="L208">
        <f t="shared" si="18"/>
        <v>207</v>
      </c>
      <c r="M208">
        <f t="shared" si="19"/>
        <v>1897.1666666666511</v>
      </c>
      <c r="N208">
        <f t="shared" si="15"/>
        <v>0</v>
      </c>
      <c r="O208">
        <f t="array" ref="O208">+SUM($F$2:$F$18*SIN(2*PI()*(M208)*$B$1/$E$2:$E$18+$G$2:$G$18))</f>
        <v>-0.92207137120973282</v>
      </c>
      <c r="P208">
        <f t="shared" si="16"/>
        <v>0</v>
      </c>
      <c r="Q208">
        <f t="shared" si="17"/>
        <v>0.44352339829274445</v>
      </c>
      <c r="R208">
        <f t="array" ref="R208">+$B$2*SIN(Q208*$B$3+$B$4)+Q208+$B$9*SIN(PI()*M208+$B$10)+$B$11*SIN(2*PI()*M208+$B$12) + SUM($I$2:$I$18*SIN(2*PI()*M208*$H$2:$H$18+$J$2:$J$18))</f>
        <v>5.1691182795302986</v>
      </c>
    </row>
    <row r="209" spans="3:18" x14ac:dyDescent="0.35">
      <c r="C209">
        <v>-0.72576200000000002</v>
      </c>
      <c r="L209">
        <f t="shared" si="18"/>
        <v>208</v>
      </c>
      <c r="M209">
        <f t="shared" si="19"/>
        <v>1897.2499999999843</v>
      </c>
      <c r="N209">
        <f t="shared" si="15"/>
        <v>0</v>
      </c>
      <c r="O209">
        <f t="array" ref="O209">+SUM($F$2:$F$18*SIN(2*PI()*(M209)*$B$1/$E$2:$E$18+$G$2:$G$18))</f>
        <v>-2.0409523081783671</v>
      </c>
      <c r="P209">
        <f t="shared" si="16"/>
        <v>0</v>
      </c>
      <c r="Q209">
        <f t="shared" si="17"/>
        <v>0.44250081908650735</v>
      </c>
      <c r="R209">
        <f t="array" ref="R209">+$B$2*SIN(Q209*$B$3+$B$4)+Q209+$B$9*SIN(PI()*M209+$B$10)+$B$11*SIN(2*PI()*M209+$B$12) + SUM($I$2:$I$18*SIN(2*PI()*M209*$H$2:$H$18+$J$2:$J$18))</f>
        <v>5.0823637657589185</v>
      </c>
    </row>
    <row r="210" spans="3:18" x14ac:dyDescent="0.35">
      <c r="C210">
        <v>-0.80273799999999995</v>
      </c>
      <c r="L210">
        <f t="shared" si="18"/>
        <v>209</v>
      </c>
      <c r="M210">
        <f t="shared" si="19"/>
        <v>1897.3333333333176</v>
      </c>
      <c r="N210">
        <f t="shared" si="15"/>
        <v>0</v>
      </c>
      <c r="O210">
        <f t="array" ref="O210">+SUM($F$2:$F$18*SIN(2*PI()*(M210)*$B$1/$E$2:$E$18+$G$2:$G$18))</f>
        <v>-1.8514197958695608</v>
      </c>
      <c r="P210">
        <f t="shared" si="16"/>
        <v>0</v>
      </c>
      <c r="Q210">
        <f t="shared" si="17"/>
        <v>0.44148059751965757</v>
      </c>
      <c r="R210">
        <f t="array" ref="R210">+$B$2*SIN(Q210*$B$3+$B$4)+Q210+$B$9*SIN(PI()*M210+$B$10)+$B$11*SIN(2*PI()*M210+$B$12) + SUM($I$2:$I$18*SIN(2*PI()*M210*$H$2:$H$18+$J$2:$J$18))</f>
        <v>5.2024063550882325</v>
      </c>
    </row>
    <row r="211" spans="3:18" x14ac:dyDescent="0.35">
      <c r="C211">
        <v>-0.7012560000000001</v>
      </c>
      <c r="L211">
        <f t="shared" si="18"/>
        <v>210</v>
      </c>
      <c r="M211">
        <f t="shared" si="19"/>
        <v>1897.4166666666508</v>
      </c>
      <c r="N211">
        <f t="shared" si="15"/>
        <v>0</v>
      </c>
      <c r="O211">
        <f t="array" ref="O211">+SUM($F$2:$F$18*SIN(2*PI()*(M211)*$B$1/$E$2:$E$18+$G$2:$G$18))</f>
        <v>4.2285711715090268E-2</v>
      </c>
      <c r="P211">
        <f t="shared" si="16"/>
        <v>0</v>
      </c>
      <c r="Q211">
        <f t="shared" si="17"/>
        <v>0.44046272815646614</v>
      </c>
      <c r="R211">
        <f t="array" ref="R211">+$B$2*SIN(Q211*$B$3+$B$4)+Q211+$B$9*SIN(PI()*M211+$B$10)+$B$11*SIN(2*PI()*M211+$B$12) + SUM($I$2:$I$18*SIN(2*PI()*M211*$H$2:$H$18+$J$2:$J$18))</f>
        <v>5.4802376006858484</v>
      </c>
    </row>
    <row r="212" spans="3:18" x14ac:dyDescent="0.35">
      <c r="C212">
        <v>-0.83823599999999998</v>
      </c>
      <c r="L212">
        <f t="shared" si="18"/>
        <v>211</v>
      </c>
      <c r="M212">
        <f t="shared" si="19"/>
        <v>1897.4999999999841</v>
      </c>
      <c r="N212">
        <f t="shared" si="15"/>
        <v>0</v>
      </c>
      <c r="O212">
        <f t="array" ref="O212">+SUM($F$2:$F$18*SIN(2*PI()*(M212)*$B$1/$E$2:$E$18+$G$2:$G$18))</f>
        <v>1.4540877576405442</v>
      </c>
      <c r="P212">
        <f t="shared" si="16"/>
        <v>0</v>
      </c>
      <c r="Q212">
        <f t="shared" si="17"/>
        <v>0.43944720557373651</v>
      </c>
      <c r="R212">
        <f t="array" ref="R212">+$B$2*SIN(Q212*$B$3+$B$4)+Q212+$B$9*SIN(PI()*M212+$B$10)+$B$11*SIN(2*PI()*M212+$B$12) + SUM($I$2:$I$18*SIN(2*PI()*M212*$H$2:$H$18+$J$2:$J$18))</f>
        <v>5.8087338513881788</v>
      </c>
    </row>
    <row r="213" spans="3:18" x14ac:dyDescent="0.35">
      <c r="C213">
        <v>-0.94136799999999998</v>
      </c>
      <c r="L213">
        <f t="shared" si="18"/>
        <v>212</v>
      </c>
      <c r="M213">
        <f t="shared" si="19"/>
        <v>1897.5833333333173</v>
      </c>
      <c r="N213">
        <f t="shared" si="15"/>
        <v>0</v>
      </c>
      <c r="O213">
        <f t="array" ref="O213">+SUM($F$2:$F$18*SIN(2*PI()*(M213)*$B$1/$E$2:$E$18+$G$2:$G$18))</f>
        <v>1.4948997028645441</v>
      </c>
      <c r="P213">
        <f t="shared" si="16"/>
        <v>0</v>
      </c>
      <c r="Q213">
        <f t="shared" si="17"/>
        <v>0.43843402436077578</v>
      </c>
      <c r="R213">
        <f t="array" ref="R213">+$B$2*SIN(Q213*$B$3+$B$4)+Q213+$B$9*SIN(PI()*M213+$B$10)+$B$11*SIN(2*PI()*M213+$B$12) + SUM($I$2:$I$18*SIN(2*PI()*M213*$H$2:$H$18+$J$2:$J$18))</f>
        <v>6.052454345425339</v>
      </c>
    </row>
    <row r="214" spans="3:18" x14ac:dyDescent="0.35">
      <c r="C214">
        <v>-0.75373599999999996</v>
      </c>
      <c r="L214">
        <f t="shared" si="18"/>
        <v>213</v>
      </c>
      <c r="M214">
        <f t="shared" si="19"/>
        <v>1897.6666666666506</v>
      </c>
      <c r="N214">
        <f t="shared" si="15"/>
        <v>0</v>
      </c>
      <c r="O214">
        <f t="array" ref="O214">+SUM($F$2:$F$18*SIN(2*PI()*(M214)*$B$1/$E$2:$E$18+$G$2:$G$18))</f>
        <v>0.36786978057935704</v>
      </c>
      <c r="P214">
        <f t="shared" si="16"/>
        <v>0</v>
      </c>
      <c r="Q214">
        <f t="shared" si="17"/>
        <v>0.43742317911936585</v>
      </c>
      <c r="R214">
        <f t="array" ref="R214">+$B$2*SIN(Q214*$B$3+$B$4)+Q214+$B$9*SIN(PI()*M214+$B$10)+$B$11*SIN(2*PI()*M214+$B$12) + SUM($I$2:$I$18*SIN(2*PI()*M214*$H$2:$H$18+$J$2:$J$18))</f>
        <v>6.0856851119550157</v>
      </c>
    </row>
    <row r="215" spans="3:18" x14ac:dyDescent="0.35">
      <c r="C215">
        <v>-0.34917999999999999</v>
      </c>
      <c r="L215">
        <f t="shared" si="18"/>
        <v>214</v>
      </c>
      <c r="M215">
        <f t="shared" si="19"/>
        <v>1897.7499999999839</v>
      </c>
      <c r="N215">
        <f t="shared" si="15"/>
        <v>0</v>
      </c>
      <c r="O215">
        <f t="array" ref="O215">+SUM($F$2:$F$18*SIN(2*PI()*(M215)*$B$1/$E$2:$E$18+$G$2:$G$18))</f>
        <v>-0.76724749416068516</v>
      </c>
      <c r="P215">
        <f t="shared" si="16"/>
        <v>0</v>
      </c>
      <c r="Q215">
        <f t="shared" si="17"/>
        <v>0.43641466446373461</v>
      </c>
      <c r="R215">
        <f t="array" ref="R215">+$B$2*SIN(Q215*$B$3+$B$4)+Q215+$B$9*SIN(PI()*M215+$B$10)+$B$11*SIN(2*PI()*M215+$B$12) + SUM($I$2:$I$18*SIN(2*PI()*M215*$H$2:$H$18+$J$2:$J$18))</f>
        <v>5.8284258112517859</v>
      </c>
    </row>
    <row r="216" spans="3:18" x14ac:dyDescent="0.35">
      <c r="C216">
        <v>8.3068000000000003E-2</v>
      </c>
      <c r="L216">
        <f t="shared" si="18"/>
        <v>215</v>
      </c>
      <c r="M216">
        <f t="shared" si="19"/>
        <v>1897.8333333333171</v>
      </c>
      <c r="N216">
        <f t="shared" si="15"/>
        <v>0</v>
      </c>
      <c r="O216">
        <f t="array" ref="O216">+SUM($F$2:$F$18*SIN(2*PI()*(M216)*$B$1/$E$2:$E$18+$G$2:$G$18))</f>
        <v>-0.69576630767886305</v>
      </c>
      <c r="P216">
        <f t="shared" si="16"/>
        <v>0</v>
      </c>
      <c r="Q216">
        <f t="shared" si="17"/>
        <v>0.43540847502052737</v>
      </c>
      <c r="R216">
        <f t="array" ref="R216">+$B$2*SIN(Q216*$B$3+$B$4)+Q216+$B$9*SIN(PI()*M216+$B$10)+$B$11*SIN(2*PI()*M216+$B$12) + SUM($I$2:$I$18*SIN(2*PI()*M216*$H$2:$H$18+$J$2:$J$18))</f>
        <v>5.2705460326263509</v>
      </c>
    </row>
    <row r="217" spans="3:18" x14ac:dyDescent="0.35">
      <c r="C217">
        <v>0.20146600000000001</v>
      </c>
      <c r="L217">
        <f t="shared" si="18"/>
        <v>216</v>
      </c>
      <c r="M217">
        <f t="shared" si="19"/>
        <v>1897.9166666666504</v>
      </c>
      <c r="N217">
        <f t="shared" si="15"/>
        <v>0</v>
      </c>
      <c r="O217">
        <f t="array" ref="O217">+SUM($F$2:$F$18*SIN(2*PI()*(M217)*$B$1/$E$2:$E$18+$G$2:$G$18))</f>
        <v>-0.70662610273053228</v>
      </c>
      <c r="P217">
        <f t="shared" si="16"/>
        <v>0</v>
      </c>
      <c r="Q217">
        <f t="shared" si="17"/>
        <v>0.43440460542877807</v>
      </c>
      <c r="R217">
        <f t="array" ref="R217">+$B$2*SIN(Q217*$B$3+$B$4)+Q217+$B$9*SIN(PI()*M217+$B$10)+$B$11*SIN(2*PI()*M217+$B$12) + SUM($I$2:$I$18*SIN(2*PI()*M217*$H$2:$H$18+$J$2:$J$18))</f>
        <v>4.4774946208913882</v>
      </c>
    </row>
    <row r="218" spans="3:18" x14ac:dyDescent="0.35">
      <c r="C218">
        <v>0.176788</v>
      </c>
      <c r="L218">
        <f t="shared" si="18"/>
        <v>217</v>
      </c>
      <c r="M218">
        <f t="shared" si="19"/>
        <v>1897.9999999999836</v>
      </c>
      <c r="N218">
        <f t="shared" si="15"/>
        <v>200</v>
      </c>
      <c r="O218">
        <f t="array" ref="O218">+SUM($F$2:$F$18*SIN(2*PI()*(M218)*$B$1/$E$2:$E$18+$G$2:$G$18))</f>
        <v>-1.328315742838025</v>
      </c>
      <c r="P218">
        <f t="shared" si="16"/>
        <v>-265.66314856760499</v>
      </c>
      <c r="Q218">
        <f t="shared" si="17"/>
        <v>-0.17910490895701014</v>
      </c>
      <c r="R218">
        <f t="array" ref="R218">+$B$2*SIN(Q218*$B$3+$B$4)+Q218+$B$9*SIN(PI()*M218+$B$10)+$B$11*SIN(2*PI()*M218+$B$12) + SUM($I$2:$I$18*SIN(2*PI()*M218*$H$2:$H$18+$J$2:$J$18))</f>
        <v>-2.8182794074200035</v>
      </c>
    </row>
    <row r="219" spans="3:18" x14ac:dyDescent="0.35">
      <c r="C219">
        <v>0.12903399999999998</v>
      </c>
      <c r="L219">
        <f t="shared" si="18"/>
        <v>218</v>
      </c>
      <c r="M219">
        <f t="shared" si="19"/>
        <v>1898.0833333333169</v>
      </c>
      <c r="N219">
        <f t="shared" si="15"/>
        <v>0</v>
      </c>
      <c r="O219">
        <f t="array" ref="O219">+SUM($F$2:$F$18*SIN(2*PI()*(M219)*$B$1/$E$2:$E$18+$G$2:$G$18))</f>
        <v>-0.63779524372560625</v>
      </c>
      <c r="P219">
        <f t="shared" si="16"/>
        <v>0</v>
      </c>
      <c r="Q219">
        <f t="shared" si="17"/>
        <v>-0.1786919680471519</v>
      </c>
      <c r="R219">
        <f t="array" ref="R219">+$B$2*SIN(Q219*$B$3+$B$4)+Q219+$B$9*SIN(PI()*M219+$B$10)+$B$11*SIN(2*PI()*M219+$B$12) + SUM($I$2:$I$18*SIN(2*PI()*M219*$H$2:$H$18+$J$2:$J$18))</f>
        <v>-3.7972071481126592</v>
      </c>
    </row>
    <row r="220" spans="3:18" x14ac:dyDescent="0.35">
      <c r="C220">
        <v>0.42281199999999997</v>
      </c>
      <c r="L220">
        <f t="shared" si="18"/>
        <v>219</v>
      </c>
      <c r="M220">
        <f t="shared" si="19"/>
        <v>1898.1666666666501</v>
      </c>
      <c r="N220">
        <f t="shared" si="15"/>
        <v>0</v>
      </c>
      <c r="O220">
        <f t="array" ref="O220">+SUM($F$2:$F$18*SIN(2*PI()*(M220)*$B$1/$E$2:$E$18+$G$2:$G$18))</f>
        <v>1.1741081957771073</v>
      </c>
      <c r="P220">
        <f t="shared" si="16"/>
        <v>0</v>
      </c>
      <c r="Q220">
        <f t="shared" si="17"/>
        <v>-0.17827997920608968</v>
      </c>
      <c r="R220">
        <f t="array" ref="R220">+$B$2*SIN(Q220*$B$3+$B$4)+Q220+$B$9*SIN(PI()*M220+$B$10)+$B$11*SIN(2*PI()*M220+$B$12) + SUM($I$2:$I$18*SIN(2*PI()*M220*$H$2:$H$18+$J$2:$J$18))</f>
        <v>-4.578900123735953</v>
      </c>
    </row>
    <row r="221" spans="3:18" x14ac:dyDescent="0.35">
      <c r="C221">
        <v>0.34582400000000002</v>
      </c>
      <c r="L221">
        <f t="shared" si="18"/>
        <v>220</v>
      </c>
      <c r="M221">
        <f t="shared" si="19"/>
        <v>1898.2499999999834</v>
      </c>
      <c r="N221">
        <f t="shared" si="15"/>
        <v>0</v>
      </c>
      <c r="O221">
        <f t="array" ref="O221">+SUM($F$2:$F$18*SIN(2*PI()*(M221)*$B$1/$E$2:$E$18+$G$2:$G$18))</f>
        <v>2.259847905895878</v>
      </c>
      <c r="P221">
        <f t="shared" si="16"/>
        <v>0</v>
      </c>
      <c r="Q221">
        <f t="shared" si="17"/>
        <v>-0.17786894023875158</v>
      </c>
      <c r="R221">
        <f t="array" ref="R221">+$B$2*SIN(Q221*$B$3+$B$4)+Q221+$B$9*SIN(PI()*M221+$B$10)+$B$11*SIN(2*PI()*M221+$B$12) + SUM($I$2:$I$18*SIN(2*PI()*M221*$H$2:$H$18+$J$2:$J$18))</f>
        <v>-5.060920089686233</v>
      </c>
    </row>
    <row r="222" spans="3:18" x14ac:dyDescent="0.35">
      <c r="C222">
        <v>0.53806399999999999</v>
      </c>
      <c r="L222">
        <f t="shared" si="18"/>
        <v>221</v>
      </c>
      <c r="M222">
        <f t="shared" si="19"/>
        <v>1898.3333333333167</v>
      </c>
      <c r="N222">
        <f t="shared" si="15"/>
        <v>0</v>
      </c>
      <c r="O222">
        <f t="array" ref="O222">+SUM($F$2:$F$18*SIN(2*PI()*(M222)*$B$1/$E$2:$E$18+$G$2:$G$18))</f>
        <v>1.9614266179500144</v>
      </c>
      <c r="P222">
        <f t="shared" si="16"/>
        <v>0</v>
      </c>
      <c r="Q222">
        <f t="shared" si="17"/>
        <v>-0.17745884895512662</v>
      </c>
      <c r="R222">
        <f t="array" ref="R222">+$B$2*SIN(Q222*$B$3+$B$4)+Q222+$B$9*SIN(PI()*M222+$B$10)+$B$11*SIN(2*PI()*M222+$B$12) + SUM($I$2:$I$18*SIN(2*PI()*M222*$H$2:$H$18+$J$2:$J$18))</f>
        <v>-5.2117011692586104</v>
      </c>
    </row>
    <row r="223" spans="3:18" x14ac:dyDescent="0.35">
      <c r="C223">
        <v>0.52722599999999997</v>
      </c>
      <c r="L223">
        <f t="shared" si="18"/>
        <v>222</v>
      </c>
      <c r="M223">
        <f t="shared" si="19"/>
        <v>1898.4166666666499</v>
      </c>
      <c r="N223">
        <f t="shared" si="15"/>
        <v>0</v>
      </c>
      <c r="O223">
        <f t="array" ref="O223">+SUM($F$2:$F$18*SIN(2*PI()*(M223)*$B$1/$E$2:$E$18+$G$2:$G$18))</f>
        <v>0.34493256915726977</v>
      </c>
      <c r="P223">
        <f t="shared" si="16"/>
        <v>0</v>
      </c>
      <c r="Q223">
        <f t="shared" si="17"/>
        <v>-0.17704970317025304</v>
      </c>
      <c r="R223">
        <f t="array" ref="R223">+$B$2*SIN(Q223*$B$3+$B$4)+Q223+$B$9*SIN(PI()*M223+$B$10)+$B$11*SIN(2*PI()*M223+$B$12) + SUM($I$2:$I$18*SIN(2*PI()*M223*$H$2:$H$18+$J$2:$J$18))</f>
        <v>-5.0770846286938989</v>
      </c>
    </row>
    <row r="224" spans="3:18" x14ac:dyDescent="0.35">
      <c r="C224">
        <v>0.36100199999999999</v>
      </c>
      <c r="L224">
        <f t="shared" si="18"/>
        <v>223</v>
      </c>
      <c r="M224">
        <f t="shared" si="19"/>
        <v>1898.4999999999832</v>
      </c>
      <c r="N224">
        <f t="shared" si="15"/>
        <v>0</v>
      </c>
      <c r="O224">
        <f t="array" ref="O224">+SUM($F$2:$F$18*SIN(2*PI()*(M224)*$B$1/$E$2:$E$18+$G$2:$G$18))</f>
        <v>-0.97217999747444517</v>
      </c>
      <c r="P224">
        <f t="shared" si="16"/>
        <v>0</v>
      </c>
      <c r="Q224">
        <f t="shared" si="17"/>
        <v>-0.1766415007042067</v>
      </c>
      <c r="R224">
        <f t="array" ref="R224">+$B$2*SIN(Q224*$B$3+$B$4)+Q224+$B$9*SIN(PI()*M224+$B$10)+$B$11*SIN(2*PI()*M224+$B$12) + SUM($I$2:$I$18*SIN(2*PI()*M224*$H$2:$H$18+$J$2:$J$18))</f>
        <v>-4.7665782906700134</v>
      </c>
    </row>
    <row r="225" spans="3:18" x14ac:dyDescent="0.35">
      <c r="C225">
        <v>0.59785600000000005</v>
      </c>
      <c r="L225">
        <f t="shared" si="18"/>
        <v>224</v>
      </c>
      <c r="M225">
        <f t="shared" si="19"/>
        <v>1898.5833333333164</v>
      </c>
      <c r="N225">
        <f t="shared" si="15"/>
        <v>0</v>
      </c>
      <c r="O225">
        <f t="array" ref="O225">+SUM($F$2:$F$18*SIN(2*PI()*(M225)*$B$1/$E$2:$E$18+$G$2:$G$18))</f>
        <v>-0.61771063760177636</v>
      </c>
      <c r="P225">
        <f t="shared" si="16"/>
        <v>0</v>
      </c>
      <c r="Q225">
        <f t="shared" si="17"/>
        <v>-0.17623423938208946</v>
      </c>
      <c r="R225">
        <f t="array" ref="R225">+$B$2*SIN(Q225*$B$3+$B$4)+Q225+$B$9*SIN(PI()*M225+$B$10)+$B$11*SIN(2*PI()*M225+$B$12) + SUM($I$2:$I$18*SIN(2*PI()*M225*$H$2:$H$18+$J$2:$J$18))</f>
        <v>-4.4230442814132793</v>
      </c>
    </row>
    <row r="226" spans="3:18" x14ac:dyDescent="0.35">
      <c r="C226">
        <v>0.93162800000000001</v>
      </c>
      <c r="L226">
        <f t="shared" si="18"/>
        <v>225</v>
      </c>
      <c r="M226">
        <f t="shared" si="19"/>
        <v>1898.6666666666497</v>
      </c>
      <c r="N226">
        <f t="shared" si="15"/>
        <v>0</v>
      </c>
      <c r="O226">
        <f t="array" ref="O226">+SUM($F$2:$F$18*SIN(2*PI()*(M226)*$B$1/$E$2:$E$18+$G$2:$G$18))</f>
        <v>-0.17780832655209444</v>
      </c>
      <c r="P226">
        <f t="shared" si="16"/>
        <v>0</v>
      </c>
      <c r="Q226">
        <f t="shared" si="17"/>
        <v>-0.17582791703401757</v>
      </c>
      <c r="R226">
        <f t="array" ref="R226">+$B$2*SIN(Q226*$B$3+$B$4)+Q226+$B$9*SIN(PI()*M226+$B$10)+$B$11*SIN(2*PI()*M226+$B$12) + SUM($I$2:$I$18*SIN(2*PI()*M226*$H$2:$H$18+$J$2:$J$18))</f>
        <v>-4.1839395143673652</v>
      </c>
    </row>
    <row r="227" spans="3:18" x14ac:dyDescent="0.35">
      <c r="C227">
        <v>1.0700180000000001</v>
      </c>
      <c r="L227">
        <f t="shared" si="18"/>
        <v>226</v>
      </c>
      <c r="M227">
        <f t="shared" si="19"/>
        <v>1898.7499999999829</v>
      </c>
      <c r="N227">
        <f t="shared" si="15"/>
        <v>0</v>
      </c>
      <c r="O227">
        <f t="array" ref="O227">+SUM($F$2:$F$18*SIN(2*PI()*(M227)*$B$1/$E$2:$E$18+$G$2:$G$18))</f>
        <v>-0.32145892775539031</v>
      </c>
      <c r="P227">
        <f t="shared" si="16"/>
        <v>0</v>
      </c>
      <c r="Q227">
        <f t="shared" si="17"/>
        <v>-0.17542253149511011</v>
      </c>
      <c r="R227">
        <f t="array" ref="R227">+$B$2*SIN(Q227*$B$3+$B$4)+Q227+$B$9*SIN(PI()*M227+$B$10)+$B$11*SIN(2*PI()*M227+$B$12) + SUM($I$2:$I$18*SIN(2*PI()*M227*$H$2:$H$18+$J$2:$J$18))</f>
        <v>-4.1444806882616607</v>
      </c>
    </row>
    <row r="228" spans="3:18" x14ac:dyDescent="0.35">
      <c r="C228">
        <v>0.84686600000000001</v>
      </c>
      <c r="L228">
        <f t="shared" si="18"/>
        <v>227</v>
      </c>
      <c r="M228">
        <f t="shared" si="19"/>
        <v>1898.8333333333162</v>
      </c>
      <c r="N228">
        <f t="shared" si="15"/>
        <v>0</v>
      </c>
      <c r="O228">
        <f t="array" ref="O228">+SUM($F$2:$F$18*SIN(2*PI()*(M228)*$B$1/$E$2:$E$18+$G$2:$G$18))</f>
        <v>0.36779045592364085</v>
      </c>
      <c r="P228">
        <f t="shared" si="16"/>
        <v>0</v>
      </c>
      <c r="Q228">
        <f t="shared" si="17"/>
        <v>-0.17501808060547752</v>
      </c>
      <c r="R228">
        <f t="array" ref="R228">+$B$2*SIN(Q228*$B$3+$B$4)+Q228+$B$9*SIN(PI()*M228+$B$10)+$B$11*SIN(2*PI()*M228+$B$12) + SUM($I$2:$I$18*SIN(2*PI()*M228*$H$2:$H$18+$J$2:$J$18))</f>
        <v>-4.3325777754332773</v>
      </c>
    </row>
    <row r="229" spans="3:18" x14ac:dyDescent="0.35">
      <c r="C229">
        <v>0.75756000000000001</v>
      </c>
      <c r="L229">
        <f t="shared" si="18"/>
        <v>228</v>
      </c>
      <c r="M229">
        <f t="shared" si="19"/>
        <v>1898.9166666666495</v>
      </c>
      <c r="N229">
        <f t="shared" si="15"/>
        <v>0</v>
      </c>
      <c r="O229">
        <f t="array" ref="O229">+SUM($F$2:$F$18*SIN(2*PI()*(M229)*$B$1/$E$2:$E$18+$G$2:$G$18))</f>
        <v>1.6458705761367232</v>
      </c>
      <c r="P229">
        <f t="shared" si="16"/>
        <v>0</v>
      </c>
      <c r="Q229">
        <f t="shared" si="17"/>
        <v>-0.17461456221020999</v>
      </c>
      <c r="R229">
        <f t="array" ref="R229">+$B$2*SIN(Q229*$B$3+$B$4)+Q229+$B$9*SIN(PI()*M229+$B$10)+$B$11*SIN(2*PI()*M229+$B$12) + SUM($I$2:$I$18*SIN(2*PI()*M229*$H$2:$H$18+$J$2:$J$18))</f>
        <v>-4.7022182765123581</v>
      </c>
    </row>
    <row r="230" spans="3:18" x14ac:dyDescent="0.35">
      <c r="C230">
        <v>0.82363799999999998</v>
      </c>
      <c r="L230">
        <f t="shared" si="18"/>
        <v>229</v>
      </c>
      <c r="M230">
        <f t="shared" si="19"/>
        <v>1898.9999999999827</v>
      </c>
      <c r="N230">
        <f t="shared" si="15"/>
        <v>200</v>
      </c>
      <c r="O230">
        <f t="array" ref="O230">+SUM($F$2:$F$18*SIN(2*PI()*(M230)*$B$1/$E$2:$E$18+$G$2:$G$18))</f>
        <v>2.4220630625564228</v>
      </c>
      <c r="P230">
        <f t="shared" si="16"/>
        <v>484.41261251128458</v>
      </c>
      <c r="Q230">
        <f t="shared" si="17"/>
        <v>0.94264063542060994</v>
      </c>
      <c r="R230">
        <f t="array" ref="R230">+$B$2*SIN(Q230*$B$3+$B$4)+Q230+$B$9*SIN(PI()*M230+$B$10)+$B$11*SIN(2*PI()*M230+$B$12) + SUM($I$2:$I$18*SIN(2*PI()*M230*$H$2:$H$18+$J$2:$J$18))</f>
        <v>8.3658827565506648</v>
      </c>
    </row>
    <row r="231" spans="3:18" x14ac:dyDescent="0.35">
      <c r="C231">
        <v>1.0389459999999999</v>
      </c>
      <c r="L231">
        <f t="shared" si="18"/>
        <v>230</v>
      </c>
      <c r="M231">
        <f t="shared" si="19"/>
        <v>1899.083333333316</v>
      </c>
      <c r="N231">
        <f t="shared" si="15"/>
        <v>0</v>
      </c>
      <c r="O231">
        <f t="array" ref="O231">+SUM($F$2:$F$18*SIN(2*PI()*(M231)*$B$1/$E$2:$E$18+$G$2:$G$18))</f>
        <v>1.9610746525264218</v>
      </c>
      <c r="P231">
        <f t="shared" si="16"/>
        <v>0</v>
      </c>
      <c r="Q231">
        <f t="shared" si="17"/>
        <v>0.94046730089881092</v>
      </c>
      <c r="R231">
        <f t="array" ref="R231">+$B$2*SIN(Q231*$B$3+$B$4)+Q231+$B$9*SIN(PI()*M231+$B$10)+$B$11*SIN(2*PI()*M231+$B$12) + SUM($I$2:$I$18*SIN(2*PI()*M231*$H$2:$H$18+$J$2:$J$18))</f>
        <v>7.9498892779583965</v>
      </c>
    </row>
    <row r="232" spans="3:18" x14ac:dyDescent="0.35">
      <c r="C232">
        <v>1.115788</v>
      </c>
      <c r="L232">
        <f t="shared" si="18"/>
        <v>231</v>
      </c>
      <c r="M232">
        <f t="shared" si="19"/>
        <v>1899.1666666666492</v>
      </c>
      <c r="N232">
        <f t="shared" si="15"/>
        <v>0</v>
      </c>
      <c r="O232">
        <f t="array" ref="O232">+SUM($F$2:$F$18*SIN(2*PI()*(M232)*$B$1/$E$2:$E$18+$G$2:$G$18))</f>
        <v>-1.1551418613720443E-2</v>
      </c>
      <c r="P232">
        <f t="shared" si="16"/>
        <v>0</v>
      </c>
      <c r="Q232">
        <f t="shared" si="17"/>
        <v>0.9382989771762138</v>
      </c>
      <c r="R232">
        <f t="array" ref="R232">+$B$2*SIN(Q232*$B$3+$B$4)+Q232+$B$9*SIN(PI()*M232+$B$10)+$B$11*SIN(2*PI()*M232+$B$12) + SUM($I$2:$I$18*SIN(2*PI()*M232*$H$2:$H$18+$J$2:$J$18))</f>
        <v>7.7199231532888763</v>
      </c>
    </row>
    <row r="233" spans="3:18" x14ac:dyDescent="0.35">
      <c r="C233">
        <v>1.0818620000000001</v>
      </c>
      <c r="L233">
        <f t="shared" si="18"/>
        <v>232</v>
      </c>
      <c r="M233">
        <f t="shared" si="19"/>
        <v>1899.2499999999825</v>
      </c>
      <c r="N233">
        <f t="shared" si="15"/>
        <v>0</v>
      </c>
      <c r="O233">
        <f t="array" ref="O233">+SUM($F$2:$F$18*SIN(2*PI()*(M233)*$B$1/$E$2:$E$18+$G$2:$G$18))</f>
        <v>-1.4029711867716386</v>
      </c>
      <c r="P233">
        <f t="shared" si="16"/>
        <v>0</v>
      </c>
      <c r="Q233">
        <f t="shared" si="17"/>
        <v>0.93613565270001409</v>
      </c>
      <c r="R233">
        <f t="array" ref="R233">+$B$2*SIN(Q233*$B$3+$B$4)+Q233+$B$9*SIN(PI()*M233+$B$10)+$B$11*SIN(2*PI()*M233+$B$12) + SUM($I$2:$I$18*SIN(2*PI()*M233*$H$2:$H$18+$J$2:$J$18))</f>
        <v>7.7597604287694733</v>
      </c>
    </row>
    <row r="234" spans="3:18" x14ac:dyDescent="0.35">
      <c r="C234">
        <v>1.1556279999999999</v>
      </c>
      <c r="L234">
        <f t="shared" si="18"/>
        <v>233</v>
      </c>
      <c r="M234">
        <f t="shared" si="19"/>
        <v>1899.3333333333157</v>
      </c>
      <c r="N234">
        <f t="shared" si="15"/>
        <v>0</v>
      </c>
      <c r="O234">
        <f t="array" ref="O234">+SUM($F$2:$F$18*SIN(2*PI()*(M234)*$B$1/$E$2:$E$18+$G$2:$G$18))</f>
        <v>-0.70226032743403277</v>
      </c>
      <c r="P234">
        <f t="shared" si="16"/>
        <v>0</v>
      </c>
      <c r="Q234">
        <f t="shared" si="17"/>
        <v>0.93397731594404343</v>
      </c>
      <c r="R234">
        <f t="array" ref="R234">+$B$2*SIN(Q234*$B$3+$B$4)+Q234+$B$9*SIN(PI()*M234+$B$10)+$B$11*SIN(2*PI()*M234+$B$12) + SUM($I$2:$I$18*SIN(2*PI()*M234*$H$2:$H$18+$J$2:$J$18))</f>
        <v>8.0837100458034836</v>
      </c>
    </row>
    <row r="235" spans="3:18" x14ac:dyDescent="0.35">
      <c r="C235">
        <v>1.106314</v>
      </c>
      <c r="L235">
        <f t="shared" si="18"/>
        <v>234</v>
      </c>
      <c r="M235">
        <f t="shared" si="19"/>
        <v>1899.416666666649</v>
      </c>
      <c r="N235">
        <f t="shared" si="15"/>
        <v>0</v>
      </c>
      <c r="O235">
        <f t="array" ref="O235">+SUM($F$2:$F$18*SIN(2*PI()*(M235)*$B$1/$E$2:$E$18+$G$2:$G$18))</f>
        <v>0.21493840149567217</v>
      </c>
      <c r="P235">
        <f t="shared" si="16"/>
        <v>0</v>
      </c>
      <c r="Q235">
        <f t="shared" si="17"/>
        <v>0.93182395540870788</v>
      </c>
      <c r="R235">
        <f t="array" ref="R235">+$B$2*SIN(Q235*$B$3+$B$4)+Q235+$B$9*SIN(PI()*M235+$B$10)+$B$11*SIN(2*PI()*M235+$B$12) + SUM($I$2:$I$18*SIN(2*PI()*M235*$H$2:$H$18+$J$2:$J$18))</f>
        <v>8.6303383115069394</v>
      </c>
    </row>
    <row r="236" spans="3:18" x14ac:dyDescent="0.35">
      <c r="C236">
        <v>1.3785400000000001</v>
      </c>
      <c r="L236">
        <f t="shared" si="18"/>
        <v>235</v>
      </c>
      <c r="M236">
        <f t="shared" si="19"/>
        <v>1899.4999999999823</v>
      </c>
      <c r="N236">
        <f t="shared" si="15"/>
        <v>0</v>
      </c>
      <c r="O236">
        <f t="array" ref="O236">+SUM($F$2:$F$18*SIN(2*PI()*(M236)*$B$1/$E$2:$E$18+$G$2:$G$18))</f>
        <v>0.35985092520644685</v>
      </c>
      <c r="P236">
        <f t="shared" si="16"/>
        <v>0</v>
      </c>
      <c r="Q236">
        <f t="shared" si="17"/>
        <v>0.92967555962092663</v>
      </c>
      <c r="R236">
        <f t="array" ref="R236">+$B$2*SIN(Q236*$B$3+$B$4)+Q236+$B$9*SIN(PI()*M236+$B$10)+$B$11*SIN(2*PI()*M236+$B$12) + SUM($I$2:$I$18*SIN(2*PI()*M236*$H$2:$H$18+$J$2:$J$18))</f>
        <v>9.2763972265497312</v>
      </c>
    </row>
    <row r="237" spans="3:18" x14ac:dyDescent="0.35">
      <c r="C237">
        <v>1.7799940000000001</v>
      </c>
      <c r="L237">
        <f t="shared" si="18"/>
        <v>236</v>
      </c>
      <c r="M237">
        <f t="shared" si="19"/>
        <v>1899.5833333333155</v>
      </c>
      <c r="N237">
        <f t="shared" si="15"/>
        <v>0</v>
      </c>
      <c r="O237">
        <f t="array" ref="O237">+SUM($F$2:$F$18*SIN(2*PI()*(M237)*$B$1/$E$2:$E$18+$G$2:$G$18))</f>
        <v>0.65757263297383428</v>
      </c>
      <c r="P237">
        <f t="shared" si="16"/>
        <v>0</v>
      </c>
      <c r="Q237">
        <f t="shared" si="17"/>
        <v>0.92753211713407113</v>
      </c>
      <c r="R237">
        <f t="array" ref="R237">+$B$2*SIN(Q237*$B$3+$B$4)+Q237+$B$9*SIN(PI()*M237+$B$10)+$B$11*SIN(2*PI()*M237+$B$12) + SUM($I$2:$I$18*SIN(2*PI()*M237*$H$2:$H$18+$J$2:$J$18))</f>
        <v>9.8672880769926774</v>
      </c>
    </row>
    <row r="238" spans="3:18" x14ac:dyDescent="0.35">
      <c r="C238">
        <v>1.6522139999999998</v>
      </c>
      <c r="L238">
        <f t="shared" si="18"/>
        <v>237</v>
      </c>
      <c r="M238">
        <f t="shared" si="19"/>
        <v>1899.6666666666488</v>
      </c>
      <c r="N238">
        <f t="shared" si="15"/>
        <v>0</v>
      </c>
      <c r="O238">
        <f t="array" ref="O238">+SUM($F$2:$F$18*SIN(2*PI()*(M238)*$B$1/$E$2:$E$18+$G$2:$G$18))</f>
        <v>1.2550552365784275</v>
      </c>
      <c r="P238">
        <f t="shared" si="16"/>
        <v>0</v>
      </c>
      <c r="Q238">
        <f t="shared" si="17"/>
        <v>0.92539361652790386</v>
      </c>
      <c r="R238">
        <f t="array" ref="R238">+$B$2*SIN(Q238*$B$3+$B$4)+Q238+$B$9*SIN(PI()*M238+$B$10)+$B$11*SIN(2*PI()*M238+$B$12) + SUM($I$2:$I$18*SIN(2*PI()*M238*$H$2:$H$18+$J$2:$J$18))</f>
        <v>10.255969626535315</v>
      </c>
    </row>
    <row r="239" spans="3:18" x14ac:dyDescent="0.35">
      <c r="C239">
        <v>1.2967439999999999</v>
      </c>
      <c r="L239">
        <f t="shared" si="18"/>
        <v>238</v>
      </c>
      <c r="M239">
        <f t="shared" si="19"/>
        <v>1899.749999999982</v>
      </c>
      <c r="N239">
        <f t="shared" si="15"/>
        <v>0</v>
      </c>
      <c r="O239">
        <f t="array" ref="O239">+SUM($F$2:$F$18*SIN(2*PI()*(M239)*$B$1/$E$2:$E$18+$G$2:$G$18))</f>
        <v>1.8542001992941008</v>
      </c>
      <c r="P239">
        <f t="shared" si="16"/>
        <v>0</v>
      </c>
      <c r="Q239">
        <f t="shared" si="17"/>
        <v>0.92326004640851778</v>
      </c>
      <c r="R239">
        <f t="array" ref="R239">+$B$2*SIN(Q239*$B$3+$B$4)+Q239+$B$9*SIN(PI()*M239+$B$10)+$B$11*SIN(2*PI()*M239+$B$12) + SUM($I$2:$I$18*SIN(2*PI()*M239*$H$2:$H$18+$J$2:$J$18))</f>
        <v>10.339966429424797</v>
      </c>
    </row>
    <row r="240" spans="3:18" x14ac:dyDescent="0.35">
      <c r="C240">
        <v>1.11358</v>
      </c>
      <c r="L240">
        <f t="shared" si="18"/>
        <v>239</v>
      </c>
      <c r="M240">
        <f t="shared" si="19"/>
        <v>1899.8333333333153</v>
      </c>
      <c r="N240">
        <f t="shared" si="15"/>
        <v>0</v>
      </c>
      <c r="O240">
        <f t="array" ref="O240">+SUM($F$2:$F$18*SIN(2*PI()*(M240)*$B$1/$E$2:$E$18+$G$2:$G$18))</f>
        <v>1.3837740685254383</v>
      </c>
      <c r="P240">
        <f t="shared" si="16"/>
        <v>0</v>
      </c>
      <c r="Q240">
        <f t="shared" si="17"/>
        <v>0.92113139540827516</v>
      </c>
      <c r="R240">
        <f t="array" ref="R240">+$B$2*SIN(Q240*$B$3+$B$4)+Q240+$B$9*SIN(PI()*M240+$B$10)+$B$11*SIN(2*PI()*M240+$B$12) + SUM($I$2:$I$18*SIN(2*PI()*M240*$H$2:$H$18+$J$2:$J$18))</f>
        <v>10.086649914158341</v>
      </c>
    </row>
    <row r="241" spans="3:18" x14ac:dyDescent="0.35">
      <c r="C241">
        <v>0.83041200000000004</v>
      </c>
      <c r="L241">
        <f t="shared" si="18"/>
        <v>240</v>
      </c>
      <c r="M241">
        <f t="shared" si="19"/>
        <v>1899.9166666666486</v>
      </c>
      <c r="N241">
        <f t="shared" si="15"/>
        <v>0</v>
      </c>
      <c r="O241">
        <f t="array" ref="O241">+SUM($F$2:$F$18*SIN(2*PI()*(M241)*$B$1/$E$2:$E$18+$G$2:$G$18))</f>
        <v>-0.70201443376577921</v>
      </c>
      <c r="P241">
        <f t="shared" si="16"/>
        <v>0</v>
      </c>
      <c r="Q241">
        <f t="shared" si="17"/>
        <v>0.91900765218574743</v>
      </c>
      <c r="R241">
        <f t="array" ref="R241">+$B$2*SIN(Q241*$B$3+$B$4)+Q241+$B$9*SIN(PI()*M241+$B$10)+$B$11*SIN(2*PI()*M241+$B$12) + SUM($I$2:$I$18*SIN(2*PI()*M241*$H$2:$H$18+$J$2:$J$18))</f>
        <v>9.5401129995572358</v>
      </c>
    </row>
    <row r="242" spans="3:18" x14ac:dyDescent="0.35">
      <c r="C242">
        <v>0.78417000000000003</v>
      </c>
      <c r="L242">
        <f t="shared" si="18"/>
        <v>241</v>
      </c>
      <c r="M242">
        <f t="shared" si="19"/>
        <v>1899.9999999999818</v>
      </c>
      <c r="N242">
        <f t="shared" si="15"/>
        <v>200</v>
      </c>
      <c r="O242">
        <f t="array" ref="O242">+SUM($F$2:$F$18*SIN(2*PI()*(M242)*$B$1/$E$2:$E$18+$G$2:$G$18))</f>
        <v>-1.9260699419333476</v>
      </c>
      <c r="P242">
        <f t="shared" si="16"/>
        <v>-385.21398838666954</v>
      </c>
      <c r="Q242">
        <f t="shared" si="17"/>
        <v>2.8746678105755041E-2</v>
      </c>
      <c r="R242">
        <f t="array" ref="R242">+$B$2*SIN(Q242*$B$3+$B$4)+Q242+$B$9*SIN(PI()*M242+$B$10)+$B$11*SIN(2*PI()*M242+$B$12) + SUM($I$2:$I$18*SIN(2*PI()*M242*$H$2:$H$18+$J$2:$J$18))</f>
        <v>-9.1839825002265183</v>
      </c>
    </row>
    <row r="243" spans="3:18" x14ac:dyDescent="0.35">
      <c r="C243">
        <v>0.70561800000000008</v>
      </c>
      <c r="L243">
        <f t="shared" si="18"/>
        <v>242</v>
      </c>
      <c r="M243">
        <f t="shared" si="19"/>
        <v>1900.0833333333151</v>
      </c>
      <c r="N243">
        <f t="shared" si="15"/>
        <v>0</v>
      </c>
      <c r="O243">
        <f t="array" ref="O243">+SUM($F$2:$F$18*SIN(2*PI()*(M243)*$B$1/$E$2:$E$18+$G$2:$G$18))</f>
        <v>-0.8901212299973752</v>
      </c>
      <c r="P243">
        <f t="shared" si="16"/>
        <v>0</v>
      </c>
      <c r="Q243">
        <f t="shared" si="17"/>
        <v>2.8680400305322214E-2</v>
      </c>
      <c r="R243">
        <f t="array" ref="R243">+$B$2*SIN(Q243*$B$3+$B$4)+Q243+$B$9*SIN(PI()*M243+$B$10)+$B$11*SIN(2*PI()*M243+$B$12) + SUM($I$2:$I$18*SIN(2*PI()*M243*$H$2:$H$18+$J$2:$J$18))</f>
        <v>-9.8539294012153231</v>
      </c>
    </row>
    <row r="244" spans="3:18" x14ac:dyDescent="0.35">
      <c r="C244">
        <v>0.63936999999999999</v>
      </c>
      <c r="L244">
        <f t="shared" si="18"/>
        <v>243</v>
      </c>
      <c r="M244">
        <f t="shared" si="19"/>
        <v>1900.1666666666483</v>
      </c>
      <c r="N244">
        <f t="shared" si="15"/>
        <v>0</v>
      </c>
      <c r="O244">
        <f t="array" ref="O244">+SUM($F$2:$F$18*SIN(2*PI()*(M244)*$B$1/$E$2:$E$18+$G$2:$G$18))</f>
        <v>0.30531737583578944</v>
      </c>
      <c r="P244">
        <f t="shared" si="16"/>
        <v>0</v>
      </c>
      <c r="Q244">
        <f t="shared" si="17"/>
        <v>2.8614275313739647E-2</v>
      </c>
      <c r="R244">
        <f t="array" ref="R244">+$B$2*SIN(Q244*$B$3+$B$4)+Q244+$B$9*SIN(PI()*M244+$B$10)+$B$11*SIN(2*PI()*M244+$B$12) + SUM($I$2:$I$18*SIN(2*PI()*M244*$H$2:$H$18+$J$2:$J$18))</f>
        <v>-10.428639724957485</v>
      </c>
    </row>
    <row r="245" spans="3:18" x14ac:dyDescent="0.35">
      <c r="C245">
        <v>0.67004599999999992</v>
      </c>
      <c r="L245">
        <f t="shared" si="18"/>
        <v>244</v>
      </c>
      <c r="M245">
        <f t="shared" si="19"/>
        <v>1900.2499999999816</v>
      </c>
      <c r="N245">
        <f t="shared" si="15"/>
        <v>0</v>
      </c>
      <c r="O245">
        <f t="array" ref="O245">+SUM($F$2:$F$18*SIN(2*PI()*(M245)*$B$1/$E$2:$E$18+$G$2:$G$18))</f>
        <v>0.50091575357346685</v>
      </c>
      <c r="P245">
        <f t="shared" si="16"/>
        <v>0</v>
      </c>
      <c r="Q245">
        <f t="shared" si="17"/>
        <v>2.8548302778694131E-2</v>
      </c>
      <c r="R245">
        <f t="array" ref="R245">+$B$2*SIN(Q245*$B$3+$B$4)+Q245+$B$9*SIN(PI()*M245+$B$10)+$B$11*SIN(2*PI()*M245+$B$12) + SUM($I$2:$I$18*SIN(2*PI()*M245*$H$2:$H$18+$J$2:$J$18))</f>
        <v>-10.812403108489576</v>
      </c>
    </row>
    <row r="246" spans="3:18" x14ac:dyDescent="0.35">
      <c r="C246">
        <v>0.50995199999999996</v>
      </c>
      <c r="L246">
        <f t="shared" si="18"/>
        <v>245</v>
      </c>
      <c r="M246">
        <f t="shared" si="19"/>
        <v>1900.3333333333148</v>
      </c>
      <c r="N246">
        <f t="shared" si="15"/>
        <v>0</v>
      </c>
      <c r="O246">
        <f t="array" ref="O246">+SUM($F$2:$F$18*SIN(2*PI()*(M246)*$B$1/$E$2:$E$18+$G$2:$G$18))</f>
        <v>0.32965222266848643</v>
      </c>
      <c r="P246">
        <f t="shared" si="16"/>
        <v>0</v>
      </c>
      <c r="Q246">
        <f t="shared" si="17"/>
        <v>2.8482482348684744E-2</v>
      </c>
      <c r="R246">
        <f t="array" ref="R246">+$B$2*SIN(Q246*$B$3+$B$4)+Q246+$B$9*SIN(PI()*M246+$B$10)+$B$11*SIN(2*PI()*M246+$B$12) + SUM($I$2:$I$18*SIN(2*PI()*M246*$H$2:$H$18+$J$2:$J$18))</f>
        <v>-10.975075191376288</v>
      </c>
    </row>
    <row r="247" spans="3:18" x14ac:dyDescent="0.35">
      <c r="C247">
        <v>0.48985599999999996</v>
      </c>
      <c r="L247">
        <f t="shared" si="18"/>
        <v>246</v>
      </c>
      <c r="M247">
        <f t="shared" si="19"/>
        <v>1900.4166666666481</v>
      </c>
      <c r="N247">
        <f t="shared" si="15"/>
        <v>0</v>
      </c>
      <c r="O247">
        <f t="array" ref="O247">+SUM($F$2:$F$18*SIN(2*PI()*(M247)*$B$1/$E$2:$E$18+$G$2:$G$18))</f>
        <v>0.41609645083385205</v>
      </c>
      <c r="P247">
        <f t="shared" si="16"/>
        <v>0</v>
      </c>
      <c r="Q247">
        <f t="shared" si="17"/>
        <v>2.8416813673020971E-2</v>
      </c>
      <c r="R247">
        <f t="array" ref="R247">+$B$2*SIN(Q247*$B$3+$B$4)+Q247+$B$9*SIN(PI()*M247+$B$10)+$B$11*SIN(2*PI()*M247+$B$12) + SUM($I$2:$I$18*SIN(2*PI()*M247*$H$2:$H$18+$J$2:$J$18))</f>
        <v>-10.958466010074869</v>
      </c>
    </row>
    <row r="248" spans="3:18" x14ac:dyDescent="0.35">
      <c r="C248">
        <v>0.35899000000000003</v>
      </c>
      <c r="L248">
        <f t="shared" si="18"/>
        <v>247</v>
      </c>
      <c r="M248">
        <f t="shared" si="19"/>
        <v>1900.4999999999814</v>
      </c>
      <c r="N248">
        <f t="shared" si="15"/>
        <v>0</v>
      </c>
      <c r="O248">
        <f t="array" ref="O248">+SUM($F$2:$F$18*SIN(2*PI()*(M248)*$B$1/$E$2:$E$18+$G$2:$G$18))</f>
        <v>0.94644110424905081</v>
      </c>
      <c r="P248">
        <f t="shared" si="16"/>
        <v>0</v>
      </c>
      <c r="Q248">
        <f t="shared" si="17"/>
        <v>2.8351296401820849E-2</v>
      </c>
      <c r="R248">
        <f t="array" ref="R248">+$B$2*SIN(Q248*$B$3+$B$4)+Q248+$B$9*SIN(PI()*M248+$B$10)+$B$11*SIN(2*PI()*M248+$B$12) + SUM($I$2:$I$18*SIN(2*PI()*M248*$H$2:$H$18+$J$2:$J$18))</f>
        <v>-10.86273607374855</v>
      </c>
    </row>
    <row r="249" spans="3:18" x14ac:dyDescent="0.35">
      <c r="C249">
        <v>3.5079999999999998E-3</v>
      </c>
      <c r="L249">
        <f t="shared" si="18"/>
        <v>248</v>
      </c>
      <c r="M249">
        <f t="shared" si="19"/>
        <v>1900.5833333333146</v>
      </c>
      <c r="N249">
        <f t="shared" si="15"/>
        <v>0</v>
      </c>
      <c r="O249">
        <f t="array" ref="O249">+SUM($F$2:$F$18*SIN(2*PI()*(M249)*$B$1/$E$2:$E$18+$G$2:$G$18))</f>
        <v>0.52244058626868717</v>
      </c>
      <c r="P249">
        <f t="shared" si="16"/>
        <v>0</v>
      </c>
      <c r="Q249">
        <f t="shared" si="17"/>
        <v>2.8285930186009094E-2</v>
      </c>
      <c r="R249">
        <f t="array" ref="R249">+$B$2*SIN(Q249*$B$3+$B$4)+Q249+$B$9*SIN(PI()*M249+$B$10)+$B$11*SIN(2*PI()*M249+$B$12) + SUM($I$2:$I$18*SIN(2*PI()*M249*$H$2:$H$18+$J$2:$J$18))</f>
        <v>-10.816492640931003</v>
      </c>
    </row>
    <row r="250" spans="3:18" x14ac:dyDescent="0.35">
      <c r="C250">
        <v>-0.456592</v>
      </c>
      <c r="L250">
        <f t="shared" si="18"/>
        <v>249</v>
      </c>
      <c r="M250">
        <f t="shared" si="19"/>
        <v>1900.6666666666479</v>
      </c>
      <c r="N250">
        <f t="shared" si="15"/>
        <v>0</v>
      </c>
      <c r="O250">
        <f t="array" ref="O250">+SUM($F$2:$F$18*SIN(2*PI()*(M250)*$B$1/$E$2:$E$18+$G$2:$G$18))</f>
        <v>-1.350640771532259</v>
      </c>
      <c r="P250">
        <f t="shared" si="16"/>
        <v>0</v>
      </c>
      <c r="Q250">
        <f t="shared" si="17"/>
        <v>2.8220714677315243E-2</v>
      </c>
      <c r="R250">
        <f t="array" ref="R250">+$B$2*SIN(Q250*$B$3+$B$4)+Q250+$B$9*SIN(PI()*M250+$B$10)+$B$11*SIN(2*PI()*M250+$B$12) + SUM($I$2:$I$18*SIN(2*PI()*M250*$H$2:$H$18+$J$2:$J$18))</f>
        <v>-10.938682622138941</v>
      </c>
    </row>
    <row r="251" spans="3:18" x14ac:dyDescent="0.35">
      <c r="C251">
        <v>-0.352078</v>
      </c>
      <c r="L251">
        <f t="shared" si="18"/>
        <v>250</v>
      </c>
      <c r="M251">
        <f t="shared" si="19"/>
        <v>1900.7499999999811</v>
      </c>
      <c r="N251">
        <f t="shared" si="15"/>
        <v>0</v>
      </c>
      <c r="O251">
        <f t="array" ref="O251">+SUM($F$2:$F$18*SIN(2*PI()*(M251)*$B$1/$E$2:$E$18+$G$2:$G$18))</f>
        <v>-2.1127378135813903</v>
      </c>
      <c r="P251">
        <f t="shared" si="16"/>
        <v>0</v>
      </c>
      <c r="Q251">
        <f t="shared" si="17"/>
        <v>2.8155649528271796E-2</v>
      </c>
      <c r="R251">
        <f t="array" ref="R251">+$B$2*SIN(Q251*$B$3+$B$4)+Q251+$B$9*SIN(PI()*M251+$B$10)+$B$11*SIN(2*PI()*M251+$B$12) + SUM($I$2:$I$18*SIN(2*PI()*M251*$H$2:$H$18+$J$2:$J$18))</f>
        <v>-11.302611527172971</v>
      </c>
    </row>
    <row r="252" spans="3:18" x14ac:dyDescent="0.35">
      <c r="C252">
        <v>-0.39217799999999997</v>
      </c>
      <c r="L252">
        <f t="shared" si="18"/>
        <v>251</v>
      </c>
      <c r="M252">
        <f t="shared" si="19"/>
        <v>1900.8333333333144</v>
      </c>
      <c r="N252">
        <f t="shared" si="15"/>
        <v>0</v>
      </c>
      <c r="O252">
        <f t="array" ref="O252">+SUM($F$2:$F$18*SIN(2*PI()*(M252)*$B$1/$E$2:$E$18+$G$2:$G$18))</f>
        <v>-0.89134396304502017</v>
      </c>
      <c r="P252">
        <f t="shared" si="16"/>
        <v>0</v>
      </c>
      <c r="Q252">
        <f t="shared" si="17"/>
        <v>2.8090734392212373E-2</v>
      </c>
      <c r="R252">
        <f t="array" ref="R252">+$B$2*SIN(Q252*$B$3+$B$4)+Q252+$B$9*SIN(PI()*M252+$B$10)+$B$11*SIN(2*PI()*M252+$B$12) + SUM($I$2:$I$18*SIN(2*PI()*M252*$H$2:$H$18+$J$2:$J$18))</f>
        <v>-11.911879169212854</v>
      </c>
    </row>
    <row r="253" spans="3:18" x14ac:dyDescent="0.35">
      <c r="C253">
        <v>-0.50612800000000002</v>
      </c>
      <c r="L253">
        <f t="shared" si="18"/>
        <v>252</v>
      </c>
      <c r="M253">
        <f t="shared" si="19"/>
        <v>1900.9166666666476</v>
      </c>
      <c r="N253">
        <f t="shared" si="15"/>
        <v>0</v>
      </c>
      <c r="O253">
        <f t="array" ref="O253">+SUM($F$2:$F$18*SIN(2*PI()*(M253)*$B$1/$E$2:$E$18+$G$2:$G$18))</f>
        <v>0.21775364979672179</v>
      </c>
      <c r="P253">
        <f t="shared" si="16"/>
        <v>0</v>
      </c>
      <c r="Q253">
        <f t="shared" si="17"/>
        <v>2.8025968923269862E-2</v>
      </c>
      <c r="R253">
        <f t="array" ref="R253">+$B$2*SIN(Q253*$B$3+$B$4)+Q253+$B$9*SIN(PI()*M253+$B$10)+$B$11*SIN(2*PI()*M253+$B$12) + SUM($I$2:$I$18*SIN(2*PI()*M253*$H$2:$H$18+$J$2:$J$18))</f>
        <v>-12.694854447356487</v>
      </c>
    </row>
    <row r="254" spans="3:18" x14ac:dyDescent="0.35">
      <c r="C254">
        <v>-0.53853799999999996</v>
      </c>
      <c r="L254">
        <f t="shared" si="18"/>
        <v>253</v>
      </c>
      <c r="M254">
        <f t="shared" si="19"/>
        <v>1900.9999999999809</v>
      </c>
      <c r="N254">
        <f t="shared" si="15"/>
        <v>200</v>
      </c>
      <c r="O254">
        <f t="array" ref="O254">+SUM($F$2:$F$18*SIN(2*PI()*(M254)*$B$1/$E$2:$E$18+$G$2:$G$18))</f>
        <v>0.30267077653898866</v>
      </c>
      <c r="P254">
        <f t="shared" si="16"/>
        <v>60.534155307797732</v>
      </c>
      <c r="Q254">
        <f t="shared" si="17"/>
        <v>0.16752776285340062</v>
      </c>
      <c r="R254">
        <f t="array" ref="R254">+$B$2*SIN(Q254*$B$3+$B$4)+Q254+$B$9*SIN(PI()*M254+$B$10)+$B$11*SIN(2*PI()*M254+$B$12) + SUM($I$2:$I$18*SIN(2*PI()*M254*$H$2:$H$18+$J$2:$J$18))</f>
        <v>-1.7376912664724586</v>
      </c>
    </row>
    <row r="255" spans="3:18" x14ac:dyDescent="0.35">
      <c r="C255">
        <v>-0.64787400000000006</v>
      </c>
      <c r="L255">
        <f t="shared" si="18"/>
        <v>254</v>
      </c>
      <c r="M255">
        <f t="shared" si="19"/>
        <v>1901.0833333333142</v>
      </c>
      <c r="N255">
        <f t="shared" si="15"/>
        <v>0</v>
      </c>
      <c r="O255">
        <f t="array" ref="O255">+SUM($F$2:$F$18*SIN(2*PI()*(M255)*$B$1/$E$2:$E$18+$G$2:$G$18))</f>
        <v>-0.11307513664758156</v>
      </c>
      <c r="P255">
        <f t="shared" si="16"/>
        <v>0</v>
      </c>
      <c r="Q255">
        <f t="shared" si="17"/>
        <v>0.16714151399387994</v>
      </c>
      <c r="R255">
        <f t="array" ref="R255">+$B$2*SIN(Q255*$B$3+$B$4)+Q255+$B$9*SIN(PI()*M255+$B$10)+$B$11*SIN(2*PI()*M255+$B$12) + SUM($I$2:$I$18*SIN(2*PI()*M255*$H$2:$H$18+$J$2:$J$18))</f>
        <v>-2.4740342139930123</v>
      </c>
    </row>
    <row r="256" spans="3:18" x14ac:dyDescent="0.35">
      <c r="C256">
        <v>-0.67567400000000011</v>
      </c>
      <c r="L256">
        <f t="shared" si="18"/>
        <v>255</v>
      </c>
      <c r="M256">
        <f t="shared" si="19"/>
        <v>1901.1666666666474</v>
      </c>
      <c r="N256">
        <f t="shared" si="15"/>
        <v>0</v>
      </c>
      <c r="O256">
        <f t="array" ref="O256">+SUM($F$2:$F$18*SIN(2*PI()*(M256)*$B$1/$E$2:$E$18+$G$2:$G$18))</f>
        <v>-0.22385809956711877</v>
      </c>
      <c r="P256">
        <f t="shared" si="16"/>
        <v>0</v>
      </c>
      <c r="Q256">
        <f t="shared" si="17"/>
        <v>0.16675615566246602</v>
      </c>
      <c r="R256">
        <f t="array" ref="R256">+$B$2*SIN(Q256*$B$3+$B$4)+Q256+$B$9*SIN(PI()*M256+$B$10)+$B$11*SIN(2*PI()*M256+$B$12) + SUM($I$2:$I$18*SIN(2*PI()*M256*$H$2:$H$18+$J$2:$J$18))</f>
        <v>-2.9388351864449103</v>
      </c>
    </row>
    <row r="257" spans="3:18" x14ac:dyDescent="0.35">
      <c r="C257">
        <v>-0.75731800000000005</v>
      </c>
      <c r="L257">
        <f t="shared" si="18"/>
        <v>256</v>
      </c>
      <c r="M257">
        <f t="shared" si="19"/>
        <v>1901.2499999999807</v>
      </c>
      <c r="N257">
        <f t="shared" si="15"/>
        <v>0</v>
      </c>
      <c r="O257">
        <f t="array" ref="O257">+SUM($F$2:$F$18*SIN(2*PI()*(M257)*$B$1/$E$2:$E$18+$G$2:$G$18))</f>
        <v>0.21547915344264801</v>
      </c>
      <c r="P257">
        <f t="shared" si="16"/>
        <v>0</v>
      </c>
      <c r="Q257">
        <f t="shared" si="17"/>
        <v>0.16637168580597397</v>
      </c>
      <c r="R257">
        <f t="array" ref="R257">+$B$2*SIN(Q257*$B$3+$B$4)+Q257+$B$9*SIN(PI()*M257+$B$10)+$B$11*SIN(2*PI()*M257+$B$12) + SUM($I$2:$I$18*SIN(2*PI()*M257*$H$2:$H$18+$J$2:$J$18))</f>
        <v>-3.0280979553155358</v>
      </c>
    </row>
    <row r="258" spans="3:18" x14ac:dyDescent="0.35">
      <c r="C258">
        <v>-0.84511799999999992</v>
      </c>
      <c r="L258">
        <f t="shared" si="18"/>
        <v>257</v>
      </c>
      <c r="M258">
        <f t="shared" si="19"/>
        <v>1901.3333333333139</v>
      </c>
      <c r="N258">
        <f t="shared" ref="N258:N321" si="20">+IF(MOD(L258,$B$5)=1, $B$6, 0)</f>
        <v>0</v>
      </c>
      <c r="O258">
        <f t="array" ref="O258">+SUM($F$2:$F$18*SIN(2*PI()*(M258)*$B$1/$E$2:$E$18+$G$2:$G$18))</f>
        <v>-0.20435251013500003</v>
      </c>
      <c r="P258">
        <f t="shared" si="16"/>
        <v>0</v>
      </c>
      <c r="Q258">
        <f t="shared" si="17"/>
        <v>0.16598810237595274</v>
      </c>
      <c r="R258">
        <f t="array" ref="R258">+$B$2*SIN(Q258*$B$3+$B$4)+Q258+$B$9*SIN(PI()*M258+$B$10)+$B$11*SIN(2*PI()*M258+$B$12) + SUM($I$2:$I$18*SIN(2*PI()*M258*$H$2:$H$18+$J$2:$J$18))</f>
        <v>-2.7107551836892587</v>
      </c>
    </row>
    <row r="259" spans="3:18" x14ac:dyDescent="0.35">
      <c r="C259">
        <v>-1.011382</v>
      </c>
      <c r="L259">
        <f t="shared" si="18"/>
        <v>258</v>
      </c>
      <c r="M259">
        <f t="shared" si="19"/>
        <v>1901.4166666666472</v>
      </c>
      <c r="N259">
        <f t="shared" si="20"/>
        <v>0</v>
      </c>
      <c r="O259">
        <f t="array" ref="O259">+SUM($F$2:$F$18*SIN(2*PI()*(M259)*$B$1/$E$2:$E$18+$G$2:$G$18))</f>
        <v>-1.5532498448335708</v>
      </c>
      <c r="P259">
        <f t="shared" ref="P259:P322" si="21">+N259*O259</f>
        <v>0</v>
      </c>
      <c r="Q259">
        <f t="shared" ref="Q259:Q322" si="22">+(1-$B$7)*Q258+($B$7)*P259</f>
        <v>0.16560540332867413</v>
      </c>
      <c r="R259">
        <f t="array" ref="R259">+$B$2*SIN(Q259*$B$3+$B$4)+Q259+$B$9*SIN(PI()*M259+$B$10)+$B$11*SIN(2*PI()*M259+$B$12) + SUM($I$2:$I$18*SIN(2*PI()*M259*$H$2:$H$18+$J$2:$J$18))</f>
        <v>-2.0354701958050296</v>
      </c>
    </row>
    <row r="260" spans="3:18" x14ac:dyDescent="0.35">
      <c r="C260">
        <v>-1.1499540000000001</v>
      </c>
      <c r="L260">
        <f t="shared" ref="L260:L323" si="23">+L259+1</f>
        <v>259</v>
      </c>
      <c r="M260">
        <f t="shared" ref="M260:M323" si="24">+M259+1/12</f>
        <v>1901.4999999999804</v>
      </c>
      <c r="N260">
        <f t="shared" si="20"/>
        <v>0</v>
      </c>
      <c r="O260">
        <f t="array" ref="O260">+SUM($F$2:$F$18*SIN(2*PI()*(M260)*$B$1/$E$2:$E$18+$G$2:$G$18))</f>
        <v>-1.6683730721038581</v>
      </c>
      <c r="P260">
        <f t="shared" si="21"/>
        <v>0</v>
      </c>
      <c r="Q260">
        <f t="shared" si="22"/>
        <v>0.1652235866251219</v>
      </c>
      <c r="R260">
        <f t="array" ref="R260">+$B$2*SIN(Q260*$B$3+$B$4)+Q260+$B$9*SIN(PI()*M260+$B$10)+$B$11*SIN(2*PI()*M260+$B$12) + SUM($I$2:$I$18*SIN(2*PI()*M260*$H$2:$H$18+$J$2:$J$18))</f>
        <v>-1.1170506484944949</v>
      </c>
    </row>
    <row r="261" spans="3:18" x14ac:dyDescent="0.35">
      <c r="C261">
        <v>-1.002372</v>
      </c>
      <c r="L261">
        <f t="shared" si="23"/>
        <v>260</v>
      </c>
      <c r="M261">
        <f t="shared" si="24"/>
        <v>1901.5833333333137</v>
      </c>
      <c r="N261">
        <f t="shared" si="20"/>
        <v>0</v>
      </c>
      <c r="O261">
        <f t="array" ref="O261">+SUM($F$2:$F$18*SIN(2*PI()*(M261)*$B$1/$E$2:$E$18+$G$2:$G$18))</f>
        <v>-0.54540559937555821</v>
      </c>
      <c r="P261">
        <f t="shared" si="21"/>
        <v>0</v>
      </c>
      <c r="Q261">
        <f t="shared" si="22"/>
        <v>0.16484265023098099</v>
      </c>
      <c r="R261">
        <f t="array" ref="R261">+$B$2*SIN(Q261*$B$3+$B$4)+Q261+$B$9*SIN(PI()*M261+$B$10)+$B$11*SIN(2*PI()*M261+$B$12) + SUM($I$2:$I$18*SIN(2*PI()*M261*$H$2:$H$18+$J$2:$J$18))</f>
        <v>-0.10614959343791108</v>
      </c>
    </row>
    <row r="262" spans="3:18" x14ac:dyDescent="0.35">
      <c r="C262">
        <v>-0.81633200000000006</v>
      </c>
      <c r="L262">
        <f t="shared" si="23"/>
        <v>261</v>
      </c>
      <c r="M262">
        <f t="shared" si="24"/>
        <v>1901.666666666647</v>
      </c>
      <c r="N262">
        <f t="shared" si="20"/>
        <v>0</v>
      </c>
      <c r="O262">
        <f t="array" ref="O262">+SUM($F$2:$F$18*SIN(2*PI()*(M262)*$B$1/$E$2:$E$18+$G$2:$G$18))</f>
        <v>0.1149880512974345</v>
      </c>
      <c r="P262">
        <f t="shared" si="21"/>
        <v>0</v>
      </c>
      <c r="Q262">
        <f t="shared" si="22"/>
        <v>0.16446259211662653</v>
      </c>
      <c r="R262">
        <f t="array" ref="R262">+$B$2*SIN(Q262*$B$3+$B$4)+Q262+$B$9*SIN(PI()*M262+$B$10)+$B$11*SIN(2*PI()*M262+$B$12) + SUM($I$2:$I$18*SIN(2*PI()*M262*$H$2:$H$18+$J$2:$J$18))</f>
        <v>0.84963882726048245</v>
      </c>
    </row>
    <row r="263" spans="3:18" x14ac:dyDescent="0.35">
      <c r="C263">
        <v>-0.68721399999999999</v>
      </c>
      <c r="L263">
        <f t="shared" si="23"/>
        <v>262</v>
      </c>
      <c r="M263">
        <f t="shared" si="24"/>
        <v>1901.7499999999802</v>
      </c>
      <c r="N263">
        <f t="shared" si="20"/>
        <v>0</v>
      </c>
      <c r="O263">
        <f t="array" ref="O263">+SUM($F$2:$F$18*SIN(2*PI()*(M263)*$B$1/$E$2:$E$18+$G$2:$G$18))</f>
        <v>6.9347144563062069E-2</v>
      </c>
      <c r="P263">
        <f t="shared" si="21"/>
        <v>0</v>
      </c>
      <c r="Q263">
        <f t="shared" si="22"/>
        <v>0.1640834102571132</v>
      </c>
      <c r="R263">
        <f t="array" ref="R263">+$B$2*SIN(Q263*$B$3+$B$4)+Q263+$B$9*SIN(PI()*M263+$B$10)+$B$11*SIN(2*PI()*M263+$B$12) + SUM($I$2:$I$18*SIN(2*PI()*M263*$H$2:$H$18+$J$2:$J$18))</f>
        <v>1.6429211509532713</v>
      </c>
    </row>
    <row r="264" spans="3:18" x14ac:dyDescent="0.35">
      <c r="C264">
        <v>-0.75040600000000002</v>
      </c>
      <c r="L264">
        <f t="shared" si="23"/>
        <v>263</v>
      </c>
      <c r="M264">
        <f t="shared" si="24"/>
        <v>1901.8333333333135</v>
      </c>
      <c r="N264">
        <f t="shared" si="20"/>
        <v>0</v>
      </c>
      <c r="O264">
        <f t="array" ref="O264">+SUM($F$2:$F$18*SIN(2*PI()*(M264)*$B$1/$E$2:$E$18+$G$2:$G$18))</f>
        <v>-0.25133921147296967</v>
      </c>
      <c r="P264">
        <f t="shared" si="21"/>
        <v>0</v>
      </c>
      <c r="Q264">
        <f t="shared" si="22"/>
        <v>0.16370510263216428</v>
      </c>
      <c r="R264">
        <f t="array" ref="R264">+$B$2*SIN(Q264*$B$3+$B$4)+Q264+$B$9*SIN(PI()*M264+$B$10)+$B$11*SIN(2*PI()*M264+$B$12) + SUM($I$2:$I$18*SIN(2*PI()*M264*$H$2:$H$18+$J$2:$J$18))</f>
        <v>2.232029395001593</v>
      </c>
    </row>
    <row r="265" spans="3:18" x14ac:dyDescent="0.35">
      <c r="C265">
        <v>-0.76129199999999997</v>
      </c>
      <c r="L265">
        <f t="shared" si="23"/>
        <v>264</v>
      </c>
      <c r="M265">
        <f t="shared" si="24"/>
        <v>1901.9166666666467</v>
      </c>
      <c r="N265">
        <f t="shared" si="20"/>
        <v>0</v>
      </c>
      <c r="O265">
        <f t="array" ref="O265">+SUM($F$2:$F$18*SIN(2*PI()*(M265)*$B$1/$E$2:$E$18+$G$2:$G$18))</f>
        <v>-0.31751804964030395</v>
      </c>
      <c r="P265">
        <f t="shared" si="21"/>
        <v>0</v>
      </c>
      <c r="Q265">
        <f t="shared" si="22"/>
        <v>0.16332766722616104</v>
      </c>
      <c r="R265">
        <f t="array" ref="R265">+$B$2*SIN(Q265*$B$3+$B$4)+Q265+$B$9*SIN(PI()*M265+$B$10)+$B$11*SIN(2*PI()*M265+$B$12) + SUM($I$2:$I$18*SIN(2*PI()*M265*$H$2:$H$18+$J$2:$J$18))</f>
        <v>2.6482220723261216</v>
      </c>
    </row>
    <row r="266" spans="3:18" x14ac:dyDescent="0.35">
      <c r="C266">
        <v>-0.67986999999999997</v>
      </c>
      <c r="L266">
        <f t="shared" si="23"/>
        <v>265</v>
      </c>
      <c r="M266">
        <f t="shared" si="24"/>
        <v>1901.99999999998</v>
      </c>
      <c r="N266">
        <f t="shared" si="20"/>
        <v>200</v>
      </c>
      <c r="O266">
        <f t="array" ref="O266">+SUM($F$2:$F$18*SIN(2*PI()*(M266)*$B$1/$E$2:$E$18+$G$2:$G$18))</f>
        <v>-0.11143844980920342</v>
      </c>
      <c r="P266">
        <f t="shared" si="21"/>
        <v>-22.287689961840684</v>
      </c>
      <c r="Q266">
        <f t="shared" si="22"/>
        <v>0.11156502319268174</v>
      </c>
      <c r="R266">
        <f t="array" ref="R266">+$B$2*SIN(Q266*$B$3+$B$4)+Q266+$B$9*SIN(PI()*M266+$B$10)+$B$11*SIN(2*PI()*M266+$B$12) + SUM($I$2:$I$18*SIN(2*PI()*M266*$H$2:$H$18+$J$2:$J$18))</f>
        <v>-1.8991972515102464</v>
      </c>
    </row>
    <row r="267" spans="3:18" x14ac:dyDescent="0.35">
      <c r="C267">
        <v>-0.45844999999999997</v>
      </c>
      <c r="L267">
        <f t="shared" si="23"/>
        <v>266</v>
      </c>
      <c r="M267">
        <f t="shared" si="24"/>
        <v>1902.0833333333132</v>
      </c>
      <c r="N267">
        <f t="shared" si="20"/>
        <v>0</v>
      </c>
      <c r="O267">
        <f t="array" ref="O267">+SUM($F$2:$F$18*SIN(2*PI()*(M267)*$B$1/$E$2:$E$18+$G$2:$G$18))</f>
        <v>-0.59936263068010931</v>
      </c>
      <c r="P267">
        <f t="shared" si="21"/>
        <v>0</v>
      </c>
      <c r="Q267">
        <f t="shared" si="22"/>
        <v>0.11130780097329188</v>
      </c>
      <c r="R267">
        <f t="array" ref="R267">+$B$2*SIN(Q267*$B$3+$B$4)+Q267+$B$9*SIN(PI()*M267+$B$10)+$B$11*SIN(2*PI()*M267+$B$12) + SUM($I$2:$I$18*SIN(2*PI()*M267*$H$2:$H$18+$J$2:$J$18))</f>
        <v>-1.5136541778956896</v>
      </c>
    </row>
    <row r="268" spans="3:18" x14ac:dyDescent="0.35">
      <c r="C268">
        <v>-0.25241800000000003</v>
      </c>
      <c r="L268">
        <f t="shared" si="23"/>
        <v>267</v>
      </c>
      <c r="M268">
        <f t="shared" si="24"/>
        <v>1902.1666666666465</v>
      </c>
      <c r="N268">
        <f t="shared" si="20"/>
        <v>0</v>
      </c>
      <c r="O268">
        <f t="array" ref="O268">+SUM($F$2:$F$18*SIN(2*PI()*(M268)*$B$1/$E$2:$E$18+$G$2:$G$18))</f>
        <v>-1.2425836520442932</v>
      </c>
      <c r="P268">
        <f t="shared" si="21"/>
        <v>0</v>
      </c>
      <c r="Q268">
        <f t="shared" si="22"/>
        <v>0.11105117180061373</v>
      </c>
      <c r="R268">
        <f t="array" ref="R268">+$B$2*SIN(Q268*$B$3+$B$4)+Q268+$B$9*SIN(PI()*M268+$B$10)+$B$11*SIN(2*PI()*M268+$B$12) + SUM($I$2:$I$18*SIN(2*PI()*M268*$H$2:$H$18+$J$2:$J$18))</f>
        <v>-0.97286909244648956</v>
      </c>
    </row>
    <row r="269" spans="3:18" x14ac:dyDescent="0.35">
      <c r="C269">
        <v>-1.4076E-2</v>
      </c>
      <c r="L269">
        <f t="shared" si="23"/>
        <v>268</v>
      </c>
      <c r="M269">
        <f t="shared" si="24"/>
        <v>1902.2499999999798</v>
      </c>
      <c r="N269">
        <f t="shared" si="20"/>
        <v>0</v>
      </c>
      <c r="O269">
        <f t="array" ref="O269">+SUM($F$2:$F$18*SIN(2*PI()*(M269)*$B$1/$E$2:$E$18+$G$2:$G$18))</f>
        <v>-0.75426576294087067</v>
      </c>
      <c r="P269">
        <f t="shared" si="21"/>
        <v>0</v>
      </c>
      <c r="Q269">
        <f t="shared" si="22"/>
        <v>0.11079513430732997</v>
      </c>
      <c r="R269">
        <f t="array" ref="R269">+$B$2*SIN(Q269*$B$3+$B$4)+Q269+$B$9*SIN(PI()*M269+$B$10)+$B$11*SIN(2*PI()*M269+$B$12) + SUM($I$2:$I$18*SIN(2*PI()*M269*$H$2:$H$18+$J$2:$J$18))</f>
        <v>-0.20494225446414571</v>
      </c>
    </row>
    <row r="270" spans="3:18" x14ac:dyDescent="0.35">
      <c r="C270">
        <v>9.5033999999999993E-2</v>
      </c>
      <c r="L270">
        <f t="shared" si="23"/>
        <v>269</v>
      </c>
      <c r="M270">
        <f t="shared" si="24"/>
        <v>1902.333333333313</v>
      </c>
      <c r="N270">
        <f t="shared" si="20"/>
        <v>0</v>
      </c>
      <c r="O270">
        <f t="array" ref="O270">+SUM($F$2:$F$18*SIN(2*PI()*(M270)*$B$1/$E$2:$E$18+$G$2:$G$18))</f>
        <v>-3.3062155699426832E-2</v>
      </c>
      <c r="P270">
        <f t="shared" si="21"/>
        <v>0</v>
      </c>
      <c r="Q270">
        <f t="shared" si="22"/>
        <v>0.1105396871292757</v>
      </c>
      <c r="R270">
        <f t="array" ref="R270">+$B$2*SIN(Q270*$B$3+$B$4)+Q270+$B$9*SIN(PI()*M270+$B$10)+$B$11*SIN(2*PI()*M270+$B$12) + SUM($I$2:$I$18*SIN(2*PI()*M270*$H$2:$H$18+$J$2:$J$18))</f>
        <v>0.79483756455559984</v>
      </c>
    </row>
    <row r="271" spans="3:18" x14ac:dyDescent="0.35">
      <c r="C271">
        <v>4.2602000000000001E-2</v>
      </c>
      <c r="L271">
        <f t="shared" si="23"/>
        <v>270</v>
      </c>
      <c r="M271">
        <f t="shared" si="24"/>
        <v>1902.4166666666463</v>
      </c>
      <c r="N271">
        <f t="shared" si="20"/>
        <v>0</v>
      </c>
      <c r="O271">
        <f t="array" ref="O271">+SUM($F$2:$F$18*SIN(2*PI()*(M271)*$B$1/$E$2:$E$18+$G$2:$G$18))</f>
        <v>1.3873960837755106E-2</v>
      </c>
      <c r="P271">
        <f t="shared" si="21"/>
        <v>0</v>
      </c>
      <c r="Q271">
        <f t="shared" si="22"/>
        <v>0.11028482890543123</v>
      </c>
      <c r="R271">
        <f t="array" ref="R271">+$B$2*SIN(Q271*$B$3+$B$4)+Q271+$B$9*SIN(PI()*M271+$B$10)+$B$11*SIN(2*PI()*M271+$B$12) + SUM($I$2:$I$18*SIN(2*PI()*M271*$H$2:$H$18+$J$2:$J$18))</f>
        <v>1.9580871226015648</v>
      </c>
    </row>
    <row r="272" spans="3:18" x14ac:dyDescent="0.35">
      <c r="C272">
        <v>0.10093999999999999</v>
      </c>
      <c r="L272">
        <f t="shared" si="23"/>
        <v>271</v>
      </c>
      <c r="M272">
        <f t="shared" si="24"/>
        <v>1902.4999999999795</v>
      </c>
      <c r="N272">
        <f t="shared" si="20"/>
        <v>0</v>
      </c>
      <c r="O272">
        <f t="array" ref="O272">+SUM($F$2:$F$18*SIN(2*PI()*(M272)*$B$1/$E$2:$E$18+$G$2:$G$18))</f>
        <v>-5.9787428411015531E-2</v>
      </c>
      <c r="P272">
        <f t="shared" si="21"/>
        <v>0</v>
      </c>
      <c r="Q272">
        <f t="shared" si="22"/>
        <v>0.11003055827791482</v>
      </c>
      <c r="R272">
        <f t="array" ref="R272">+$B$2*SIN(Q272*$B$3+$B$4)+Q272+$B$9*SIN(PI()*M272+$B$10)+$B$11*SIN(2*PI()*M272+$B$12) + SUM($I$2:$I$18*SIN(2*PI()*M272*$H$2:$H$18+$J$2:$J$18))</f>
        <v>3.1574348882779084</v>
      </c>
    </row>
    <row r="273" spans="3:18" x14ac:dyDescent="0.35">
      <c r="C273">
        <v>-9.4567999999999999E-2</v>
      </c>
      <c r="L273">
        <f t="shared" si="23"/>
        <v>272</v>
      </c>
      <c r="M273">
        <f t="shared" si="24"/>
        <v>1902.5833333333128</v>
      </c>
      <c r="N273">
        <f t="shared" si="20"/>
        <v>0</v>
      </c>
      <c r="O273">
        <f t="array" ref="O273">+SUM($F$2:$F$18*SIN(2*PI()*(M273)*$B$1/$E$2:$E$18+$G$2:$G$18))</f>
        <v>-5.5762904289721305E-2</v>
      </c>
      <c r="P273">
        <f t="shared" si="21"/>
        <v>0</v>
      </c>
      <c r="Q273">
        <f t="shared" si="22"/>
        <v>0.10977687389197541</v>
      </c>
      <c r="R273">
        <f t="array" ref="R273">+$B$2*SIN(Q273*$B$3+$B$4)+Q273+$B$9*SIN(PI()*M273+$B$10)+$B$11*SIN(2*PI()*M273+$B$12) + SUM($I$2:$I$18*SIN(2*PI()*M273*$H$2:$H$18+$J$2:$J$18))</f>
        <v>4.2369531210212479</v>
      </c>
    </row>
    <row r="274" spans="3:18" x14ac:dyDescent="0.35">
      <c r="C274">
        <v>-0.33931199999999995</v>
      </c>
      <c r="L274">
        <f t="shared" si="23"/>
        <v>273</v>
      </c>
      <c r="M274">
        <f t="shared" si="24"/>
        <v>1902.6666666666461</v>
      </c>
      <c r="N274">
        <f t="shared" si="20"/>
        <v>0</v>
      </c>
      <c r="O274">
        <f t="array" ref="O274">+SUM($F$2:$F$18*SIN(2*PI()*(M274)*$B$1/$E$2:$E$18+$G$2:$G$18))</f>
        <v>-2.2134297715648676E-2</v>
      </c>
      <c r="P274">
        <f t="shared" si="21"/>
        <v>0</v>
      </c>
      <c r="Q274">
        <f t="shared" si="22"/>
        <v>0.10952377439598544</v>
      </c>
      <c r="R274">
        <f t="array" ref="R274">+$B$2*SIN(Q274*$B$3+$B$4)+Q274+$B$9*SIN(PI()*M274+$B$10)+$B$11*SIN(2*PI()*M274+$B$12) + SUM($I$2:$I$18*SIN(2*PI()*M274*$H$2:$H$18+$J$2:$J$18))</f>
        <v>5.0508241258866882</v>
      </c>
    </row>
    <row r="275" spans="3:18" x14ac:dyDescent="0.35">
      <c r="C275">
        <v>-0.31174600000000002</v>
      </c>
      <c r="L275">
        <f t="shared" si="23"/>
        <v>274</v>
      </c>
      <c r="M275">
        <f t="shared" si="24"/>
        <v>1902.7499999999793</v>
      </c>
      <c r="N275">
        <f t="shared" si="20"/>
        <v>0</v>
      </c>
      <c r="O275">
        <f t="array" ref="O275">+SUM($F$2:$F$18*SIN(2*PI()*(M275)*$B$1/$E$2:$E$18+$G$2:$G$18))</f>
        <v>-0.19207565840088353</v>
      </c>
      <c r="P275">
        <f t="shared" si="21"/>
        <v>0</v>
      </c>
      <c r="Q275">
        <f t="shared" si="22"/>
        <v>0.10927125844143366</v>
      </c>
      <c r="R275">
        <f t="array" ref="R275">+$B$2*SIN(Q275*$B$3+$B$4)+Q275+$B$9*SIN(PI()*M275+$B$10)+$B$11*SIN(2*PI()*M275+$B$12) + SUM($I$2:$I$18*SIN(2*PI()*M275*$H$2:$H$18+$J$2:$J$18))</f>
        <v>5.4999123011210411</v>
      </c>
    </row>
    <row r="276" spans="3:18" x14ac:dyDescent="0.35">
      <c r="C276">
        <v>-0.193412</v>
      </c>
      <c r="L276">
        <f t="shared" si="23"/>
        <v>275</v>
      </c>
      <c r="M276">
        <f t="shared" si="24"/>
        <v>1902.8333333333126</v>
      </c>
      <c r="N276">
        <f t="shared" si="20"/>
        <v>0</v>
      </c>
      <c r="O276">
        <f t="array" ref="O276">+SUM($F$2:$F$18*SIN(2*PI()*(M276)*$B$1/$E$2:$E$18+$G$2:$G$18))</f>
        <v>-0.76331305769046187</v>
      </c>
      <c r="P276">
        <f t="shared" si="21"/>
        <v>0</v>
      </c>
      <c r="Q276">
        <f t="shared" si="22"/>
        <v>0.1090193246829179</v>
      </c>
      <c r="R276">
        <f t="array" ref="R276">+$B$2*SIN(Q276*$B$3+$B$4)+Q276+$B$9*SIN(PI()*M276+$B$10)+$B$11*SIN(2*PI()*M276+$B$12) + SUM($I$2:$I$18*SIN(2*PI()*M276*$H$2:$H$18+$J$2:$J$18))</f>
        <v>5.5564470307539509</v>
      </c>
    </row>
    <row r="277" spans="3:18" x14ac:dyDescent="0.35">
      <c r="C277">
        <v>0.21876400000000001</v>
      </c>
      <c r="L277">
        <f t="shared" si="23"/>
        <v>276</v>
      </c>
      <c r="M277">
        <f t="shared" si="24"/>
        <v>1902.9166666666458</v>
      </c>
      <c r="N277">
        <f t="shared" si="20"/>
        <v>0</v>
      </c>
      <c r="O277">
        <f t="array" ref="O277">+SUM($F$2:$F$18*SIN(2*PI()*(M277)*$B$1/$E$2:$E$18+$G$2:$G$18))</f>
        <v>-0.71347851818045926</v>
      </c>
      <c r="P277">
        <f t="shared" si="21"/>
        <v>0</v>
      </c>
      <c r="Q277">
        <f t="shared" si="22"/>
        <v>0.10876797177813793</v>
      </c>
      <c r="R277">
        <f t="array" ref="R277">+$B$2*SIN(Q277*$B$3+$B$4)+Q277+$B$9*SIN(PI()*M277+$B$10)+$B$11*SIN(2*PI()*M277+$B$12) + SUM($I$2:$I$18*SIN(2*PI()*M277*$H$2:$H$18+$J$2:$J$18))</f>
        <v>5.2701836633288304</v>
      </c>
    </row>
    <row r="278" spans="3:18" x14ac:dyDescent="0.35">
      <c r="C278">
        <v>0.42325000000000002</v>
      </c>
      <c r="L278">
        <f t="shared" si="23"/>
        <v>277</v>
      </c>
      <c r="M278">
        <f t="shared" si="24"/>
        <v>1902.9999999999791</v>
      </c>
      <c r="N278">
        <f t="shared" si="20"/>
        <v>200</v>
      </c>
      <c r="O278">
        <f t="array" ref="O278">+SUM($F$2:$F$18*SIN(2*PI()*(M278)*$B$1/$E$2:$E$18+$G$2:$G$18))</f>
        <v>0.12369104738905157</v>
      </c>
      <c r="P278">
        <f t="shared" si="21"/>
        <v>24.738209477810315</v>
      </c>
      <c r="Q278">
        <f t="shared" si="22"/>
        <v>0.16555314893507792</v>
      </c>
      <c r="R278">
        <f t="array" ref="R278">+$B$2*SIN(Q278*$B$3+$B$4)+Q278+$B$9*SIN(PI()*M278+$B$10)+$B$11*SIN(2*PI()*M278+$B$12) + SUM($I$2:$I$18*SIN(2*PI()*M278*$H$2:$H$18+$J$2:$J$18))</f>
        <v>10.161526173400466</v>
      </c>
    </row>
    <row r="279" spans="3:18" x14ac:dyDescent="0.35">
      <c r="C279">
        <v>0.54003999999999996</v>
      </c>
      <c r="L279">
        <f t="shared" si="23"/>
        <v>278</v>
      </c>
      <c r="M279">
        <f t="shared" si="24"/>
        <v>1903.0833333333123</v>
      </c>
      <c r="N279">
        <f t="shared" si="20"/>
        <v>0</v>
      </c>
      <c r="O279">
        <f t="array" ref="O279">+SUM($F$2:$F$18*SIN(2*PI()*(M279)*$B$1/$E$2:$E$18+$G$2:$G$18))</f>
        <v>0.29179386823022102</v>
      </c>
      <c r="P279">
        <f t="shared" si="21"/>
        <v>0</v>
      </c>
      <c r="Q279">
        <f t="shared" si="22"/>
        <v>0.16517145270827288</v>
      </c>
      <c r="R279">
        <f t="array" ref="R279">+$B$2*SIN(Q279*$B$3+$B$4)+Q279+$B$9*SIN(PI()*M279+$B$10)+$B$11*SIN(2*PI()*M279+$B$12) + SUM($I$2:$I$18*SIN(2*PI()*M279*$H$2:$H$18+$J$2:$J$18))</f>
        <v>9.5505466019273744</v>
      </c>
    </row>
    <row r="280" spans="3:18" x14ac:dyDescent="0.35">
      <c r="C280">
        <v>0.66759800000000002</v>
      </c>
      <c r="L280">
        <f t="shared" si="23"/>
        <v>279</v>
      </c>
      <c r="M280">
        <f t="shared" si="24"/>
        <v>1903.1666666666456</v>
      </c>
      <c r="N280">
        <f t="shared" si="20"/>
        <v>0</v>
      </c>
      <c r="O280">
        <f t="array" ref="O280">+SUM($F$2:$F$18*SIN(2*PI()*(M280)*$B$1/$E$2:$E$18+$G$2:$G$18))</f>
        <v>-0.13937397849979574</v>
      </c>
      <c r="P280">
        <f t="shared" si="21"/>
        <v>0</v>
      </c>
      <c r="Q280">
        <f t="shared" si="22"/>
        <v>0.16479063651311021</v>
      </c>
      <c r="R280">
        <f t="array" ref="R280">+$B$2*SIN(Q280*$B$3+$B$4)+Q280+$B$9*SIN(PI()*M280+$B$10)+$B$11*SIN(2*PI()*M280+$B$12) + SUM($I$2:$I$18*SIN(2*PI()*M280*$H$2:$H$18+$J$2:$J$18))</f>
        <v>8.9963334342183749</v>
      </c>
    </row>
    <row r="281" spans="3:18" x14ac:dyDescent="0.35">
      <c r="C281">
        <v>0.75823400000000007</v>
      </c>
      <c r="L281">
        <f t="shared" si="23"/>
        <v>280</v>
      </c>
      <c r="M281">
        <f t="shared" si="24"/>
        <v>1903.2499999999789</v>
      </c>
      <c r="N281">
        <f t="shared" si="20"/>
        <v>0</v>
      </c>
      <c r="O281">
        <f t="array" ref="O281">+SUM($F$2:$F$18*SIN(2*PI()*(M281)*$B$1/$E$2:$E$18+$G$2:$G$18))</f>
        <v>-0.10400635132107083</v>
      </c>
      <c r="P281">
        <f t="shared" si="21"/>
        <v>0</v>
      </c>
      <c r="Q281">
        <f t="shared" si="22"/>
        <v>0.16441069832060551</v>
      </c>
      <c r="R281">
        <f t="array" ref="R281">+$B$2*SIN(Q281*$B$3+$B$4)+Q281+$B$9*SIN(PI()*M281+$B$10)+$B$11*SIN(2*PI()*M281+$B$12) + SUM($I$2:$I$18*SIN(2*PI()*M281*$H$2:$H$18+$J$2:$J$18))</f>
        <v>8.5961941769488277</v>
      </c>
    </row>
    <row r="282" spans="3:18" x14ac:dyDescent="0.35">
      <c r="C282">
        <v>0.84733000000000003</v>
      </c>
      <c r="L282">
        <f t="shared" si="23"/>
        <v>281</v>
      </c>
      <c r="M282">
        <f t="shared" si="24"/>
        <v>1903.3333333333121</v>
      </c>
      <c r="N282">
        <f t="shared" si="20"/>
        <v>0</v>
      </c>
      <c r="O282">
        <f t="array" ref="O282">+SUM($F$2:$F$18*SIN(2*PI()*(M282)*$B$1/$E$2:$E$18+$G$2:$G$18))</f>
        <v>0.22023827205180019</v>
      </c>
      <c r="P282">
        <f t="shared" si="21"/>
        <v>0</v>
      </c>
      <c r="Q282">
        <f t="shared" si="22"/>
        <v>0.16403163610645236</v>
      </c>
      <c r="R282">
        <f t="array" ref="R282">+$B$2*SIN(Q282*$B$3+$B$4)+Q282+$B$9*SIN(PI()*M282+$B$10)+$B$11*SIN(2*PI()*M282+$B$12) + SUM($I$2:$I$18*SIN(2*PI()*M282*$H$2:$H$18+$J$2:$J$18))</f>
        <v>8.3794898652707985</v>
      </c>
    </row>
    <row r="283" spans="3:18" x14ac:dyDescent="0.35">
      <c r="C283">
        <v>0.81950000000000001</v>
      </c>
      <c r="L283">
        <f t="shared" si="23"/>
        <v>282</v>
      </c>
      <c r="M283">
        <f t="shared" si="24"/>
        <v>1903.4166666666454</v>
      </c>
      <c r="N283">
        <f t="shared" si="20"/>
        <v>0</v>
      </c>
      <c r="O283">
        <f t="array" ref="O283">+SUM($F$2:$F$18*SIN(2*PI()*(M283)*$B$1/$E$2:$E$18+$G$2:$G$18))</f>
        <v>0.25877465650366061</v>
      </c>
      <c r="P283">
        <f t="shared" si="21"/>
        <v>0</v>
      </c>
      <c r="Q283">
        <f t="shared" si="22"/>
        <v>0.16365344785101155</v>
      </c>
      <c r="R283">
        <f t="array" ref="R283">+$B$2*SIN(Q283*$B$3+$B$4)+Q283+$B$9*SIN(PI()*M283+$B$10)+$B$11*SIN(2*PI()*M283+$B$12) + SUM($I$2:$I$18*SIN(2*PI()*M283*$H$2:$H$18+$J$2:$J$18))</f>
        <v>8.3010855208023919</v>
      </c>
    </row>
    <row r="284" spans="3:18" x14ac:dyDescent="0.35">
      <c r="C284">
        <v>1.065518</v>
      </c>
      <c r="L284">
        <f t="shared" si="23"/>
        <v>283</v>
      </c>
      <c r="M284">
        <f t="shared" si="24"/>
        <v>1903.4999999999786</v>
      </c>
      <c r="N284">
        <f t="shared" si="20"/>
        <v>0</v>
      </c>
      <c r="O284">
        <f t="array" ref="O284">+SUM($F$2:$F$18*SIN(2*PI()*(M284)*$B$1/$E$2:$E$18+$G$2:$G$18))</f>
        <v>-0.29986500782170256</v>
      </c>
      <c r="P284">
        <f t="shared" si="21"/>
        <v>0</v>
      </c>
      <c r="Q284">
        <f t="shared" si="22"/>
        <v>0.16327613153930032</v>
      </c>
      <c r="R284">
        <f t="array" ref="R284">+$B$2*SIN(Q284*$B$3+$B$4)+Q284+$B$9*SIN(PI()*M284+$B$10)+$B$11*SIN(2*PI()*M284+$B$12) + SUM($I$2:$I$18*SIN(2*PI()*M284*$H$2:$H$18+$J$2:$J$18))</f>
        <v>8.2550379961019686</v>
      </c>
    </row>
    <row r="285" spans="3:18" x14ac:dyDescent="0.35">
      <c r="C285">
        <v>1.071534</v>
      </c>
      <c r="L285">
        <f t="shared" si="23"/>
        <v>284</v>
      </c>
      <c r="M285">
        <f t="shared" si="24"/>
        <v>1903.5833333333119</v>
      </c>
      <c r="N285">
        <f t="shared" si="20"/>
        <v>0</v>
      </c>
      <c r="O285">
        <f t="array" ref="O285">+SUM($F$2:$F$18*SIN(2*PI()*(M285)*$B$1/$E$2:$E$18+$G$2:$G$18))</f>
        <v>-0.87433823141383038</v>
      </c>
      <c r="P285">
        <f t="shared" si="21"/>
        <v>0</v>
      </c>
      <c r="Q285">
        <f t="shared" si="22"/>
        <v>0.16289968516098158</v>
      </c>
      <c r="R285">
        <f t="array" ref="R285">+$B$2*SIN(Q285*$B$3+$B$4)+Q285+$B$9*SIN(PI()*M285+$B$10)+$B$11*SIN(2*PI()*M285+$B$12) + SUM($I$2:$I$18*SIN(2*PI()*M285*$H$2:$H$18+$J$2:$J$18))</f>
        <v>8.1048331076712277</v>
      </c>
    </row>
    <row r="286" spans="3:18" x14ac:dyDescent="0.35">
      <c r="C286">
        <v>0.93908400000000003</v>
      </c>
      <c r="L286">
        <f t="shared" si="23"/>
        <v>285</v>
      </c>
      <c r="M286">
        <f t="shared" si="24"/>
        <v>1903.6666666666451</v>
      </c>
      <c r="N286">
        <f t="shared" si="20"/>
        <v>0</v>
      </c>
      <c r="O286">
        <f t="array" ref="O286">+SUM($F$2:$F$18*SIN(2*PI()*(M286)*$B$1/$E$2:$E$18+$G$2:$G$18))</f>
        <v>-0.31446021296740789</v>
      </c>
      <c r="P286">
        <f t="shared" si="21"/>
        <v>0</v>
      </c>
      <c r="Q286">
        <f t="shared" si="22"/>
        <v>0.16252410671035328</v>
      </c>
      <c r="R286">
        <f t="array" ref="R286">+$B$2*SIN(Q286*$B$3+$B$4)+Q286+$B$9*SIN(PI()*M286+$B$10)+$B$11*SIN(2*PI()*M286+$B$12) + SUM($I$2:$I$18*SIN(2*PI()*M286*$H$2:$H$18+$J$2:$J$18))</f>
        <v>7.7220608805419673</v>
      </c>
    </row>
    <row r="287" spans="3:18" x14ac:dyDescent="0.35">
      <c r="C287">
        <v>0.97278999999999993</v>
      </c>
      <c r="L287">
        <f t="shared" si="23"/>
        <v>286</v>
      </c>
      <c r="M287">
        <f t="shared" si="24"/>
        <v>1903.7499999999784</v>
      </c>
      <c r="N287">
        <f t="shared" si="20"/>
        <v>0</v>
      </c>
      <c r="O287">
        <f t="array" ref="O287">+SUM($F$2:$F$18*SIN(2*PI()*(M287)*$B$1/$E$2:$E$18+$G$2:$G$18))</f>
        <v>0.54983729694140959</v>
      </c>
      <c r="P287">
        <f t="shared" si="21"/>
        <v>0</v>
      </c>
      <c r="Q287">
        <f t="shared" si="22"/>
        <v>0.16214939418633764</v>
      </c>
      <c r="R287">
        <f t="array" ref="R287">+$B$2*SIN(Q287*$B$3+$B$4)+Q287+$B$9*SIN(PI()*M287+$B$10)+$B$11*SIN(2*PI()*M287+$B$12) + SUM($I$2:$I$18*SIN(2*PI()*M287*$H$2:$H$18+$J$2:$J$18))</f>
        <v>7.0231662813056071</v>
      </c>
    </row>
    <row r="288" spans="3:18" x14ac:dyDescent="0.35">
      <c r="C288">
        <v>0.59880200000000006</v>
      </c>
      <c r="L288">
        <f t="shared" si="23"/>
        <v>287</v>
      </c>
      <c r="M288">
        <f t="shared" si="24"/>
        <v>1903.8333333333117</v>
      </c>
      <c r="N288">
        <f t="shared" si="20"/>
        <v>0</v>
      </c>
      <c r="O288">
        <f t="array" ref="O288">+SUM($F$2:$F$18*SIN(2*PI()*(M288)*$B$1/$E$2:$E$18+$G$2:$G$18))</f>
        <v>0.2720547323482197</v>
      </c>
      <c r="P288">
        <f t="shared" si="21"/>
        <v>0</v>
      </c>
      <c r="Q288">
        <f t="shared" si="22"/>
        <v>0.16177554559247057</v>
      </c>
      <c r="R288">
        <f t="array" ref="R288">+$B$2*SIN(Q288*$B$3+$B$4)+Q288+$B$9*SIN(PI()*M288+$B$10)+$B$11*SIN(2*PI()*M288+$B$12) + SUM($I$2:$I$18*SIN(2*PI()*M288*$H$2:$H$18+$J$2:$J$18))</f>
        <v>5.9944351775098097</v>
      </c>
    </row>
    <row r="289" spans="3:18" x14ac:dyDescent="0.35">
      <c r="C289">
        <v>0.247888</v>
      </c>
      <c r="L289">
        <f t="shared" si="23"/>
        <v>288</v>
      </c>
      <c r="M289">
        <f t="shared" si="24"/>
        <v>1903.9166666666449</v>
      </c>
      <c r="N289">
        <f t="shared" si="20"/>
        <v>0</v>
      </c>
      <c r="O289">
        <f t="array" ref="O289">+SUM($F$2:$F$18*SIN(2*PI()*(M289)*$B$1/$E$2:$E$18+$G$2:$G$18))</f>
        <v>-0.27746294243881586</v>
      </c>
      <c r="P289">
        <f t="shared" si="21"/>
        <v>0</v>
      </c>
      <c r="Q289">
        <f t="shared" si="22"/>
        <v>0.16140255893689093</v>
      </c>
      <c r="R289">
        <f t="array" ref="R289">+$B$2*SIN(Q289*$B$3+$B$4)+Q289+$B$9*SIN(PI()*M289+$B$10)+$B$11*SIN(2*PI()*M289+$B$12) + SUM($I$2:$I$18*SIN(2*PI()*M289*$H$2:$H$18+$J$2:$J$18))</f>
        <v>4.6985306374226141</v>
      </c>
    </row>
    <row r="290" spans="3:18" x14ac:dyDescent="0.35">
      <c r="C290">
        <v>-0.144562</v>
      </c>
      <c r="L290">
        <f t="shared" si="23"/>
        <v>289</v>
      </c>
      <c r="M290">
        <f t="shared" si="24"/>
        <v>1903.9999999999782</v>
      </c>
      <c r="N290">
        <f t="shared" si="20"/>
        <v>200</v>
      </c>
      <c r="O290">
        <f t="array" ref="O290">+SUM($F$2:$F$18*SIN(2*PI()*(M290)*$B$1/$E$2:$E$18+$G$2:$G$18))</f>
        <v>-7.1639766839991903E-2</v>
      </c>
      <c r="P290">
        <f t="shared" si="21"/>
        <v>-14.327953367998381</v>
      </c>
      <c r="Q290">
        <f t="shared" si="22"/>
        <v>0.12799617239745339</v>
      </c>
      <c r="R290">
        <f t="array" ref="R290">+$B$2*SIN(Q290*$B$3+$B$4)+Q290+$B$9*SIN(PI()*M290+$B$10)+$B$11*SIN(2*PI()*M290+$B$12) + SUM($I$2:$I$18*SIN(2*PI()*M290*$H$2:$H$18+$J$2:$J$18))</f>
        <v>0.1184776644201091</v>
      </c>
    </row>
    <row r="291" spans="3:18" x14ac:dyDescent="0.35">
      <c r="C291">
        <v>-0.18470800000000001</v>
      </c>
      <c r="L291">
        <f t="shared" si="23"/>
        <v>290</v>
      </c>
      <c r="M291">
        <f t="shared" si="24"/>
        <v>1904.0833333333114</v>
      </c>
      <c r="N291">
        <f t="shared" si="20"/>
        <v>0</v>
      </c>
      <c r="O291">
        <f t="array" ref="O291">+SUM($F$2:$F$18*SIN(2*PI()*(M291)*$B$1/$E$2:$E$18+$G$2:$G$18))</f>
        <v>0.36808279711767222</v>
      </c>
      <c r="P291">
        <f t="shared" si="21"/>
        <v>0</v>
      </c>
      <c r="Q291">
        <f t="shared" si="22"/>
        <v>0.12770106682945992</v>
      </c>
      <c r="R291">
        <f t="array" ref="R291">+$B$2*SIN(Q291*$B$3+$B$4)+Q291+$B$9*SIN(PI()*M291+$B$10)+$B$11*SIN(2*PI()*M291+$B$12) + SUM($I$2:$I$18*SIN(2*PI()*M291*$H$2:$H$18+$J$2:$J$18))</f>
        <v>-1.2968301899619821</v>
      </c>
    </row>
    <row r="292" spans="3:18" x14ac:dyDescent="0.35">
      <c r="C292">
        <v>7.4519999999999994E-3</v>
      </c>
      <c r="L292">
        <f t="shared" si="23"/>
        <v>291</v>
      </c>
      <c r="M292">
        <f t="shared" si="24"/>
        <v>1904.1666666666447</v>
      </c>
      <c r="N292">
        <f t="shared" si="20"/>
        <v>0</v>
      </c>
      <c r="O292">
        <f t="array" ref="O292">+SUM($F$2:$F$18*SIN(2*PI()*(M292)*$B$1/$E$2:$E$18+$G$2:$G$18))</f>
        <v>0.2907443013530378</v>
      </c>
      <c r="P292">
        <f t="shared" si="21"/>
        <v>0</v>
      </c>
      <c r="Q292">
        <f t="shared" si="22"/>
        <v>0.12740664165131427</v>
      </c>
      <c r="R292">
        <f t="array" ref="R292">+$B$2*SIN(Q292*$B$3+$B$4)+Q292+$B$9*SIN(PI()*M292+$B$10)+$B$11*SIN(2*PI()*M292+$B$12) + SUM($I$2:$I$18*SIN(2*PI()*M292*$H$2:$H$18+$J$2:$J$18))</f>
        <v>-2.5441644088896922</v>
      </c>
    </row>
    <row r="293" spans="3:18" x14ac:dyDescent="0.35">
      <c r="C293">
        <v>2.4228E-2</v>
      </c>
      <c r="L293">
        <f t="shared" si="23"/>
        <v>292</v>
      </c>
      <c r="M293">
        <f t="shared" si="24"/>
        <v>1904.2499999999779</v>
      </c>
      <c r="N293">
        <f t="shared" si="20"/>
        <v>0</v>
      </c>
      <c r="O293">
        <f t="array" ref="O293">+SUM($F$2:$F$18*SIN(2*PI()*(M293)*$B$1/$E$2:$E$18+$G$2:$G$18))</f>
        <v>-0.50874030762857569</v>
      </c>
      <c r="P293">
        <f t="shared" si="21"/>
        <v>0</v>
      </c>
      <c r="Q293">
        <f t="shared" si="22"/>
        <v>0.12711289529432243</v>
      </c>
      <c r="R293">
        <f t="array" ref="R293">+$B$2*SIN(Q293*$B$3+$B$4)+Q293+$B$9*SIN(PI()*M293+$B$10)+$B$11*SIN(2*PI()*M293+$B$12) + SUM($I$2:$I$18*SIN(2*PI()*M293*$H$2:$H$18+$J$2:$J$18))</f>
        <v>-3.5145502822683183</v>
      </c>
    </row>
    <row r="294" spans="3:18" x14ac:dyDescent="0.35">
      <c r="C294">
        <v>-0.18668999999999999</v>
      </c>
      <c r="L294">
        <f t="shared" si="23"/>
        <v>293</v>
      </c>
      <c r="M294">
        <f t="shared" si="24"/>
        <v>1904.3333333333112</v>
      </c>
      <c r="N294">
        <f t="shared" si="20"/>
        <v>0</v>
      </c>
      <c r="O294">
        <f t="array" ref="O294">+SUM($F$2:$F$18*SIN(2*PI()*(M294)*$B$1/$E$2:$E$18+$G$2:$G$18))</f>
        <v>-0.95502867333542429</v>
      </c>
      <c r="P294">
        <f t="shared" si="21"/>
        <v>0</v>
      </c>
      <c r="Q294">
        <f t="shared" si="22"/>
        <v>0.12681982619340709</v>
      </c>
      <c r="R294">
        <f t="array" ref="R294">+$B$2*SIN(Q294*$B$3+$B$4)+Q294+$B$9*SIN(PI()*M294+$B$10)+$B$11*SIN(2*PI()*M294+$B$12) + SUM($I$2:$I$18*SIN(2*PI()*M294*$H$2:$H$18+$J$2:$J$18))</f>
        <v>-4.1669158656003882</v>
      </c>
    </row>
    <row r="295" spans="3:18" x14ac:dyDescent="0.35">
      <c r="C295">
        <v>-0.46222600000000003</v>
      </c>
      <c r="L295">
        <f t="shared" si="23"/>
        <v>294</v>
      </c>
      <c r="M295">
        <f t="shared" si="24"/>
        <v>1904.4166666666445</v>
      </c>
      <c r="N295">
        <f t="shared" si="20"/>
        <v>0</v>
      </c>
      <c r="O295">
        <f t="array" ref="O295">+SUM($F$2:$F$18*SIN(2*PI()*(M295)*$B$1/$E$2:$E$18+$G$2:$G$18))</f>
        <v>-0.14218965708858533</v>
      </c>
      <c r="P295">
        <f t="shared" si="21"/>
        <v>0</v>
      </c>
      <c r="Q295">
        <f t="shared" si="22"/>
        <v>0.12652743278709938</v>
      </c>
      <c r="R295">
        <f t="array" ref="R295">+$B$2*SIN(Q295*$B$3+$B$4)+Q295+$B$9*SIN(PI()*M295+$B$10)+$B$11*SIN(2*PI()*M295+$B$12) + SUM($I$2:$I$18*SIN(2*PI()*M295*$H$2:$H$18+$J$2:$J$18))</f>
        <v>-4.5347950552921503</v>
      </c>
    </row>
    <row r="296" spans="3:18" x14ac:dyDescent="0.35">
      <c r="C296">
        <v>-0.49776000000000004</v>
      </c>
      <c r="L296">
        <f t="shared" si="23"/>
        <v>295</v>
      </c>
      <c r="M296">
        <f t="shared" si="24"/>
        <v>1904.4999999999777</v>
      </c>
      <c r="N296">
        <f t="shared" si="20"/>
        <v>0</v>
      </c>
      <c r="O296">
        <f t="array" ref="O296">+SUM($F$2:$F$18*SIN(2*PI()*(M296)*$B$1/$E$2:$E$18+$G$2:$G$18))</f>
        <v>0.53210218350029792</v>
      </c>
      <c r="P296">
        <f t="shared" si="21"/>
        <v>0</v>
      </c>
      <c r="Q296">
        <f t="shared" si="22"/>
        <v>0.12623571351753055</v>
      </c>
      <c r="R296">
        <f t="array" ref="R296">+$B$2*SIN(Q296*$B$3+$B$4)+Q296+$B$9*SIN(PI()*M296+$B$10)+$B$11*SIN(2*PI()*M296+$B$12) + SUM($I$2:$I$18*SIN(2*PI()*M296*$H$2:$H$18+$J$2:$J$18))</f>
        <v>-4.7129576191668816</v>
      </c>
    </row>
    <row r="297" spans="3:18" x14ac:dyDescent="0.35">
      <c r="C297">
        <v>-0.45329799999999998</v>
      </c>
      <c r="L297">
        <f t="shared" si="23"/>
        <v>296</v>
      </c>
      <c r="M297">
        <f t="shared" si="24"/>
        <v>1904.583333333311</v>
      </c>
      <c r="N297">
        <f t="shared" si="20"/>
        <v>0</v>
      </c>
      <c r="O297">
        <f t="array" ref="O297">+SUM($F$2:$F$18*SIN(2*PI()*(M297)*$B$1/$E$2:$E$18+$G$2:$G$18))</f>
        <v>0.11975462347624394</v>
      </c>
      <c r="P297">
        <f t="shared" si="21"/>
        <v>0</v>
      </c>
      <c r="Q297">
        <f t="shared" si="22"/>
        <v>0.12594466683042357</v>
      </c>
      <c r="R297">
        <f t="array" ref="R297">+$B$2*SIN(Q297*$B$3+$B$4)+Q297+$B$9*SIN(PI()*M297+$B$10)+$B$11*SIN(2*PI()*M297+$B$12) + SUM($I$2:$I$18*SIN(2*PI()*M297*$H$2:$H$18+$J$2:$J$18))</f>
        <v>-4.827643729905585</v>
      </c>
    </row>
    <row r="298" spans="3:18" x14ac:dyDescent="0.35">
      <c r="C298">
        <v>-0.33191400000000004</v>
      </c>
      <c r="L298">
        <f t="shared" si="23"/>
        <v>297</v>
      </c>
      <c r="M298">
        <f t="shared" si="24"/>
        <v>1904.6666666666442</v>
      </c>
      <c r="N298">
        <f t="shared" si="20"/>
        <v>0</v>
      </c>
      <c r="O298">
        <f t="array" ref="O298">+SUM($F$2:$F$18*SIN(2*PI()*(M298)*$B$1/$E$2:$E$18+$G$2:$G$18))</f>
        <v>-0.19414530340865349</v>
      </c>
      <c r="P298">
        <f t="shared" si="21"/>
        <v>0</v>
      </c>
      <c r="Q298">
        <f t="shared" si="22"/>
        <v>0.12565429117508498</v>
      </c>
      <c r="R298">
        <f t="array" ref="R298">+$B$2*SIN(Q298*$B$3+$B$4)+Q298+$B$9*SIN(PI()*M298+$B$10)+$B$11*SIN(2*PI()*M298+$B$12) + SUM($I$2:$I$18*SIN(2*PI()*M298*$H$2:$H$18+$J$2:$J$18))</f>
        <v>-4.9984919644346766</v>
      </c>
    </row>
    <row r="299" spans="3:18" x14ac:dyDescent="0.35">
      <c r="C299">
        <v>0.112548</v>
      </c>
      <c r="L299">
        <f t="shared" si="23"/>
        <v>298</v>
      </c>
      <c r="M299">
        <f t="shared" si="24"/>
        <v>1904.7499999999775</v>
      </c>
      <c r="N299">
        <f t="shared" si="20"/>
        <v>0</v>
      </c>
      <c r="O299">
        <f t="array" ref="O299">+SUM($F$2:$F$18*SIN(2*PI()*(M299)*$B$1/$E$2:$E$18+$G$2:$G$18))</f>
        <v>9.976375041389951E-2</v>
      </c>
      <c r="P299">
        <f t="shared" si="21"/>
        <v>0</v>
      </c>
      <c r="Q299">
        <f t="shared" si="22"/>
        <v>0.12536458500439657</v>
      </c>
      <c r="R299">
        <f t="array" ref="R299">+$B$2*SIN(Q299*$B$3+$B$4)+Q299+$B$9*SIN(PI()*M299+$B$10)+$B$11*SIN(2*PI()*M299+$B$12) + SUM($I$2:$I$18*SIN(2*PI()*M299*$H$2:$H$18+$J$2:$J$18))</f>
        <v>-5.3024909582637658</v>
      </c>
    </row>
    <row r="300" spans="3:18" x14ac:dyDescent="0.35">
      <c r="C300">
        <v>-0.116838</v>
      </c>
      <c r="L300">
        <f t="shared" si="23"/>
        <v>299</v>
      </c>
      <c r="M300">
        <f t="shared" si="24"/>
        <v>1904.8333333333107</v>
      </c>
      <c r="N300">
        <f t="shared" si="20"/>
        <v>0</v>
      </c>
      <c r="O300">
        <f t="array" ref="O300">+SUM($F$2:$F$18*SIN(2*PI()*(M300)*$B$1/$E$2:$E$18+$G$2:$G$18))</f>
        <v>0.40282904013289411</v>
      </c>
      <c r="P300">
        <f t="shared" si="21"/>
        <v>0</v>
      </c>
      <c r="Q300">
        <f t="shared" si="22"/>
        <v>0.12507554677480709</v>
      </c>
      <c r="R300">
        <f t="array" ref="R300">+$B$2*SIN(Q300*$B$3+$B$4)+Q300+$B$9*SIN(PI()*M300+$B$10)+$B$11*SIN(2*PI()*M300+$B$12) + SUM($I$2:$I$18*SIN(2*PI()*M300*$H$2:$H$18+$J$2:$J$18))</f>
        <v>-5.7497541428779808</v>
      </c>
    </row>
    <row r="301" spans="3:18" x14ac:dyDescent="0.35">
      <c r="C301">
        <v>7.3773999999999992E-2</v>
      </c>
      <c r="L301">
        <f t="shared" si="23"/>
        <v>300</v>
      </c>
      <c r="M301">
        <f t="shared" si="24"/>
        <v>1904.916666666644</v>
      </c>
      <c r="N301">
        <f t="shared" si="20"/>
        <v>0</v>
      </c>
      <c r="O301">
        <f t="array" ref="O301">+SUM($F$2:$F$18*SIN(2*PI()*(M301)*$B$1/$E$2:$E$18+$G$2:$G$18))</f>
        <v>0.16751965778743477</v>
      </c>
      <c r="P301">
        <f t="shared" si="21"/>
        <v>0</v>
      </c>
      <c r="Q301">
        <f t="shared" si="22"/>
        <v>0.12478717494632413</v>
      </c>
      <c r="R301">
        <f t="array" ref="R301">+$B$2*SIN(Q301*$B$3+$B$4)+Q301+$B$9*SIN(PI()*M301+$B$10)+$B$11*SIN(2*PI()*M301+$B$12) + SUM($I$2:$I$18*SIN(2*PI()*M301*$H$2:$H$18+$J$2:$J$18))</f>
        <v>-6.2777552957872818</v>
      </c>
    </row>
    <row r="302" spans="3:18" x14ac:dyDescent="0.35">
      <c r="C302">
        <v>0.29361599999999999</v>
      </c>
      <c r="L302">
        <f t="shared" si="23"/>
        <v>301</v>
      </c>
      <c r="M302">
        <f t="shared" si="24"/>
        <v>1904.9999999999773</v>
      </c>
      <c r="N302">
        <f t="shared" si="20"/>
        <v>200</v>
      </c>
      <c r="O302">
        <f t="array" ref="O302">+SUM($F$2:$F$18*SIN(2*PI()*(M302)*$B$1/$E$2:$E$18+$G$2:$G$18))</f>
        <v>-0.66457160556449868</v>
      </c>
      <c r="P302">
        <f t="shared" si="21"/>
        <v>-132.91432111289973</v>
      </c>
      <c r="Q302">
        <f t="shared" si="22"/>
        <v>-0.18194529119897579</v>
      </c>
      <c r="R302">
        <f t="array" ref="R302">+$B$2*SIN(Q302*$B$3+$B$4)+Q302+$B$9*SIN(PI()*M302+$B$10)+$B$11*SIN(2*PI()*M302+$B$12) + SUM($I$2:$I$18*SIN(2*PI()*M302*$H$2:$H$18+$J$2:$J$18))</f>
        <v>-8.1803328067326433</v>
      </c>
    </row>
    <row r="303" spans="3:18" x14ac:dyDescent="0.35">
      <c r="C303">
        <v>0.336534</v>
      </c>
      <c r="L303">
        <f t="shared" si="23"/>
        <v>302</v>
      </c>
      <c r="M303">
        <f t="shared" si="24"/>
        <v>1905.0833333333105</v>
      </c>
      <c r="N303">
        <f t="shared" si="20"/>
        <v>0</v>
      </c>
      <c r="O303">
        <f t="array" ref="O303">+SUM($F$2:$F$18*SIN(2*PI()*(M303)*$B$1/$E$2:$E$18+$G$2:$G$18))</f>
        <v>-0.89240920340043428</v>
      </c>
      <c r="P303">
        <f t="shared" si="21"/>
        <v>0</v>
      </c>
      <c r="Q303">
        <f t="shared" si="22"/>
        <v>-0.18152580155723647</v>
      </c>
      <c r="R303">
        <f t="array" ref="R303">+$B$2*SIN(Q303*$B$3+$B$4)+Q303+$B$9*SIN(PI()*M303+$B$10)+$B$11*SIN(2*PI()*M303+$B$12) + SUM($I$2:$I$18*SIN(2*PI()*M303*$H$2:$H$18+$J$2:$J$18))</f>
        <v>-8.4912314775680144</v>
      </c>
    </row>
    <row r="304" spans="3:18" x14ac:dyDescent="0.35">
      <c r="C304">
        <v>0.53022000000000002</v>
      </c>
      <c r="L304">
        <f t="shared" si="23"/>
        <v>303</v>
      </c>
      <c r="M304">
        <f t="shared" si="24"/>
        <v>1905.1666666666438</v>
      </c>
      <c r="N304">
        <f t="shared" si="20"/>
        <v>0</v>
      </c>
      <c r="O304">
        <f t="array" ref="O304">+SUM($F$2:$F$18*SIN(2*PI()*(M304)*$B$1/$E$2:$E$18+$G$2:$G$18))</f>
        <v>-3.8169909221777876E-2</v>
      </c>
      <c r="P304">
        <f t="shared" si="21"/>
        <v>0</v>
      </c>
      <c r="Q304">
        <f t="shared" si="22"/>
        <v>-0.18110727908292626</v>
      </c>
      <c r="R304">
        <f t="array" ref="R304">+$B$2*SIN(Q304*$B$3+$B$4)+Q304+$B$9*SIN(PI()*M304+$B$10)+$B$11*SIN(2*PI()*M304+$B$12) + SUM($I$2:$I$18*SIN(2*PI()*M304*$H$2:$H$18+$J$2:$J$18))</f>
        <v>-8.4773266008990511</v>
      </c>
    </row>
    <row r="305" spans="3:18" x14ac:dyDescent="0.35">
      <c r="C305">
        <v>0.52851999999999999</v>
      </c>
      <c r="L305">
        <f t="shared" si="23"/>
        <v>304</v>
      </c>
      <c r="M305">
        <f t="shared" si="24"/>
        <v>1905.249999999977</v>
      </c>
      <c r="N305">
        <f t="shared" si="20"/>
        <v>0</v>
      </c>
      <c r="O305">
        <f t="array" ref="O305">+SUM($F$2:$F$18*SIN(2*PI()*(M305)*$B$1/$E$2:$E$18+$G$2:$G$18))</f>
        <v>0.42438768095494883</v>
      </c>
      <c r="P305">
        <f t="shared" si="21"/>
        <v>0</v>
      </c>
      <c r="Q305">
        <f t="shared" si="22"/>
        <v>-0.18068972154616211</v>
      </c>
      <c r="R305">
        <f t="array" ref="R305">+$B$2*SIN(Q305*$B$3+$B$4)+Q305+$B$9*SIN(PI()*M305+$B$10)+$B$11*SIN(2*PI()*M305+$B$12) + SUM($I$2:$I$18*SIN(2*PI()*M305*$H$2:$H$18+$J$2:$J$18))</f>
        <v>-8.0508587523381845</v>
      </c>
    </row>
    <row r="306" spans="3:18" x14ac:dyDescent="0.35">
      <c r="C306">
        <v>0.625282</v>
      </c>
      <c r="L306">
        <f t="shared" si="23"/>
        <v>305</v>
      </c>
      <c r="M306">
        <f t="shared" si="24"/>
        <v>1905.3333333333103</v>
      </c>
      <c r="N306">
        <f t="shared" si="20"/>
        <v>0</v>
      </c>
      <c r="O306">
        <f t="array" ref="O306">+SUM($F$2:$F$18*SIN(2*PI()*(M306)*$B$1/$E$2:$E$18+$G$2:$G$18))</f>
        <v>0.19340671813060317</v>
      </c>
      <c r="P306">
        <f t="shared" si="21"/>
        <v>0</v>
      </c>
      <c r="Q306">
        <f t="shared" si="22"/>
        <v>-0.18027312672220216</v>
      </c>
      <c r="R306">
        <f t="array" ref="R306">+$B$2*SIN(Q306*$B$3+$B$4)+Q306+$B$9*SIN(PI()*M306+$B$10)+$B$11*SIN(2*PI()*M306+$B$12) + SUM($I$2:$I$18*SIN(2*PI()*M306*$H$2:$H$18+$J$2:$J$18))</f>
        <v>-7.1979325024071361</v>
      </c>
    </row>
    <row r="307" spans="3:18" x14ac:dyDescent="0.35">
      <c r="C307">
        <v>0.80665400000000009</v>
      </c>
      <c r="L307">
        <f t="shared" si="23"/>
        <v>306</v>
      </c>
      <c r="M307">
        <f t="shared" si="24"/>
        <v>1905.4166666666436</v>
      </c>
      <c r="N307">
        <f t="shared" si="20"/>
        <v>0</v>
      </c>
      <c r="O307">
        <f t="array" ref="O307">+SUM($F$2:$F$18*SIN(2*PI()*(M307)*$B$1/$E$2:$E$18+$G$2:$G$18))</f>
        <v>0.21758071875794316</v>
      </c>
      <c r="P307">
        <f t="shared" si="21"/>
        <v>0</v>
      </c>
      <c r="Q307">
        <f t="shared" si="22"/>
        <v>-0.17985749239143389</v>
      </c>
      <c r="R307">
        <f t="array" ref="R307">+$B$2*SIN(Q307*$B$3+$B$4)+Q307+$B$9*SIN(PI()*M307+$B$10)+$B$11*SIN(2*PI()*M307+$B$12) + SUM($I$2:$I$18*SIN(2*PI()*M307*$H$2:$H$18+$J$2:$J$18))</f>
        <v>-5.9850071982468789</v>
      </c>
    </row>
    <row r="308" spans="3:18" x14ac:dyDescent="0.35">
      <c r="C308">
        <v>0.78033600000000003</v>
      </c>
      <c r="L308">
        <f t="shared" si="23"/>
        <v>307</v>
      </c>
      <c r="M308">
        <f t="shared" si="24"/>
        <v>1905.4999999999768</v>
      </c>
      <c r="N308">
        <f t="shared" si="20"/>
        <v>0</v>
      </c>
      <c r="O308">
        <f t="array" ref="O308">+SUM($F$2:$F$18*SIN(2*PI()*(M308)*$B$1/$E$2:$E$18+$G$2:$G$18))</f>
        <v>0.40064758739835898</v>
      </c>
      <c r="P308">
        <f t="shared" si="21"/>
        <v>0</v>
      </c>
      <c r="Q308">
        <f t="shared" si="22"/>
        <v>-0.17944281633936227</v>
      </c>
      <c r="R308">
        <f t="array" ref="R308">+$B$2*SIN(Q308*$B$3+$B$4)+Q308+$B$9*SIN(PI()*M308+$B$10)+$B$11*SIN(2*PI()*M308+$B$12) + SUM($I$2:$I$18*SIN(2*PI()*M308*$H$2:$H$18+$J$2:$J$18))</f>
        <v>-4.5450168524119849</v>
      </c>
    </row>
    <row r="309" spans="3:18" x14ac:dyDescent="0.35">
      <c r="C309">
        <v>0.87248000000000003</v>
      </c>
      <c r="L309">
        <f t="shared" si="23"/>
        <v>308</v>
      </c>
      <c r="M309">
        <f t="shared" si="24"/>
        <v>1905.5833333333101</v>
      </c>
      <c r="N309">
        <f t="shared" si="20"/>
        <v>0</v>
      </c>
      <c r="O309">
        <f t="array" ref="O309">+SUM($F$2:$F$18*SIN(2*PI()*(M309)*$B$1/$E$2:$E$18+$G$2:$G$18))</f>
        <v>0.4438630085048848</v>
      </c>
      <c r="P309">
        <f t="shared" si="21"/>
        <v>0</v>
      </c>
      <c r="Q309">
        <f t="shared" si="22"/>
        <v>-0.17902909635659792</v>
      </c>
      <c r="R309">
        <f t="array" ref="R309">+$B$2*SIN(Q309*$B$3+$B$4)+Q309+$B$9*SIN(PI()*M309+$B$10)+$B$11*SIN(2*PI()*M309+$B$12) + SUM($I$2:$I$18*SIN(2*PI()*M309*$H$2:$H$18+$J$2:$J$18))</f>
        <v>-3.0467850909091898</v>
      </c>
    </row>
    <row r="310" spans="3:18" x14ac:dyDescent="0.35">
      <c r="C310">
        <v>0.64461799999999991</v>
      </c>
      <c r="L310">
        <f t="shared" si="23"/>
        <v>309</v>
      </c>
      <c r="M310">
        <f t="shared" si="24"/>
        <v>1905.6666666666433</v>
      </c>
      <c r="N310">
        <f t="shared" si="20"/>
        <v>0</v>
      </c>
      <c r="O310">
        <f t="array" ref="O310">+SUM($F$2:$F$18*SIN(2*PI()*(M310)*$B$1/$E$2:$E$18+$G$2:$G$18))</f>
        <v>0.10777011864984493</v>
      </c>
      <c r="P310">
        <f t="shared" si="21"/>
        <v>0</v>
      </c>
      <c r="Q310">
        <f t="shared" si="22"/>
        <v>-0.17861633023884546</v>
      </c>
      <c r="R310">
        <f t="array" ref="R310">+$B$2*SIN(Q310*$B$3+$B$4)+Q310+$B$9*SIN(PI()*M310+$B$10)+$B$11*SIN(2*PI()*M310+$B$12) + SUM($I$2:$I$18*SIN(2*PI()*M310*$H$2:$H$18+$J$2:$J$18))</f>
        <v>-1.6558276286884772</v>
      </c>
    </row>
    <row r="311" spans="3:18" x14ac:dyDescent="0.35">
      <c r="C311">
        <v>0.59060400000000002</v>
      </c>
      <c r="L311">
        <f t="shared" si="23"/>
        <v>310</v>
      </c>
      <c r="M311">
        <f t="shared" si="24"/>
        <v>1905.7499999999766</v>
      </c>
      <c r="N311">
        <f t="shared" si="20"/>
        <v>0</v>
      </c>
      <c r="O311">
        <f t="array" ref="O311">+SUM($F$2:$F$18*SIN(2*PI()*(M311)*$B$1/$E$2:$E$18+$G$2:$G$18))</f>
        <v>-0.6397422277441468</v>
      </c>
      <c r="P311">
        <f t="shared" si="21"/>
        <v>0</v>
      </c>
      <c r="Q311">
        <f t="shared" si="22"/>
        <v>-0.17820451578689164</v>
      </c>
      <c r="R311">
        <f t="array" ref="R311">+$B$2*SIN(Q311*$B$3+$B$4)+Q311+$B$9*SIN(PI()*M311+$B$10)+$B$11*SIN(2*PI()*M311+$B$12) + SUM($I$2:$I$18*SIN(2*PI()*M311*$H$2:$H$18+$J$2:$J$18))</f>
        <v>-0.49689271026469961</v>
      </c>
    </row>
    <row r="312" spans="3:18" x14ac:dyDescent="0.35">
      <c r="C312">
        <v>0.59812799999999999</v>
      </c>
      <c r="L312">
        <f t="shared" si="23"/>
        <v>311</v>
      </c>
      <c r="M312">
        <f t="shared" si="24"/>
        <v>1905.8333333333098</v>
      </c>
      <c r="N312">
        <f t="shared" si="20"/>
        <v>0</v>
      </c>
      <c r="O312">
        <f t="array" ref="O312">+SUM($F$2:$F$18*SIN(2*PI()*(M312)*$B$1/$E$2:$E$18+$G$2:$G$18))</f>
        <v>-0.66295329211949583</v>
      </c>
      <c r="P312">
        <f t="shared" si="21"/>
        <v>0</v>
      </c>
      <c r="Q312">
        <f t="shared" si="22"/>
        <v>-0.17779365080659371</v>
      </c>
      <c r="R312">
        <f t="array" ref="R312">+$B$2*SIN(Q312*$B$3+$B$4)+Q312+$B$9*SIN(PI()*M312+$B$10)+$B$11*SIN(2*PI()*M312+$B$12) + SUM($I$2:$I$18*SIN(2*PI()*M312*$H$2:$H$18+$J$2:$J$18))</f>
        <v>0.37192306223427396</v>
      </c>
    </row>
    <row r="313" spans="3:18" x14ac:dyDescent="0.35">
      <c r="C313">
        <v>0.81641800000000009</v>
      </c>
      <c r="L313">
        <f t="shared" si="23"/>
        <v>312</v>
      </c>
      <c r="M313">
        <f t="shared" si="24"/>
        <v>1905.9166666666431</v>
      </c>
      <c r="N313">
        <f t="shared" si="20"/>
        <v>0</v>
      </c>
      <c r="O313">
        <f t="array" ref="O313">+SUM($F$2:$F$18*SIN(2*PI()*(M313)*$B$1/$E$2:$E$18+$G$2:$G$18))</f>
        <v>0.15460072630046151</v>
      </c>
      <c r="P313">
        <f t="shared" si="21"/>
        <v>0</v>
      </c>
      <c r="Q313">
        <f t="shared" si="22"/>
        <v>-0.17738373310886763</v>
      </c>
      <c r="R313">
        <f t="array" ref="R313">+$B$2*SIN(Q313*$B$3+$B$4)+Q313+$B$9*SIN(PI()*M313+$B$10)+$B$11*SIN(2*PI()*M313+$B$12) + SUM($I$2:$I$18*SIN(2*PI()*M313*$H$2:$H$18+$J$2:$J$18))</f>
        <v>0.96678988828187418</v>
      </c>
    </row>
    <row r="314" spans="3:18" x14ac:dyDescent="0.35">
      <c r="C314">
        <v>0.73163200000000006</v>
      </c>
      <c r="L314">
        <f t="shared" si="23"/>
        <v>313</v>
      </c>
      <c r="M314">
        <f t="shared" si="24"/>
        <v>1905.9999999999764</v>
      </c>
      <c r="N314">
        <f t="shared" si="20"/>
        <v>200</v>
      </c>
      <c r="O314">
        <f t="array" ref="O314">+SUM($F$2:$F$18*SIN(2*PI()*(M314)*$B$1/$E$2:$E$18+$G$2:$G$18))</f>
        <v>0.54445571229016609</v>
      </c>
      <c r="P314">
        <f t="shared" si="21"/>
        <v>108.89114245803322</v>
      </c>
      <c r="Q314">
        <f t="shared" si="22"/>
        <v>7.4082609743180455E-2</v>
      </c>
      <c r="R314">
        <f t="array" ref="R314">+$B$2*SIN(Q314*$B$3+$B$4)+Q314+$B$9*SIN(PI()*M314+$B$10)+$B$11*SIN(2*PI()*M314+$B$12) + SUM($I$2:$I$18*SIN(2*PI()*M314*$H$2:$H$18+$J$2:$J$18))</f>
        <v>-1.3125569771151264</v>
      </c>
    </row>
    <row r="315" spans="3:18" x14ac:dyDescent="0.35">
      <c r="C315">
        <v>0.87761399999999989</v>
      </c>
      <c r="L315">
        <f t="shared" si="23"/>
        <v>314</v>
      </c>
      <c r="M315">
        <f t="shared" si="24"/>
        <v>1906.0833333333096</v>
      </c>
      <c r="N315">
        <f t="shared" si="20"/>
        <v>0</v>
      </c>
      <c r="O315">
        <f t="array" ref="O315">+SUM($F$2:$F$18*SIN(2*PI()*(M315)*$B$1/$E$2:$E$18+$G$2:$G$18))</f>
        <v>0.59984070938722833</v>
      </c>
      <c r="P315">
        <f t="shared" si="21"/>
        <v>0</v>
      </c>
      <c r="Q315">
        <f t="shared" si="22"/>
        <v>7.3911806271348399E-2</v>
      </c>
      <c r="R315">
        <f t="array" ref="R315">+$B$2*SIN(Q315*$B$3+$B$4)+Q315+$B$9*SIN(PI()*M315+$B$10)+$B$11*SIN(2*PI()*M315+$B$12) + SUM($I$2:$I$18*SIN(2*PI()*M315*$H$2:$H$18+$J$2:$J$18))</f>
        <v>-0.97526231104365113</v>
      </c>
    </row>
    <row r="316" spans="3:18" x14ac:dyDescent="0.35">
      <c r="C316">
        <v>1.0574379999999999</v>
      </c>
      <c r="L316">
        <f t="shared" si="23"/>
        <v>315</v>
      </c>
      <c r="M316">
        <f t="shared" si="24"/>
        <v>1906.1666666666429</v>
      </c>
      <c r="N316">
        <f t="shared" si="20"/>
        <v>0</v>
      </c>
      <c r="O316">
        <f t="array" ref="O316">+SUM($F$2:$F$18*SIN(2*PI()*(M316)*$B$1/$E$2:$E$18+$G$2:$G$18))</f>
        <v>0.72138475378561606</v>
      </c>
      <c r="P316">
        <f t="shared" si="21"/>
        <v>0</v>
      </c>
      <c r="Q316">
        <f t="shared" si="22"/>
        <v>7.3741396600788878E-2</v>
      </c>
      <c r="R316">
        <f t="array" ref="R316">+$B$2*SIN(Q316*$B$3+$B$4)+Q316+$B$9*SIN(PI()*M316+$B$10)+$B$11*SIN(2*PI()*M316+$B$12) + SUM($I$2:$I$18*SIN(2*PI()*M316*$H$2:$H$18+$J$2:$J$18))</f>
        <v>-0.61605502603103535</v>
      </c>
    </row>
    <row r="317" spans="3:18" x14ac:dyDescent="0.35">
      <c r="C317">
        <v>1.09111</v>
      </c>
      <c r="L317">
        <f t="shared" si="23"/>
        <v>316</v>
      </c>
      <c r="M317">
        <f t="shared" si="24"/>
        <v>1906.2499999999761</v>
      </c>
      <c r="N317">
        <f t="shared" si="20"/>
        <v>0</v>
      </c>
      <c r="O317">
        <f t="array" ref="O317">+SUM($F$2:$F$18*SIN(2*PI()*(M317)*$B$1/$E$2:$E$18+$G$2:$G$18))</f>
        <v>0.604156398051514</v>
      </c>
      <c r="P317">
        <f t="shared" si="21"/>
        <v>0</v>
      </c>
      <c r="Q317">
        <f t="shared" si="22"/>
        <v>7.3571379823561087E-2</v>
      </c>
      <c r="R317">
        <f t="array" ref="R317">+$B$2*SIN(Q317*$B$3+$B$4)+Q317+$B$9*SIN(PI()*M317+$B$10)+$B$11*SIN(2*PI()*M317+$B$12) + SUM($I$2:$I$18*SIN(2*PI()*M317*$H$2:$H$18+$J$2:$J$18))</f>
        <v>-0.16752188926629064</v>
      </c>
    </row>
    <row r="318" spans="3:18" x14ac:dyDescent="0.35">
      <c r="C318">
        <v>1.087858</v>
      </c>
      <c r="L318">
        <f t="shared" si="23"/>
        <v>317</v>
      </c>
      <c r="M318">
        <f t="shared" si="24"/>
        <v>1906.3333333333094</v>
      </c>
      <c r="N318">
        <f t="shared" si="20"/>
        <v>0</v>
      </c>
      <c r="O318">
        <f t="array" ref="O318">+SUM($F$2:$F$18*SIN(2*PI()*(M318)*$B$1/$E$2:$E$18+$G$2:$G$18))</f>
        <v>0.49674591093758586</v>
      </c>
      <c r="P318">
        <f t="shared" si="21"/>
        <v>0</v>
      </c>
      <c r="Q318">
        <f t="shared" si="22"/>
        <v>7.3401755033817545E-2</v>
      </c>
      <c r="R318">
        <f t="array" ref="R318">+$B$2*SIN(Q318*$B$3+$B$4)+Q318+$B$9*SIN(PI()*M318+$B$10)+$B$11*SIN(2*PI()*M318+$B$12) + SUM($I$2:$I$18*SIN(2*PI()*M318*$H$2:$H$18+$J$2:$J$18))</f>
        <v>0.37464707035404832</v>
      </c>
    </row>
    <row r="319" spans="3:18" x14ac:dyDescent="0.35">
      <c r="C319">
        <v>0.72614199999999995</v>
      </c>
      <c r="L319">
        <f t="shared" si="23"/>
        <v>318</v>
      </c>
      <c r="M319">
        <f t="shared" si="24"/>
        <v>1906.4166666666426</v>
      </c>
      <c r="N319">
        <f t="shared" si="20"/>
        <v>0</v>
      </c>
      <c r="O319">
        <f t="array" ref="O319">+SUM($F$2:$F$18*SIN(2*PI()*(M319)*$B$1/$E$2:$E$18+$G$2:$G$18))</f>
        <v>0.1654718342459392</v>
      </c>
      <c r="P319">
        <f t="shared" si="21"/>
        <v>0</v>
      </c>
      <c r="Q319">
        <f t="shared" si="22"/>
        <v>7.3232521327799283E-2</v>
      </c>
      <c r="R319">
        <f t="array" ref="R319">+$B$2*SIN(Q319*$B$3+$B$4)+Q319+$B$9*SIN(PI()*M319+$B$10)+$B$11*SIN(2*PI()*M319+$B$12) + SUM($I$2:$I$18*SIN(2*PI()*M319*$H$2:$H$18+$J$2:$J$18))</f>
        <v>0.94625598628876162</v>
      </c>
    </row>
    <row r="320" spans="3:18" x14ac:dyDescent="0.35">
      <c r="C320">
        <v>0.35365600000000003</v>
      </c>
      <c r="L320">
        <f t="shared" si="23"/>
        <v>319</v>
      </c>
      <c r="M320">
        <f t="shared" si="24"/>
        <v>1906.4999999999759</v>
      </c>
      <c r="N320">
        <f t="shared" si="20"/>
        <v>0</v>
      </c>
      <c r="O320">
        <f t="array" ref="O320">+SUM($F$2:$F$18*SIN(2*PI()*(M320)*$B$1/$E$2:$E$18+$G$2:$G$18))</f>
        <v>-0.54946660717720752</v>
      </c>
      <c r="P320">
        <f t="shared" si="21"/>
        <v>0</v>
      </c>
      <c r="Q320">
        <f t="shared" si="22"/>
        <v>7.3063677803831023E-2</v>
      </c>
      <c r="R320">
        <f t="array" ref="R320">+$B$2*SIN(Q320*$B$3+$B$4)+Q320+$B$9*SIN(PI()*M320+$B$10)+$B$11*SIN(2*PI()*M320+$B$12) + SUM($I$2:$I$18*SIN(2*PI()*M320*$H$2:$H$18+$J$2:$J$18))</f>
        <v>1.4290947295239258</v>
      </c>
    </row>
    <row r="321" spans="3:18" x14ac:dyDescent="0.35">
      <c r="C321">
        <v>0.518092</v>
      </c>
      <c r="L321">
        <f t="shared" si="23"/>
        <v>320</v>
      </c>
      <c r="M321">
        <f t="shared" si="24"/>
        <v>1906.5833333333092</v>
      </c>
      <c r="N321">
        <f t="shared" si="20"/>
        <v>0</v>
      </c>
      <c r="O321">
        <f t="array" ref="O321">+SUM($F$2:$F$18*SIN(2*PI()*(M321)*$B$1/$E$2:$E$18+$G$2:$G$18))</f>
        <v>-0.46361486585893674</v>
      </c>
      <c r="P321">
        <f t="shared" si="21"/>
        <v>0</v>
      </c>
      <c r="Q321">
        <f t="shared" si="22"/>
        <v>7.2895223562316369E-2</v>
      </c>
      <c r="R321">
        <f t="array" ref="R321">+$B$2*SIN(Q321*$B$3+$B$4)+Q321+$B$9*SIN(PI()*M321+$B$10)+$B$11*SIN(2*PI()*M321+$B$12) + SUM($I$2:$I$18*SIN(2*PI()*M321*$H$2:$H$18+$J$2:$J$18))</f>
        <v>1.681586860840393</v>
      </c>
    </row>
    <row r="322" spans="3:18" x14ac:dyDescent="0.35">
      <c r="C322">
        <v>0.33329599999999998</v>
      </c>
      <c r="L322">
        <f t="shared" si="23"/>
        <v>321</v>
      </c>
      <c r="M322">
        <f t="shared" si="24"/>
        <v>1906.6666666666424</v>
      </c>
      <c r="N322">
        <f t="shared" ref="N322:N385" si="25">+IF(MOD(L322,$B$5)=1, $B$6, 0)</f>
        <v>0</v>
      </c>
      <c r="O322">
        <f t="array" ref="O322">+SUM($F$2:$F$18*SIN(2*PI()*(M322)*$B$1/$E$2:$E$18+$G$2:$G$18))</f>
        <v>0.38788595850136837</v>
      </c>
      <c r="P322">
        <f t="shared" si="21"/>
        <v>0</v>
      </c>
      <c r="Q322">
        <f t="shared" si="22"/>
        <v>7.2727157705733014E-2</v>
      </c>
      <c r="R322">
        <f t="array" ref="R322">+$B$2*SIN(Q322*$B$3+$B$4)+Q322+$B$9*SIN(PI()*M322+$B$10)+$B$11*SIN(2*PI()*M322+$B$12) + SUM($I$2:$I$18*SIN(2*PI()*M322*$H$2:$H$18+$J$2:$J$18))</f>
        <v>1.5774551364036951</v>
      </c>
    </row>
    <row r="323" spans="3:18" x14ac:dyDescent="0.35">
      <c r="C323">
        <v>0.142344</v>
      </c>
      <c r="L323">
        <f t="shared" si="23"/>
        <v>322</v>
      </c>
      <c r="M323">
        <f t="shared" si="24"/>
        <v>1906.7499999999757</v>
      </c>
      <c r="N323">
        <f t="shared" si="25"/>
        <v>0</v>
      </c>
      <c r="O323">
        <f t="array" ref="O323">+SUM($F$2:$F$18*SIN(2*PI()*(M323)*$B$1/$E$2:$E$18+$G$2:$G$18))</f>
        <v>0.88170570304618345</v>
      </c>
      <c r="P323">
        <f t="shared" ref="P323:P386" si="26">+N323*O323</f>
        <v>0</v>
      </c>
      <c r="Q323">
        <f t="shared" ref="Q323:Q386" si="27">+(1-$B$7)*Q322+($B$7)*P323</f>
        <v>7.2559479338627969E-2</v>
      </c>
      <c r="R323">
        <f t="array" ref="R323">+$B$2*SIN(Q323*$B$3+$B$4)+Q323+$B$9*SIN(PI()*M323+$B$10)+$B$11*SIN(2*PI()*M323+$B$12) + SUM($I$2:$I$18*SIN(2*PI()*M323*$H$2:$H$18+$J$2:$J$18))</f>
        <v>1.04203860767816</v>
      </c>
    </row>
    <row r="324" spans="3:18" x14ac:dyDescent="0.35">
      <c r="C324">
        <v>0.14677799999999999</v>
      </c>
      <c r="L324">
        <f t="shared" ref="L324:L387" si="28">+L323+1</f>
        <v>323</v>
      </c>
      <c r="M324">
        <f t="shared" ref="M324:M387" si="29">+M323+1/12</f>
        <v>1906.8333333333089</v>
      </c>
      <c r="N324">
        <f t="shared" si="25"/>
        <v>0</v>
      </c>
      <c r="O324">
        <f t="array" ref="O324">+SUM($F$2:$F$18*SIN(2*PI()*(M324)*$B$1/$E$2:$E$18+$G$2:$G$18))</f>
        <v>1.0366852104394</v>
      </c>
      <c r="P324">
        <f t="shared" si="26"/>
        <v>0</v>
      </c>
      <c r="Q324">
        <f t="shared" si="27"/>
        <v>7.2392187567612773E-2</v>
      </c>
      <c r="R324">
        <f t="array" ref="R324">+$B$2*SIN(Q324*$B$3+$B$4)+Q324+$B$9*SIN(PI()*M324+$B$10)+$B$11*SIN(2*PI()*M324+$B$12) + SUM($I$2:$I$18*SIN(2*PI()*M324*$H$2:$H$18+$J$2:$J$18))</f>
        <v>7.6442966838428994E-2</v>
      </c>
    </row>
    <row r="325" spans="3:18" x14ac:dyDescent="0.35">
      <c r="C325">
        <v>-4.1100000000000005E-2</v>
      </c>
      <c r="L325">
        <f t="shared" si="28"/>
        <v>324</v>
      </c>
      <c r="M325">
        <f t="shared" si="29"/>
        <v>1906.9166666666422</v>
      </c>
      <c r="N325">
        <f t="shared" si="25"/>
        <v>0</v>
      </c>
      <c r="O325">
        <f t="array" ref="O325">+SUM($F$2:$F$18*SIN(2*PI()*(M325)*$B$1/$E$2:$E$18+$G$2:$G$18))</f>
        <v>0.81175532995697997</v>
      </c>
      <c r="P325">
        <f t="shared" si="26"/>
        <v>0</v>
      </c>
      <c r="Q325">
        <f t="shared" si="27"/>
        <v>7.2225281501358748E-2</v>
      </c>
      <c r="R325">
        <f t="array" ref="R325">+$B$2*SIN(Q325*$B$3+$B$4)+Q325+$B$9*SIN(PI()*M325+$B$10)+$B$11*SIN(2*PI()*M325+$B$12) + SUM($I$2:$I$18*SIN(2*PI()*M325*$H$2:$H$18+$J$2:$J$18))</f>
        <v>-1.2371141158021111</v>
      </c>
    </row>
    <row r="326" spans="3:18" x14ac:dyDescent="0.35">
      <c r="C326">
        <v>3.2562000000000001E-2</v>
      </c>
      <c r="L326">
        <f t="shared" si="28"/>
        <v>325</v>
      </c>
      <c r="M326">
        <f t="shared" si="29"/>
        <v>1906.9999999999754</v>
      </c>
      <c r="N326">
        <f t="shared" si="25"/>
        <v>200</v>
      </c>
      <c r="O326">
        <f t="array" ref="O326">+SUM($F$2:$F$18*SIN(2*PI()*(M326)*$B$1/$E$2:$E$18+$G$2:$G$18))</f>
        <v>0.37118171241964854</v>
      </c>
      <c r="P326">
        <f t="shared" si="26"/>
        <v>74.236342483929704</v>
      </c>
      <c r="Q326">
        <f t="shared" si="27"/>
        <v>0.24321667539863828</v>
      </c>
      <c r="R326">
        <f t="array" ref="R326">+$B$2*SIN(Q326*$B$3+$B$4)+Q326+$B$9*SIN(PI()*M326+$B$10)+$B$11*SIN(2*PI()*M326+$B$12) + SUM($I$2:$I$18*SIN(2*PI()*M326*$H$2:$H$18+$J$2:$J$18))</f>
        <v>11.651658982128069</v>
      </c>
    </row>
    <row r="327" spans="3:18" x14ac:dyDescent="0.35">
      <c r="C327">
        <v>7.3916000000000009E-2</v>
      </c>
      <c r="L327">
        <f t="shared" si="28"/>
        <v>326</v>
      </c>
      <c r="M327">
        <f t="shared" si="29"/>
        <v>1907.0833333333087</v>
      </c>
      <c r="N327">
        <f t="shared" si="25"/>
        <v>0</v>
      </c>
      <c r="O327">
        <f t="array" ref="O327">+SUM($F$2:$F$18*SIN(2*PI()*(M327)*$B$1/$E$2:$E$18+$G$2:$G$18))</f>
        <v>0.42910643652235841</v>
      </c>
      <c r="P327">
        <f t="shared" si="26"/>
        <v>0</v>
      </c>
      <c r="Q327">
        <f t="shared" si="27"/>
        <v>0.24265591960575311</v>
      </c>
      <c r="R327">
        <f t="array" ref="R327">+$B$2*SIN(Q327*$B$3+$B$4)+Q327+$B$9*SIN(PI()*M327+$B$10)+$B$11*SIN(2*PI()*M327+$B$12) + SUM($I$2:$I$18*SIN(2*PI()*M327*$H$2:$H$18+$J$2:$J$18))</f>
        <v>10.105626658225461</v>
      </c>
    </row>
    <row r="328" spans="3:18" x14ac:dyDescent="0.35">
      <c r="C328">
        <v>0.15526400000000001</v>
      </c>
      <c r="L328">
        <f t="shared" si="28"/>
        <v>327</v>
      </c>
      <c r="M328">
        <f t="shared" si="29"/>
        <v>1907.166666666642</v>
      </c>
      <c r="N328">
        <f t="shared" si="25"/>
        <v>0</v>
      </c>
      <c r="O328">
        <f t="array" ref="O328">+SUM($F$2:$F$18*SIN(2*PI()*(M328)*$B$1/$E$2:$E$18+$G$2:$G$18))</f>
        <v>0.19074392812263907</v>
      </c>
      <c r="P328">
        <f t="shared" si="26"/>
        <v>0</v>
      </c>
      <c r="Q328">
        <f t="shared" si="27"/>
        <v>0.24209645668087851</v>
      </c>
      <c r="R328">
        <f t="array" ref="R328">+$B$2*SIN(Q328*$B$3+$B$4)+Q328+$B$9*SIN(PI()*M328+$B$10)+$B$11*SIN(2*PI()*M328+$B$12) + SUM($I$2:$I$18*SIN(2*PI()*M328*$H$2:$H$18+$J$2:$J$18))</f>
        <v>8.7179641731751971</v>
      </c>
    </row>
    <row r="329" spans="3:18" x14ac:dyDescent="0.35">
      <c r="C329">
        <v>0.23661599999999999</v>
      </c>
      <c r="L329">
        <f t="shared" si="28"/>
        <v>328</v>
      </c>
      <c r="M329">
        <f t="shared" si="29"/>
        <v>1907.2499999999752</v>
      </c>
      <c r="N329">
        <f t="shared" si="25"/>
        <v>0</v>
      </c>
      <c r="O329">
        <f t="array" ref="O329">+SUM($F$2:$F$18*SIN(2*PI()*(M329)*$B$1/$E$2:$E$18+$G$2:$G$18))</f>
        <v>-0.65222132739130456</v>
      </c>
      <c r="P329">
        <f t="shared" si="26"/>
        <v>0</v>
      </c>
      <c r="Q329">
        <f t="shared" si="27"/>
        <v>0.24153828364320226</v>
      </c>
      <c r="R329">
        <f t="array" ref="R329">+$B$2*SIN(Q329*$B$3+$B$4)+Q329+$B$9*SIN(PI()*M329+$B$10)+$B$11*SIN(2*PI()*M329+$B$12) + SUM($I$2:$I$18*SIN(2*PI()*M329*$H$2:$H$18+$J$2:$J$18))</f>
        <v>7.6199194677101385</v>
      </c>
    </row>
    <row r="330" spans="3:18" x14ac:dyDescent="0.35">
      <c r="C330">
        <v>0.29950399999999999</v>
      </c>
      <c r="L330">
        <f t="shared" si="28"/>
        <v>329</v>
      </c>
      <c r="M330">
        <f t="shared" si="29"/>
        <v>1907.3333333333085</v>
      </c>
      <c r="N330">
        <f t="shared" si="25"/>
        <v>0</v>
      </c>
      <c r="O330">
        <f t="array" ref="O330">+SUM($F$2:$F$18*SIN(2*PI()*(M330)*$B$1/$E$2:$E$18+$G$2:$G$18))</f>
        <v>-0.54717070441817905</v>
      </c>
      <c r="P330">
        <f t="shared" si="26"/>
        <v>0</v>
      </c>
      <c r="Q330">
        <f t="shared" si="27"/>
        <v>0.24098139751878472</v>
      </c>
      <c r="R330">
        <f t="array" ref="R330">+$B$2*SIN(Q330*$B$3+$B$4)+Q330+$B$9*SIN(PI()*M330+$B$10)+$B$11*SIN(2*PI()*M330+$B$12) + SUM($I$2:$I$18*SIN(2*PI()*M330*$H$2:$H$18+$J$2:$J$18))</f>
        <v>6.8712750603172186</v>
      </c>
    </row>
    <row r="331" spans="3:18" x14ac:dyDescent="0.35">
      <c r="C331">
        <v>0.117772</v>
      </c>
      <c r="L331">
        <f t="shared" si="28"/>
        <v>330</v>
      </c>
      <c r="M331">
        <f t="shared" si="29"/>
        <v>1907.4166666666417</v>
      </c>
      <c r="N331">
        <f t="shared" si="25"/>
        <v>0</v>
      </c>
      <c r="O331">
        <f t="array" ref="O331">+SUM($F$2:$F$18*SIN(2*PI()*(M331)*$B$1/$E$2:$E$18+$G$2:$G$18))</f>
        <v>0.48511711681304198</v>
      </c>
      <c r="P331">
        <f t="shared" si="26"/>
        <v>0</v>
      </c>
      <c r="Q331">
        <f t="shared" si="27"/>
        <v>0.2404257953405429</v>
      </c>
      <c r="R331">
        <f t="array" ref="R331">+$B$2*SIN(Q331*$B$3+$B$4)+Q331+$B$9*SIN(PI()*M331+$B$10)+$B$11*SIN(2*PI()*M331+$B$12) + SUM($I$2:$I$18*SIN(2*PI()*M331*$H$2:$H$18+$J$2:$J$18))</f>
        <v>6.4522580441032922</v>
      </c>
    </row>
    <row r="332" spans="3:18" x14ac:dyDescent="0.35">
      <c r="C332">
        <v>-3.0110000000000001E-2</v>
      </c>
      <c r="L332">
        <f t="shared" si="28"/>
        <v>331</v>
      </c>
      <c r="M332">
        <f t="shared" si="29"/>
        <v>1907.499999999975</v>
      </c>
      <c r="N332">
        <f t="shared" si="25"/>
        <v>0</v>
      </c>
      <c r="O332">
        <f t="array" ref="O332">+SUM($F$2:$F$18*SIN(2*PI()*(M332)*$B$1/$E$2:$E$18+$G$2:$G$18))</f>
        <v>1.1663364677546235</v>
      </c>
      <c r="P332">
        <f t="shared" si="26"/>
        <v>0</v>
      </c>
      <c r="Q332">
        <f t="shared" si="27"/>
        <v>0.23987147414823462</v>
      </c>
      <c r="R332">
        <f t="array" ref="R332">+$B$2*SIN(Q332*$B$3+$B$4)+Q332+$B$9*SIN(PI()*M332+$B$10)+$B$11*SIN(2*PI()*M332+$B$12) + SUM($I$2:$I$18*SIN(2*PI()*M332*$H$2:$H$18+$J$2:$J$18))</f>
        <v>6.2758547534507718</v>
      </c>
    </row>
    <row r="333" spans="3:18" x14ac:dyDescent="0.35">
      <c r="C333">
        <v>4.6620000000000002E-2</v>
      </c>
      <c r="L333">
        <f t="shared" si="28"/>
        <v>332</v>
      </c>
      <c r="M333">
        <f t="shared" si="29"/>
        <v>1907.5833333333082</v>
      </c>
      <c r="N333">
        <f t="shared" si="25"/>
        <v>0</v>
      </c>
      <c r="O333">
        <f t="array" ref="O333">+SUM($F$2:$F$18*SIN(2*PI()*(M333)*$B$1/$E$2:$E$18+$G$2:$G$18))</f>
        <v>1.0568811465318324</v>
      </c>
      <c r="P333">
        <f t="shared" si="26"/>
        <v>0</v>
      </c>
      <c r="Q333">
        <f t="shared" si="27"/>
        <v>0.2393184309884428</v>
      </c>
      <c r="R333">
        <f t="array" ref="R333">+$B$2*SIN(Q333*$B$3+$B$4)+Q333+$B$9*SIN(PI()*M333+$B$10)+$B$11*SIN(2*PI()*M333+$B$12) + SUM($I$2:$I$18*SIN(2*PI()*M333*$H$2:$H$18+$J$2:$J$18))</f>
        <v>6.2169284621566856</v>
      </c>
    </row>
    <row r="334" spans="3:18" x14ac:dyDescent="0.35">
      <c r="C334">
        <v>-0.293576</v>
      </c>
      <c r="L334">
        <f t="shared" si="28"/>
        <v>333</v>
      </c>
      <c r="M334">
        <f t="shared" si="29"/>
        <v>1907.6666666666415</v>
      </c>
      <c r="N334">
        <f t="shared" si="25"/>
        <v>0</v>
      </c>
      <c r="O334">
        <f t="array" ref="O334">+SUM($F$2:$F$18*SIN(2*PI()*(M334)*$B$1/$E$2:$E$18+$G$2:$G$18))</f>
        <v>0.12960877601847648</v>
      </c>
      <c r="P334">
        <f t="shared" si="26"/>
        <v>0</v>
      </c>
      <c r="Q334">
        <f t="shared" si="27"/>
        <v>0.2387666629145597</v>
      </c>
      <c r="R334">
        <f t="array" ref="R334">+$B$2*SIN(Q334*$B$3+$B$4)+Q334+$B$9*SIN(PI()*M334+$B$10)+$B$11*SIN(2*PI()*M334+$B$12) + SUM($I$2:$I$18*SIN(2*PI()*M334*$H$2:$H$18+$J$2:$J$18))</f>
        <v>6.1501024894772875</v>
      </c>
    </row>
    <row r="335" spans="3:18" x14ac:dyDescent="0.35">
      <c r="C335">
        <v>-7.6848E-2</v>
      </c>
      <c r="L335">
        <f t="shared" si="28"/>
        <v>334</v>
      </c>
      <c r="M335">
        <f t="shared" si="29"/>
        <v>1907.7499999999748</v>
      </c>
      <c r="N335">
        <f t="shared" si="25"/>
        <v>0</v>
      </c>
      <c r="O335">
        <f t="array" ref="O335">+SUM($F$2:$F$18*SIN(2*PI()*(M335)*$B$1/$E$2:$E$18+$G$2:$G$18))</f>
        <v>-0.41316584112331739</v>
      </c>
      <c r="P335">
        <f t="shared" si="26"/>
        <v>0</v>
      </c>
      <c r="Q335">
        <f t="shared" si="27"/>
        <v>0.23821616698677123</v>
      </c>
      <c r="R335">
        <f t="array" ref="R335">+$B$2*SIN(Q335*$B$3+$B$4)+Q335+$B$9*SIN(PI()*M335+$B$10)+$B$11*SIN(2*PI()*M335+$B$12) + SUM($I$2:$I$18*SIN(2*PI()*M335*$H$2:$H$18+$J$2:$J$18))</f>
        <v>5.9861011431969917</v>
      </c>
    </row>
    <row r="336" spans="3:18" x14ac:dyDescent="0.35">
      <c r="C336">
        <v>-0.133966</v>
      </c>
      <c r="L336">
        <f t="shared" si="28"/>
        <v>335</v>
      </c>
      <c r="M336">
        <f t="shared" si="29"/>
        <v>1907.833333333308</v>
      </c>
      <c r="N336">
        <f t="shared" si="25"/>
        <v>0</v>
      </c>
      <c r="O336">
        <f t="array" ref="O336">+SUM($F$2:$F$18*SIN(2*PI()*(M336)*$B$1/$E$2:$E$18+$G$2:$G$18))</f>
        <v>0.18252868973399905</v>
      </c>
      <c r="P336">
        <f t="shared" si="26"/>
        <v>0</v>
      </c>
      <c r="Q336">
        <f t="shared" si="27"/>
        <v>0.2376669402720413</v>
      </c>
      <c r="R336">
        <f t="array" ref="R336">+$B$2*SIN(Q336*$B$3+$B$4)+Q336+$B$9*SIN(PI()*M336+$B$10)+$B$11*SIN(2*PI()*M336+$B$12) + SUM($I$2:$I$18*SIN(2*PI()*M336*$H$2:$H$18+$J$2:$J$18))</f>
        <v>5.6967405625839618</v>
      </c>
    </row>
    <row r="337" spans="3:18" x14ac:dyDescent="0.35">
      <c r="C337">
        <v>-0.395704</v>
      </c>
      <c r="L337">
        <f t="shared" si="28"/>
        <v>336</v>
      </c>
      <c r="M337">
        <f t="shared" si="29"/>
        <v>1907.9166666666413</v>
      </c>
      <c r="N337">
        <f t="shared" si="25"/>
        <v>0</v>
      </c>
      <c r="O337">
        <f t="array" ref="O337">+SUM($F$2:$F$18*SIN(2*PI()*(M337)*$B$1/$E$2:$E$18+$G$2:$G$18))</f>
        <v>7.1485303653387344E-2</v>
      </c>
      <c r="P337">
        <f t="shared" si="26"/>
        <v>0</v>
      </c>
      <c r="Q337">
        <f t="shared" si="27"/>
        <v>0.23711897984409613</v>
      </c>
      <c r="R337">
        <f t="array" ref="R337">+$B$2*SIN(Q337*$B$3+$B$4)+Q337+$B$9*SIN(PI()*M337+$B$10)+$B$11*SIN(2*PI()*M337+$B$12) + SUM($I$2:$I$18*SIN(2*PI()*M337*$H$2:$H$18+$J$2:$J$18))</f>
        <v>5.3218916788586927</v>
      </c>
    </row>
    <row r="338" spans="3:18" x14ac:dyDescent="0.35">
      <c r="C338">
        <v>-0.44821</v>
      </c>
      <c r="L338">
        <f t="shared" si="28"/>
        <v>337</v>
      </c>
      <c r="M338">
        <f t="shared" si="29"/>
        <v>1907.9999999999745</v>
      </c>
      <c r="N338">
        <f t="shared" si="25"/>
        <v>200</v>
      </c>
      <c r="O338">
        <f t="array" ref="O338">+SUM($F$2:$F$18*SIN(2*PI()*(M338)*$B$1/$E$2:$E$18+$G$2:$G$18))</f>
        <v>-1.0179558627561882</v>
      </c>
      <c r="P338">
        <f t="shared" si="26"/>
        <v>-203.59117255123763</v>
      </c>
      <c r="Q338">
        <f t="shared" si="27"/>
        <v>-0.23282369593091512</v>
      </c>
      <c r="R338">
        <f t="array" ref="R338">+$B$2*SIN(Q338*$B$3+$B$4)+Q338+$B$9*SIN(PI()*M338+$B$10)+$B$11*SIN(2*PI()*M338+$B$12) + SUM($I$2:$I$18*SIN(2*PI()*M338*$H$2:$H$18+$J$2:$J$18))</f>
        <v>-1.0616913744092695</v>
      </c>
    </row>
    <row r="339" spans="3:18" x14ac:dyDescent="0.35">
      <c r="C339">
        <v>-0.494562</v>
      </c>
      <c r="L339">
        <f t="shared" si="28"/>
        <v>338</v>
      </c>
      <c r="M339">
        <f t="shared" si="29"/>
        <v>1908.0833333333078</v>
      </c>
      <c r="N339">
        <f t="shared" si="25"/>
        <v>0</v>
      </c>
      <c r="O339">
        <f t="array" ref="O339">+SUM($F$2:$F$18*SIN(2*PI()*(M339)*$B$1/$E$2:$E$18+$G$2:$G$18))</f>
        <v>-0.90853138907662989</v>
      </c>
      <c r="P339">
        <f t="shared" si="26"/>
        <v>0</v>
      </c>
      <c r="Q339">
        <f t="shared" si="27"/>
        <v>-0.23228690199604118</v>
      </c>
      <c r="R339">
        <f t="array" ref="R339">+$B$2*SIN(Q339*$B$3+$B$4)+Q339+$B$9*SIN(PI()*M339+$B$10)+$B$11*SIN(2*PI()*M339+$B$12) + SUM($I$2:$I$18*SIN(2*PI()*M339*$H$2:$H$18+$J$2:$J$18))</f>
        <v>-1.3139979405044047</v>
      </c>
    </row>
    <row r="340" spans="3:18" x14ac:dyDescent="0.35">
      <c r="C340">
        <v>-0.40245600000000004</v>
      </c>
      <c r="L340">
        <f t="shared" si="28"/>
        <v>339</v>
      </c>
      <c r="M340">
        <f t="shared" si="29"/>
        <v>1908.166666666641</v>
      </c>
      <c r="N340">
        <f t="shared" si="25"/>
        <v>0</v>
      </c>
      <c r="O340">
        <f t="array" ref="O340">+SUM($F$2:$F$18*SIN(2*PI()*(M340)*$B$1/$E$2:$E$18+$G$2:$G$18))</f>
        <v>0.39170541741082154</v>
      </c>
      <c r="P340">
        <f t="shared" si="26"/>
        <v>0</v>
      </c>
      <c r="Q340">
        <f t="shared" si="27"/>
        <v>-0.23175134568316857</v>
      </c>
      <c r="R340">
        <f t="array" ref="R340">+$B$2*SIN(Q340*$B$3+$B$4)+Q340+$B$9*SIN(PI()*M340+$B$10)+$B$11*SIN(2*PI()*M340+$B$12) + SUM($I$2:$I$18*SIN(2*PI()*M340*$H$2:$H$18+$J$2:$J$18))</f>
        <v>-1.3247556227914554</v>
      </c>
    </row>
    <row r="341" spans="3:18" x14ac:dyDescent="0.35">
      <c r="C341">
        <v>-0.474966</v>
      </c>
      <c r="L341">
        <f t="shared" si="28"/>
        <v>340</v>
      </c>
      <c r="M341">
        <f t="shared" si="29"/>
        <v>1908.2499999999743</v>
      </c>
      <c r="N341">
        <f t="shared" si="25"/>
        <v>0</v>
      </c>
      <c r="O341">
        <f t="array" ref="O341">+SUM($F$2:$F$18*SIN(2*PI()*(M341)*$B$1/$E$2:$E$18+$G$2:$G$18))</f>
        <v>1.1841149932695663</v>
      </c>
      <c r="P341">
        <f t="shared" si="26"/>
        <v>0</v>
      </c>
      <c r="Q341">
        <f t="shared" si="27"/>
        <v>-0.23121702413885931</v>
      </c>
      <c r="R341">
        <f t="array" ref="R341">+$B$2*SIN(Q341*$B$3+$B$4)+Q341+$B$9*SIN(PI()*M341+$B$10)+$B$11*SIN(2*PI()*M341+$B$12) + SUM($I$2:$I$18*SIN(2*PI()*M341*$H$2:$H$18+$J$2:$J$18))</f>
        <v>-1.0295103101001686</v>
      </c>
    </row>
    <row r="342" spans="3:18" x14ac:dyDescent="0.35">
      <c r="C342">
        <v>-0.64593800000000001</v>
      </c>
      <c r="L342">
        <f t="shared" si="28"/>
        <v>341</v>
      </c>
      <c r="M342">
        <f t="shared" si="29"/>
        <v>1908.3333333333076</v>
      </c>
      <c r="N342">
        <f t="shared" si="25"/>
        <v>0</v>
      </c>
      <c r="O342">
        <f t="array" ref="O342">+SUM($F$2:$F$18*SIN(2*PI()*(M342)*$B$1/$E$2:$E$18+$G$2:$G$18))</f>
        <v>0.5056826960723938</v>
      </c>
      <c r="P342">
        <f t="shared" si="26"/>
        <v>0</v>
      </c>
      <c r="Q342">
        <f t="shared" si="27"/>
        <v>-0.23068393451625419</v>
      </c>
      <c r="R342">
        <f t="array" ref="R342">+$B$2*SIN(Q342*$B$3+$B$4)+Q342+$B$9*SIN(PI()*M342+$B$10)+$B$11*SIN(2*PI()*M342+$B$12) + SUM($I$2:$I$18*SIN(2*PI()*M342*$H$2:$H$18+$J$2:$J$18))</f>
        <v>-0.43300060177647648</v>
      </c>
    </row>
    <row r="343" spans="3:18" x14ac:dyDescent="0.35">
      <c r="C343">
        <v>-0.976912</v>
      </c>
      <c r="L343">
        <f t="shared" si="28"/>
        <v>342</v>
      </c>
      <c r="M343">
        <f t="shared" si="29"/>
        <v>1908.4166666666408</v>
      </c>
      <c r="N343">
        <f t="shared" si="25"/>
        <v>0</v>
      </c>
      <c r="O343">
        <f t="array" ref="O343">+SUM($F$2:$F$18*SIN(2*PI()*(M343)*$B$1/$E$2:$E$18+$G$2:$G$18))</f>
        <v>-1.1393767481481314</v>
      </c>
      <c r="P343">
        <f t="shared" si="26"/>
        <v>0</v>
      </c>
      <c r="Q343">
        <f t="shared" si="27"/>
        <v>-0.23015207397505769</v>
      </c>
      <c r="R343">
        <f t="array" ref="R343">+$B$2*SIN(Q343*$B$3+$B$4)+Q343+$B$9*SIN(PI()*M343+$B$10)+$B$11*SIN(2*PI()*M343+$B$12) + SUM($I$2:$I$18*SIN(2*PI()*M343*$H$2:$H$18+$J$2:$J$18))</f>
        <v>0.38599452429443204</v>
      </c>
    </row>
    <row r="344" spans="3:18" x14ac:dyDescent="0.35">
      <c r="C344">
        <v>-1.2740400000000001</v>
      </c>
      <c r="L344">
        <f t="shared" si="28"/>
        <v>343</v>
      </c>
      <c r="M344">
        <f t="shared" si="29"/>
        <v>1908.4999999999741</v>
      </c>
      <c r="N344">
        <f t="shared" si="25"/>
        <v>0</v>
      </c>
      <c r="O344">
        <f t="array" ref="O344">+SUM($F$2:$F$18*SIN(2*PI()*(M344)*$B$1/$E$2:$E$18+$G$2:$G$18))</f>
        <v>-1.3972035670168348</v>
      </c>
      <c r="P344">
        <f t="shared" si="26"/>
        <v>0</v>
      </c>
      <c r="Q344">
        <f t="shared" si="27"/>
        <v>-0.22962143968152285</v>
      </c>
      <c r="R344">
        <f t="array" ref="R344">+$B$2*SIN(Q344*$B$3+$B$4)+Q344+$B$9*SIN(PI()*M344+$B$10)+$B$11*SIN(2*PI()*M344+$B$12) + SUM($I$2:$I$18*SIN(2*PI()*M344*$H$2:$H$18+$J$2:$J$18))</f>
        <v>1.2898181512991755</v>
      </c>
    </row>
    <row r="345" spans="3:18" x14ac:dyDescent="0.35">
      <c r="C345">
        <v>-0.96962999999999999</v>
      </c>
      <c r="L345">
        <f t="shared" si="28"/>
        <v>344</v>
      </c>
      <c r="M345">
        <f t="shared" si="29"/>
        <v>1908.5833333333073</v>
      </c>
      <c r="N345">
        <f t="shared" si="25"/>
        <v>0</v>
      </c>
      <c r="O345">
        <f t="array" ref="O345">+SUM($F$2:$F$18*SIN(2*PI()*(M345)*$B$1/$E$2:$E$18+$G$2:$G$18))</f>
        <v>-4.177329481251596E-2</v>
      </c>
      <c r="P345">
        <f t="shared" si="26"/>
        <v>0</v>
      </c>
      <c r="Q345">
        <f t="shared" si="27"/>
        <v>-0.22909202880843613</v>
      </c>
      <c r="R345">
        <f t="array" ref="R345">+$B$2*SIN(Q345*$B$3+$B$4)+Q345+$B$9*SIN(PI()*M345+$B$10)+$B$11*SIN(2*PI()*M345+$B$12) + SUM($I$2:$I$18*SIN(2*PI()*M345*$H$2:$H$18+$J$2:$J$18))</f>
        <v>2.1133462344157934</v>
      </c>
    </row>
    <row r="346" spans="3:18" x14ac:dyDescent="0.35">
      <c r="C346">
        <v>-1.0959940000000001</v>
      </c>
      <c r="L346">
        <f t="shared" si="28"/>
        <v>345</v>
      </c>
      <c r="M346">
        <f t="shared" si="29"/>
        <v>1908.6666666666406</v>
      </c>
      <c r="N346">
        <f t="shared" si="25"/>
        <v>0</v>
      </c>
      <c r="O346">
        <f t="array" ref="O346">+SUM($F$2:$F$18*SIN(2*PI()*(M346)*$B$1/$E$2:$E$18+$G$2:$G$18))</f>
        <v>-4.4472907464715883E-2</v>
      </c>
      <c r="P346">
        <f t="shared" si="26"/>
        <v>0</v>
      </c>
      <c r="Q346">
        <f t="shared" si="27"/>
        <v>-0.22856383853510231</v>
      </c>
      <c r="R346">
        <f t="array" ref="R346">+$B$2*SIN(Q346*$B$3+$B$4)+Q346+$B$9*SIN(PI()*M346+$B$10)+$B$11*SIN(2*PI()*M346+$B$12) + SUM($I$2:$I$18*SIN(2*PI()*M346*$H$2:$H$18+$J$2:$J$18))</f>
        <v>2.7034868942034072</v>
      </c>
    </row>
    <row r="347" spans="3:18" x14ac:dyDescent="0.35">
      <c r="C347">
        <v>-0.85774000000000006</v>
      </c>
      <c r="L347">
        <f t="shared" si="28"/>
        <v>346</v>
      </c>
      <c r="M347">
        <f t="shared" si="29"/>
        <v>1908.7499999999739</v>
      </c>
      <c r="N347">
        <f t="shared" si="25"/>
        <v>0</v>
      </c>
      <c r="O347">
        <f t="array" ref="O347">+SUM($F$2:$F$18*SIN(2*PI()*(M347)*$B$1/$E$2:$E$18+$G$2:$G$18))</f>
        <v>-1.3371626298582528</v>
      </c>
      <c r="P347">
        <f t="shared" si="26"/>
        <v>0</v>
      </c>
      <c r="Q347">
        <f t="shared" si="27"/>
        <v>-0.22803686604732962</v>
      </c>
      <c r="R347">
        <f t="array" ref="R347">+$B$2*SIN(Q347*$B$3+$B$4)+Q347+$B$9*SIN(PI()*M347+$B$10)+$B$11*SIN(2*PI()*M347+$B$12) + SUM($I$2:$I$18*SIN(2*PI()*M347*$H$2:$H$18+$J$2:$J$18))</f>
        <v>2.9563839007268573</v>
      </c>
    </row>
    <row r="348" spans="3:18" x14ac:dyDescent="0.35">
      <c r="C348">
        <v>-1.2502580000000001</v>
      </c>
      <c r="L348">
        <f t="shared" si="28"/>
        <v>347</v>
      </c>
      <c r="M348">
        <f t="shared" si="29"/>
        <v>1908.8333333333071</v>
      </c>
      <c r="N348">
        <f t="shared" si="25"/>
        <v>0</v>
      </c>
      <c r="O348">
        <f t="array" ref="O348">+SUM($F$2:$F$18*SIN(2*PI()*(M348)*$B$1/$E$2:$E$18+$G$2:$G$18))</f>
        <v>-1.1835901549301935</v>
      </c>
      <c r="P348">
        <f t="shared" si="26"/>
        <v>0</v>
      </c>
      <c r="Q348">
        <f t="shared" si="27"/>
        <v>-0.22751110853741452</v>
      </c>
      <c r="R348">
        <f t="array" ref="R348">+$B$2*SIN(Q348*$B$3+$B$4)+Q348+$B$9*SIN(PI()*M348+$B$10)+$B$11*SIN(2*PI()*M348+$B$12) + SUM($I$2:$I$18*SIN(2*PI()*M348*$H$2:$H$18+$J$2:$J$18))</f>
        <v>2.8424896237285306</v>
      </c>
    </row>
    <row r="349" spans="3:18" x14ac:dyDescent="0.35">
      <c r="C349">
        <v>-1.1597</v>
      </c>
      <c r="L349">
        <f t="shared" si="28"/>
        <v>348</v>
      </c>
      <c r="M349">
        <f t="shared" si="29"/>
        <v>1908.9166666666404</v>
      </c>
      <c r="N349">
        <f t="shared" si="25"/>
        <v>0</v>
      </c>
      <c r="O349">
        <f t="array" ref="O349">+SUM($F$2:$F$18*SIN(2*PI()*(M349)*$B$1/$E$2:$E$18+$G$2:$G$18))</f>
        <v>0.28274889930192132</v>
      </c>
      <c r="P349">
        <f t="shared" si="26"/>
        <v>0</v>
      </c>
      <c r="Q349">
        <f t="shared" si="27"/>
        <v>-0.22698656320412691</v>
      </c>
      <c r="R349">
        <f t="array" ref="R349">+$B$2*SIN(Q349*$B$3+$B$4)+Q349+$B$9*SIN(PI()*M349+$B$10)+$B$11*SIN(2*PI()*M349+$B$12) + SUM($I$2:$I$18*SIN(2*PI()*M349*$H$2:$H$18+$J$2:$J$18))</f>
        <v>2.4128535788866676</v>
      </c>
    </row>
    <row r="350" spans="3:18" x14ac:dyDescent="0.35">
      <c r="C350">
        <v>-1.067604</v>
      </c>
      <c r="L350">
        <f t="shared" si="28"/>
        <v>349</v>
      </c>
      <c r="M350">
        <f t="shared" si="29"/>
        <v>1908.9999999999736</v>
      </c>
      <c r="N350">
        <f t="shared" si="25"/>
        <v>200</v>
      </c>
      <c r="O350">
        <f t="array" ref="O350">+SUM($F$2:$F$18*SIN(2*PI()*(M350)*$B$1/$E$2:$E$18+$G$2:$G$18))</f>
        <v>0.98079609877215312</v>
      </c>
      <c r="P350">
        <f t="shared" si="26"/>
        <v>196.15921975443064</v>
      </c>
      <c r="Q350">
        <f t="shared" si="27"/>
        <v>0.2257977808580387</v>
      </c>
      <c r="R350">
        <f t="array" ref="R350">+$B$2*SIN(Q350*$B$3+$B$4)+Q350+$B$9*SIN(PI()*M350+$B$10)+$B$11*SIN(2*PI()*M350+$B$12) + SUM($I$2:$I$18*SIN(2*PI()*M350*$H$2:$H$18+$J$2:$J$18))</f>
        <v>7.7407174838670096</v>
      </c>
    </row>
    <row r="351" spans="3:18" x14ac:dyDescent="0.35">
      <c r="C351">
        <v>-0.92320199999999997</v>
      </c>
      <c r="L351">
        <f t="shared" si="28"/>
        <v>350</v>
      </c>
      <c r="M351">
        <f t="shared" si="29"/>
        <v>1909.0833333333069</v>
      </c>
      <c r="N351">
        <f t="shared" si="25"/>
        <v>0</v>
      </c>
      <c r="O351">
        <f t="array" ref="O351">+SUM($F$2:$F$18*SIN(2*PI()*(M351)*$B$1/$E$2:$E$18+$G$2:$G$18))</f>
        <v>-0.30420760487905413</v>
      </c>
      <c r="P351">
        <f t="shared" si="26"/>
        <v>0</v>
      </c>
      <c r="Q351">
        <f t="shared" si="27"/>
        <v>0.22527718574082797</v>
      </c>
      <c r="R351">
        <f t="array" ref="R351">+$B$2*SIN(Q351*$B$3+$B$4)+Q351+$B$9*SIN(PI()*M351+$B$10)+$B$11*SIN(2*PI()*M351+$B$12) + SUM($I$2:$I$18*SIN(2*PI()*M351*$H$2:$H$18+$J$2:$J$18))</f>
        <v>7.0823619686461958</v>
      </c>
    </row>
    <row r="352" spans="3:18" x14ac:dyDescent="0.35">
      <c r="C352">
        <v>-0.76495599999999997</v>
      </c>
      <c r="L352">
        <f t="shared" si="28"/>
        <v>351</v>
      </c>
      <c r="M352">
        <f t="shared" si="29"/>
        <v>1909.1666666666401</v>
      </c>
      <c r="N352">
        <f t="shared" si="25"/>
        <v>0</v>
      </c>
      <c r="O352">
        <f t="array" ref="O352">+SUM($F$2:$F$18*SIN(2*PI()*(M352)*$B$1/$E$2:$E$18+$G$2:$G$18))</f>
        <v>-2.2948550995222812</v>
      </c>
      <c r="P352">
        <f t="shared" si="26"/>
        <v>0</v>
      </c>
      <c r="Q352">
        <f t="shared" si="27"/>
        <v>0.22475779089792922</v>
      </c>
      <c r="R352">
        <f t="array" ref="R352">+$B$2*SIN(Q352*$B$3+$B$4)+Q352+$B$9*SIN(PI()*M352+$B$10)+$B$11*SIN(2*PI()*M352+$B$12) + SUM($I$2:$I$18*SIN(2*PI()*M352*$H$2:$H$18+$J$2:$J$18))</f>
        <v>6.5274379489748933</v>
      </c>
    </row>
    <row r="353" spans="3:18" x14ac:dyDescent="0.35">
      <c r="C353">
        <v>-0.52978599999999998</v>
      </c>
      <c r="L353">
        <f t="shared" si="28"/>
        <v>352</v>
      </c>
      <c r="M353">
        <f t="shared" si="29"/>
        <v>1909.2499999999734</v>
      </c>
      <c r="N353">
        <f t="shared" si="25"/>
        <v>0</v>
      </c>
      <c r="O353">
        <f t="array" ref="O353">+SUM($F$2:$F$18*SIN(2*PI()*(M353)*$B$1/$E$2:$E$18+$G$2:$G$18))</f>
        <v>-1.923741705912136</v>
      </c>
      <c r="P353">
        <f t="shared" si="26"/>
        <v>0</v>
      </c>
      <c r="Q353">
        <f t="shared" si="27"/>
        <v>0.22423959356201253</v>
      </c>
      <c r="R353">
        <f t="array" ref="R353">+$B$2*SIN(Q353*$B$3+$B$4)+Q353+$B$9*SIN(PI()*M353+$B$10)+$B$11*SIN(2*PI()*M353+$B$12) + SUM($I$2:$I$18*SIN(2*PI()*M353*$H$2:$H$18+$J$2:$J$18))</f>
        <v>6.1831930214044739</v>
      </c>
    </row>
    <row r="354" spans="3:18" x14ac:dyDescent="0.35">
      <c r="C354">
        <v>-0.51615600000000006</v>
      </c>
      <c r="L354">
        <f t="shared" si="28"/>
        <v>353</v>
      </c>
      <c r="M354">
        <f t="shared" si="29"/>
        <v>1909.3333333333067</v>
      </c>
      <c r="N354">
        <f t="shared" si="25"/>
        <v>0</v>
      </c>
      <c r="O354">
        <f t="array" ref="O354">+SUM($F$2:$F$18*SIN(2*PI()*(M354)*$B$1/$E$2:$E$18+$G$2:$G$18))</f>
        <v>0.10797941350895379</v>
      </c>
      <c r="P354">
        <f t="shared" si="26"/>
        <v>0</v>
      </c>
      <c r="Q354">
        <f t="shared" si="27"/>
        <v>0.22372259097212838</v>
      </c>
      <c r="R354">
        <f t="array" ref="R354">+$B$2*SIN(Q354*$B$3+$B$4)+Q354+$B$9*SIN(PI()*M354+$B$10)+$B$11*SIN(2*PI()*M354+$B$12) + SUM($I$2:$I$18*SIN(2*PI()*M354*$H$2:$H$18+$J$2:$J$18))</f>
        <v>6.0892669927920036</v>
      </c>
    </row>
    <row r="355" spans="3:18" x14ac:dyDescent="0.35">
      <c r="C355">
        <v>-0.65022199999999997</v>
      </c>
      <c r="L355">
        <f t="shared" si="28"/>
        <v>354</v>
      </c>
      <c r="M355">
        <f t="shared" si="29"/>
        <v>1909.4166666666399</v>
      </c>
      <c r="N355">
        <f t="shared" si="25"/>
        <v>0</v>
      </c>
      <c r="O355">
        <f t="array" ref="O355">+SUM($F$2:$F$18*SIN(2*PI()*(M355)*$B$1/$E$2:$E$18+$G$2:$G$18))</f>
        <v>0.16097621952296504</v>
      </c>
      <c r="P355">
        <f t="shared" si="26"/>
        <v>0</v>
      </c>
      <c r="Q355">
        <f t="shared" si="27"/>
        <v>0.22320678037369274</v>
      </c>
      <c r="R355">
        <f t="array" ref="R355">+$B$2*SIN(Q355*$B$3+$B$4)+Q355+$B$9*SIN(PI()*M355+$B$10)+$B$11*SIN(2*PI()*M355+$B$12) + SUM($I$2:$I$18*SIN(2*PI()*M355*$H$2:$H$18+$J$2:$J$18))</f>
        <v>6.2102379417010667</v>
      </c>
    </row>
    <row r="356" spans="3:18" x14ac:dyDescent="0.35">
      <c r="C356">
        <v>-0.35505600000000004</v>
      </c>
      <c r="L356">
        <f t="shared" si="28"/>
        <v>355</v>
      </c>
      <c r="M356">
        <f t="shared" si="29"/>
        <v>1909.4999999999732</v>
      </c>
      <c r="N356">
        <f t="shared" si="25"/>
        <v>0</v>
      </c>
      <c r="O356">
        <f t="array" ref="O356">+SUM($F$2:$F$18*SIN(2*PI()*(M356)*$B$1/$E$2:$E$18+$G$2:$G$18))</f>
        <v>-1.1357556880696706</v>
      </c>
      <c r="P356">
        <f t="shared" si="26"/>
        <v>0</v>
      </c>
      <c r="Q356">
        <f t="shared" si="27"/>
        <v>0.22269215901847256</v>
      </c>
      <c r="R356">
        <f t="array" ref="R356">+$B$2*SIN(Q356*$B$3+$B$4)+Q356+$B$9*SIN(PI()*M356+$B$10)+$B$11*SIN(2*PI()*M356+$B$12) + SUM($I$2:$I$18*SIN(2*PI()*M356*$H$2:$H$18+$J$2:$J$18))</f>
        <v>6.4484261305513959</v>
      </c>
    </row>
    <row r="357" spans="3:18" x14ac:dyDescent="0.35">
      <c r="C357">
        <v>-0.18604399999999999</v>
      </c>
      <c r="L357">
        <f t="shared" si="28"/>
        <v>356</v>
      </c>
      <c r="M357">
        <f t="shared" si="29"/>
        <v>1909.5833333333064</v>
      </c>
      <c r="N357">
        <f t="shared" si="25"/>
        <v>0</v>
      </c>
      <c r="O357">
        <f t="array" ref="O357">+SUM($F$2:$F$18*SIN(2*PI()*(M357)*$B$1/$E$2:$E$18+$G$2:$G$18))</f>
        <v>-0.94315817441833238</v>
      </c>
      <c r="P357">
        <f t="shared" si="26"/>
        <v>0</v>
      </c>
      <c r="Q357">
        <f t="shared" si="27"/>
        <v>0.22217872416457105</v>
      </c>
      <c r="R357">
        <f t="array" ref="R357">+$B$2*SIN(Q357*$B$3+$B$4)+Q357+$B$9*SIN(PI()*M357+$B$10)+$B$11*SIN(2*PI()*M357+$B$12) + SUM($I$2:$I$18*SIN(2*PI()*M357*$H$2:$H$18+$J$2:$J$18))</f>
        <v>6.6733256573711373</v>
      </c>
    </row>
    <row r="358" spans="3:18" x14ac:dyDescent="0.35">
      <c r="C358">
        <v>-8.6267999999999997E-2</v>
      </c>
      <c r="L358">
        <f t="shared" si="28"/>
        <v>357</v>
      </c>
      <c r="M358">
        <f t="shared" si="29"/>
        <v>1909.6666666666397</v>
      </c>
      <c r="N358">
        <f t="shared" si="25"/>
        <v>0</v>
      </c>
      <c r="O358">
        <f t="array" ref="O358">+SUM($F$2:$F$18*SIN(2*PI()*(M358)*$B$1/$E$2:$E$18+$G$2:$G$18))</f>
        <v>0.36754993262003921</v>
      </c>
      <c r="P358">
        <f t="shared" si="26"/>
        <v>0</v>
      </c>
      <c r="Q358">
        <f t="shared" si="27"/>
        <v>0.22166647307641307</v>
      </c>
      <c r="R358">
        <f t="array" ref="R358">+$B$2*SIN(Q358*$B$3+$B$4)+Q358+$B$9*SIN(PI()*M358+$B$10)+$B$11*SIN(2*PI()*M358+$B$12) + SUM($I$2:$I$18*SIN(2*PI()*M358*$H$2:$H$18+$J$2:$J$18))</f>
        <v>6.7596020820195104</v>
      </c>
    </row>
    <row r="359" spans="3:18" x14ac:dyDescent="0.35">
      <c r="C359">
        <v>0.111972</v>
      </c>
      <c r="L359">
        <f t="shared" si="28"/>
        <v>358</v>
      </c>
      <c r="M359">
        <f t="shared" si="29"/>
        <v>1909.7499999999729</v>
      </c>
      <c r="N359">
        <f t="shared" si="25"/>
        <v>0</v>
      </c>
      <c r="O359">
        <f t="array" ref="O359">+SUM($F$2:$F$18*SIN(2*PI()*(M359)*$B$1/$E$2:$E$18+$G$2:$G$18))</f>
        <v>0.74996531069128469</v>
      </c>
      <c r="P359">
        <f t="shared" si="26"/>
        <v>0</v>
      </c>
      <c r="Q359">
        <f t="shared" si="27"/>
        <v>0.22115540302473061</v>
      </c>
      <c r="R359">
        <f t="array" ref="R359">+$B$2*SIN(Q359*$B$3+$B$4)+Q359+$B$9*SIN(PI()*M359+$B$10)+$B$11*SIN(2*PI()*M359+$B$12) + SUM($I$2:$I$18*SIN(2*PI()*M359*$H$2:$H$18+$J$2:$J$18))</f>
        <v>6.6233313262101579</v>
      </c>
    </row>
    <row r="360" spans="3:18" x14ac:dyDescent="0.35">
      <c r="C360">
        <v>-2.6712E-2</v>
      </c>
      <c r="L360">
        <f t="shared" si="28"/>
        <v>359</v>
      </c>
      <c r="M360">
        <f t="shared" si="29"/>
        <v>1909.8333333333062</v>
      </c>
      <c r="N360">
        <f t="shared" si="25"/>
        <v>0</v>
      </c>
      <c r="O360">
        <f t="array" ref="O360">+SUM($F$2:$F$18*SIN(2*PI()*(M360)*$B$1/$E$2:$E$18+$G$2:$G$18))</f>
        <v>-0.85832593699902504</v>
      </c>
      <c r="P360">
        <f t="shared" si="26"/>
        <v>0</v>
      </c>
      <c r="Q360">
        <f t="shared" si="27"/>
        <v>0.22064551128654816</v>
      </c>
      <c r="R360">
        <f t="array" ref="R360">+$B$2*SIN(Q360*$B$3+$B$4)+Q360+$B$9*SIN(PI()*M360+$B$10)+$B$11*SIN(2*PI()*M360+$B$12) + SUM($I$2:$I$18*SIN(2*PI()*M360*$H$2:$H$18+$J$2:$J$18))</f>
        <v>6.246664263105373</v>
      </c>
    </row>
    <row r="361" spans="3:18" x14ac:dyDescent="0.35">
      <c r="C361">
        <v>9.1523999999999994E-2</v>
      </c>
      <c r="L361">
        <f t="shared" si="28"/>
        <v>360</v>
      </c>
      <c r="M361">
        <f t="shared" si="29"/>
        <v>1909.9166666666395</v>
      </c>
      <c r="N361">
        <f t="shared" si="25"/>
        <v>0</v>
      </c>
      <c r="O361">
        <f t="array" ref="O361">+SUM($F$2:$F$18*SIN(2*PI()*(M361)*$B$1/$E$2:$E$18+$G$2:$G$18))</f>
        <v>-2.6204625605810876</v>
      </c>
      <c r="P361">
        <f t="shared" si="26"/>
        <v>0</v>
      </c>
      <c r="Q361">
        <f t="shared" si="27"/>
        <v>0.22013679514516826</v>
      </c>
      <c r="R361">
        <f t="array" ref="R361">+$B$2*SIN(Q361*$B$3+$B$4)+Q361+$B$9*SIN(PI()*M361+$B$10)+$B$11*SIN(2*PI()*M361+$B$12) + SUM($I$2:$I$18*SIN(2*PI()*M361*$H$2:$H$18+$J$2:$J$18))</f>
        <v>5.6842430138904341</v>
      </c>
    </row>
    <row r="362" spans="3:18" x14ac:dyDescent="0.35">
      <c r="C362">
        <v>0.280528</v>
      </c>
      <c r="L362">
        <f t="shared" si="28"/>
        <v>361</v>
      </c>
      <c r="M362">
        <f t="shared" si="29"/>
        <v>1909.9999999999727</v>
      </c>
      <c r="N362">
        <f t="shared" si="25"/>
        <v>200</v>
      </c>
      <c r="O362">
        <f t="array" ref="O362">+SUM($F$2:$F$18*SIN(2*PI()*(M362)*$B$1/$E$2:$E$18+$G$2:$G$18))</f>
        <v>-1.5336661569698884</v>
      </c>
      <c r="P362">
        <f t="shared" si="26"/>
        <v>-306.73323139397769</v>
      </c>
      <c r="Q362">
        <f t="shared" si="27"/>
        <v>-0.4875691180104248</v>
      </c>
      <c r="R362">
        <f t="array" ref="R362">+$B$2*SIN(Q362*$B$3+$B$4)+Q362+$B$9*SIN(PI()*M362+$B$10)+$B$11*SIN(2*PI()*M362+$B$12) + SUM($I$2:$I$18*SIN(2*PI()*M362*$H$2:$H$18+$J$2:$J$18))</f>
        <v>1.8616772905583305</v>
      </c>
    </row>
    <row r="363" spans="3:18" x14ac:dyDescent="0.35">
      <c r="C363">
        <v>0.41876399999999997</v>
      </c>
      <c r="L363">
        <f t="shared" si="28"/>
        <v>362</v>
      </c>
      <c r="M363">
        <f t="shared" si="29"/>
        <v>1910.083333333306</v>
      </c>
      <c r="N363">
        <f t="shared" si="25"/>
        <v>0</v>
      </c>
      <c r="O363">
        <f t="array" ref="O363">+SUM($F$2:$F$18*SIN(2*PI()*(M363)*$B$1/$E$2:$E$18+$G$2:$G$18))</f>
        <v>0.77928823595905117</v>
      </c>
      <c r="P363">
        <f t="shared" si="26"/>
        <v>0</v>
      </c>
      <c r="Q363">
        <f t="shared" si="27"/>
        <v>-0.486444987821127</v>
      </c>
      <c r="R363">
        <f t="array" ref="R363">+$B$2*SIN(Q363*$B$3+$B$4)+Q363+$B$9*SIN(PI()*M363+$B$10)+$B$11*SIN(2*PI()*M363+$B$12) + SUM($I$2:$I$18*SIN(2*PI()*M363*$H$2:$H$18+$J$2:$J$18))</f>
        <v>1.4264908443487623</v>
      </c>
    </row>
    <row r="364" spans="3:18" x14ac:dyDescent="0.35">
      <c r="C364">
        <v>0.53392000000000006</v>
      </c>
      <c r="L364">
        <f t="shared" si="28"/>
        <v>363</v>
      </c>
      <c r="M364">
        <f t="shared" si="29"/>
        <v>1910.1666666666392</v>
      </c>
      <c r="N364">
        <f t="shared" si="25"/>
        <v>0</v>
      </c>
      <c r="O364">
        <f t="array" ref="O364">+SUM($F$2:$F$18*SIN(2*PI()*(M364)*$B$1/$E$2:$E$18+$G$2:$G$18))</f>
        <v>0.82624641542477251</v>
      </c>
      <c r="P364">
        <f t="shared" si="26"/>
        <v>0</v>
      </c>
      <c r="Q364">
        <f t="shared" si="27"/>
        <v>-0.48532344940525335</v>
      </c>
      <c r="R364">
        <f t="array" ref="R364">+$B$2*SIN(Q364*$B$3+$B$4)+Q364+$B$9*SIN(PI()*M364+$B$10)+$B$11*SIN(2*PI()*M364+$B$12) + SUM($I$2:$I$18*SIN(2*PI()*M364*$H$2:$H$18+$J$2:$J$18))</f>
        <v>1.1943212176283962</v>
      </c>
    </row>
    <row r="365" spans="3:18" x14ac:dyDescent="0.35">
      <c r="C365">
        <v>0.48907600000000001</v>
      </c>
      <c r="L365">
        <f t="shared" si="28"/>
        <v>364</v>
      </c>
      <c r="M365">
        <f t="shared" si="29"/>
        <v>1910.2499999999725</v>
      </c>
      <c r="N365">
        <f t="shared" si="25"/>
        <v>0</v>
      </c>
      <c r="O365">
        <f t="array" ref="O365">+SUM($F$2:$F$18*SIN(2*PI()*(M365)*$B$1/$E$2:$E$18+$G$2:$G$18))</f>
        <v>-0.24360461085184668</v>
      </c>
      <c r="P365">
        <f t="shared" si="26"/>
        <v>0</v>
      </c>
      <c r="Q365">
        <f t="shared" si="27"/>
        <v>-0.48420449678725974</v>
      </c>
      <c r="R365">
        <f t="array" ref="R365">+$B$2*SIN(Q365*$B$3+$B$4)+Q365+$B$9*SIN(PI()*M365+$B$10)+$B$11*SIN(2*PI()*M365+$B$12) + SUM($I$2:$I$18*SIN(2*PI()*M365*$H$2:$H$18+$J$2:$J$18))</f>
        <v>1.2530967031643514</v>
      </c>
    </row>
    <row r="366" spans="3:18" x14ac:dyDescent="0.35">
      <c r="C366">
        <v>0.28422999999999998</v>
      </c>
      <c r="L366">
        <f t="shared" si="28"/>
        <v>365</v>
      </c>
      <c r="M366">
        <f t="shared" si="29"/>
        <v>1910.3333333333057</v>
      </c>
      <c r="N366">
        <f t="shared" si="25"/>
        <v>0</v>
      </c>
      <c r="O366">
        <f t="array" ref="O366">+SUM($F$2:$F$18*SIN(2*PI()*(M366)*$B$1/$E$2:$E$18+$G$2:$G$18))</f>
        <v>-0.14828633255775175</v>
      </c>
      <c r="P366">
        <f t="shared" si="26"/>
        <v>0</v>
      </c>
      <c r="Q366">
        <f t="shared" si="27"/>
        <v>-0.48308812400537926</v>
      </c>
      <c r="R366">
        <f t="array" ref="R366">+$B$2*SIN(Q366*$B$3+$B$4)+Q366+$B$9*SIN(PI()*M366+$B$10)+$B$11*SIN(2*PI()*M366+$B$12) + SUM($I$2:$I$18*SIN(2*PI()*M366*$H$2:$H$18+$J$2:$J$18))</f>
        <v>1.6209511620773558</v>
      </c>
    </row>
    <row r="367" spans="3:18" x14ac:dyDescent="0.35">
      <c r="C367">
        <v>0.213228</v>
      </c>
      <c r="L367">
        <f t="shared" si="28"/>
        <v>366</v>
      </c>
      <c r="M367">
        <f t="shared" si="29"/>
        <v>1910.416666666639</v>
      </c>
      <c r="N367">
        <f t="shared" si="25"/>
        <v>0</v>
      </c>
      <c r="O367">
        <f t="array" ref="O367">+SUM($F$2:$F$18*SIN(2*PI()*(M367)*$B$1/$E$2:$E$18+$G$2:$G$18))</f>
        <v>0.5879518382823048</v>
      </c>
      <c r="P367">
        <f t="shared" si="26"/>
        <v>0</v>
      </c>
      <c r="Q367">
        <f t="shared" si="27"/>
        <v>-0.48197432511159027</v>
      </c>
      <c r="R367">
        <f t="array" ref="R367">+$B$2*SIN(Q367*$B$3+$B$4)+Q367+$B$9*SIN(PI()*M367+$B$10)+$B$11*SIN(2*PI()*M367+$B$12) + SUM($I$2:$I$18*SIN(2*PI()*M367*$H$2:$H$18+$J$2:$J$18))</f>
        <v>2.240252044509556</v>
      </c>
    </row>
    <row r="368" spans="3:18" x14ac:dyDescent="0.35">
      <c r="C368">
        <v>0.17453399999999999</v>
      </c>
      <c r="L368">
        <f t="shared" si="28"/>
        <v>367</v>
      </c>
      <c r="M368">
        <f t="shared" si="29"/>
        <v>1910.4999999999723</v>
      </c>
      <c r="N368">
        <f t="shared" si="25"/>
        <v>0</v>
      </c>
      <c r="O368">
        <f t="array" ref="O368">+SUM($F$2:$F$18*SIN(2*PI()*(M368)*$B$1/$E$2:$E$18+$G$2:$G$18))</f>
        <v>0.56258885162697547</v>
      </c>
      <c r="P368">
        <f t="shared" si="26"/>
        <v>0</v>
      </c>
      <c r="Q368">
        <f t="shared" si="27"/>
        <v>-0.48086309417158479</v>
      </c>
      <c r="R368">
        <f t="array" ref="R368">+$B$2*SIN(Q368*$B$3+$B$4)+Q368+$B$9*SIN(PI()*M368+$B$10)+$B$11*SIN(2*PI()*M368+$B$12) + SUM($I$2:$I$18*SIN(2*PI()*M368*$H$2:$H$18+$J$2:$J$18))</f>
        <v>2.9917394431057516</v>
      </c>
    </row>
    <row r="369" spans="3:18" x14ac:dyDescent="0.35">
      <c r="C369">
        <v>-0.27493000000000001</v>
      </c>
      <c r="L369">
        <f t="shared" si="28"/>
        <v>368</v>
      </c>
      <c r="M369">
        <f t="shared" si="29"/>
        <v>1910.5833333333055</v>
      </c>
      <c r="N369">
        <f t="shared" si="25"/>
        <v>0</v>
      </c>
      <c r="O369">
        <f t="array" ref="O369">+SUM($F$2:$F$18*SIN(2*PI()*(M369)*$B$1/$E$2:$E$18+$G$2:$G$18))</f>
        <v>-0.88672364276266924</v>
      </c>
      <c r="P369">
        <f t="shared" si="26"/>
        <v>0</v>
      </c>
      <c r="Q369">
        <f t="shared" si="27"/>
        <v>-0.47975442526473683</v>
      </c>
      <c r="R369">
        <f t="array" ref="R369">+$B$2*SIN(Q369*$B$3+$B$4)+Q369+$B$9*SIN(PI()*M369+$B$10)+$B$11*SIN(2*PI()*M369+$B$12) + SUM($I$2:$I$18*SIN(2*PI()*M369*$H$2:$H$18+$J$2:$J$18))</f>
        <v>3.7250713541759923</v>
      </c>
    </row>
    <row r="370" spans="3:18" x14ac:dyDescent="0.35">
      <c r="C370">
        <v>-0.176704</v>
      </c>
      <c r="L370">
        <f t="shared" si="28"/>
        <v>369</v>
      </c>
      <c r="M370">
        <f t="shared" si="29"/>
        <v>1910.6666666666388</v>
      </c>
      <c r="N370">
        <f t="shared" si="25"/>
        <v>0</v>
      </c>
      <c r="O370">
        <f t="array" ref="O370">+SUM($F$2:$F$18*SIN(2*PI()*(M370)*$B$1/$E$2:$E$18+$G$2:$G$18))</f>
        <v>-1.9398846892099666</v>
      </c>
      <c r="P370">
        <f t="shared" si="26"/>
        <v>0</v>
      </c>
      <c r="Q370">
        <f t="shared" si="27"/>
        <v>-0.47864831248407097</v>
      </c>
      <c r="R370">
        <f t="array" ref="R370">+$B$2*SIN(Q370*$B$3+$B$4)+Q370+$B$9*SIN(PI()*M370+$B$10)+$B$11*SIN(2*PI()*M370+$B$12) + SUM($I$2:$I$18*SIN(2*PI()*M370*$H$2:$H$18+$J$2:$J$18))</f>
        <v>4.2976632966609252</v>
      </c>
    </row>
    <row r="371" spans="3:18" x14ac:dyDescent="0.35">
      <c r="C371">
        <v>-0.26001600000000002</v>
      </c>
      <c r="L371">
        <f t="shared" si="28"/>
        <v>370</v>
      </c>
      <c r="M371">
        <f t="shared" si="29"/>
        <v>1910.749999999972</v>
      </c>
      <c r="N371">
        <f t="shared" si="25"/>
        <v>0</v>
      </c>
      <c r="O371">
        <f t="array" ref="O371">+SUM($F$2:$F$18*SIN(2*PI()*(M371)*$B$1/$E$2:$E$18+$G$2:$G$18))</f>
        <v>-0.38338160060967985</v>
      </c>
      <c r="P371">
        <f t="shared" si="26"/>
        <v>0</v>
      </c>
      <c r="Q371">
        <f t="shared" si="27"/>
        <v>-0.47754474993623075</v>
      </c>
      <c r="R371">
        <f t="array" ref="R371">+$B$2*SIN(Q371*$B$3+$B$4)+Q371+$B$9*SIN(PI()*M371+$B$10)+$B$11*SIN(2*PI()*M371+$B$12) + SUM($I$2:$I$18*SIN(2*PI()*M371*$H$2:$H$18+$J$2:$J$18))</f>
        <v>4.6114737004838311</v>
      </c>
    </row>
    <row r="372" spans="3:18" x14ac:dyDescent="0.35">
      <c r="C372">
        <v>-0.118714</v>
      </c>
      <c r="L372">
        <f t="shared" si="28"/>
        <v>371</v>
      </c>
      <c r="M372">
        <f t="shared" si="29"/>
        <v>1910.8333333333053</v>
      </c>
      <c r="N372">
        <f t="shared" si="25"/>
        <v>0</v>
      </c>
      <c r="O372">
        <f t="array" ref="O372">+SUM($F$2:$F$18*SIN(2*PI()*(M372)*$B$1/$E$2:$E$18+$G$2:$G$18))</f>
        <v>1.668138706779138</v>
      </c>
      <c r="P372">
        <f t="shared" si="26"/>
        <v>0</v>
      </c>
      <c r="Q372">
        <f t="shared" si="27"/>
        <v>-0.47644373174144733</v>
      </c>
      <c r="R372">
        <f t="array" ref="R372">+$B$2*SIN(Q372*$B$3+$B$4)+Q372+$B$9*SIN(PI()*M372+$B$10)+$B$11*SIN(2*PI()*M372+$B$12) + SUM($I$2:$I$18*SIN(2*PI()*M372*$H$2:$H$18+$J$2:$J$18))</f>
        <v>4.6379211333659054</v>
      </c>
    </row>
    <row r="373" spans="3:18" x14ac:dyDescent="0.35">
      <c r="C373">
        <v>-5.28E-2</v>
      </c>
      <c r="L373">
        <f t="shared" si="28"/>
        <v>372</v>
      </c>
      <c r="M373">
        <f t="shared" si="29"/>
        <v>1910.9166666666385</v>
      </c>
      <c r="N373">
        <f t="shared" si="25"/>
        <v>0</v>
      </c>
      <c r="O373">
        <f t="array" ref="O373">+SUM($F$2:$F$18*SIN(2*PI()*(M373)*$B$1/$E$2:$E$18+$G$2:$G$18))</f>
        <v>1.6635527779884032</v>
      </c>
      <c r="P373">
        <f t="shared" si="26"/>
        <v>0</v>
      </c>
      <c r="Q373">
        <f t="shared" si="27"/>
        <v>-0.47534525203350814</v>
      </c>
      <c r="R373">
        <f t="array" ref="R373">+$B$2*SIN(Q373*$B$3+$B$4)+Q373+$B$9*SIN(PI()*M373+$B$10)+$B$11*SIN(2*PI()*M373+$B$12) + SUM($I$2:$I$18*SIN(2*PI()*M373*$H$2:$H$18+$J$2:$J$18))</f>
        <v>4.4242839249243815</v>
      </c>
    </row>
    <row r="374" spans="3:18" x14ac:dyDescent="0.35">
      <c r="C374">
        <v>8.6961999999999998E-2</v>
      </c>
      <c r="L374">
        <f t="shared" si="28"/>
        <v>373</v>
      </c>
      <c r="M374">
        <f t="shared" si="29"/>
        <v>1910.9999999999718</v>
      </c>
      <c r="N374">
        <f t="shared" si="25"/>
        <v>200</v>
      </c>
      <c r="O374">
        <f t="array" ref="O374">+SUM($F$2:$F$18*SIN(2*PI()*(M374)*$B$1/$E$2:$E$18+$G$2:$G$18))</f>
        <v>0.9360120769201562</v>
      </c>
      <c r="P374">
        <f t="shared" si="26"/>
        <v>187.20241538403124</v>
      </c>
      <c r="Q374">
        <f t="shared" si="27"/>
        <v>-4.2638936564415919E-2</v>
      </c>
      <c r="R374">
        <f t="array" ref="R374">+$B$2*SIN(Q374*$B$3+$B$4)+Q374+$B$9*SIN(PI()*M374+$B$10)+$B$11*SIN(2*PI()*M374+$B$12) + SUM($I$2:$I$18*SIN(2*PI()*M374*$H$2:$H$18+$J$2:$J$18))</f>
        <v>-11.542723513488925</v>
      </c>
    </row>
    <row r="375" spans="3:18" x14ac:dyDescent="0.35">
      <c r="C375">
        <v>-2.4048E-2</v>
      </c>
      <c r="L375">
        <f t="shared" si="28"/>
        <v>374</v>
      </c>
      <c r="M375">
        <f t="shared" si="29"/>
        <v>1911.0833333333051</v>
      </c>
      <c r="N375">
        <f t="shared" si="25"/>
        <v>0</v>
      </c>
      <c r="O375">
        <f t="array" ref="O375">+SUM($F$2:$F$18*SIN(2*PI()*(M375)*$B$1/$E$2:$E$18+$G$2:$G$18))</f>
        <v>0.68899818186146267</v>
      </c>
      <c r="P375">
        <f t="shared" si="26"/>
        <v>0</v>
      </c>
      <c r="Q375">
        <f t="shared" si="27"/>
        <v>-4.2540629034137536E-2</v>
      </c>
      <c r="R375">
        <f t="array" ref="R375">+$B$2*SIN(Q375*$B$3+$B$4)+Q375+$B$9*SIN(PI()*M375+$B$10)+$B$11*SIN(2*PI()*M375+$B$12) + SUM($I$2:$I$18*SIN(2*PI()*M375*$H$2:$H$18+$J$2:$J$18))</f>
        <v>-11.962969219018227</v>
      </c>
    </row>
    <row r="376" spans="3:18" x14ac:dyDescent="0.35">
      <c r="C376">
        <v>0.12647800000000001</v>
      </c>
      <c r="L376">
        <f t="shared" si="28"/>
        <v>375</v>
      </c>
      <c r="M376">
        <f t="shared" si="29"/>
        <v>1911.1666666666383</v>
      </c>
      <c r="N376">
        <f t="shared" si="25"/>
        <v>0</v>
      </c>
      <c r="O376">
        <f t="array" ref="O376">+SUM($F$2:$F$18*SIN(2*PI()*(M376)*$B$1/$E$2:$E$18+$G$2:$G$18))</f>
        <v>0.5713604785106059</v>
      </c>
      <c r="P376">
        <f t="shared" si="26"/>
        <v>0</v>
      </c>
      <c r="Q376">
        <f t="shared" si="27"/>
        <v>-4.2442548159852198E-2</v>
      </c>
      <c r="R376">
        <f t="array" ref="R376">+$B$2*SIN(Q376*$B$3+$B$4)+Q376+$B$9*SIN(PI()*M376+$B$10)+$B$11*SIN(2*PI()*M376+$B$12) + SUM($I$2:$I$18*SIN(2*PI()*M376*$H$2:$H$18+$J$2:$J$18))</f>
        <v>-12.238124241378742</v>
      </c>
    </row>
    <row r="377" spans="3:18" x14ac:dyDescent="0.35">
      <c r="C377">
        <v>7.5465999999999991E-2</v>
      </c>
      <c r="L377">
        <f t="shared" si="28"/>
        <v>376</v>
      </c>
      <c r="M377">
        <f t="shared" si="29"/>
        <v>1911.2499999999716</v>
      </c>
      <c r="N377">
        <f t="shared" si="25"/>
        <v>0</v>
      </c>
      <c r="O377">
        <f t="array" ref="O377">+SUM($F$2:$F$18*SIN(2*PI()*(M377)*$B$1/$E$2:$E$18+$G$2:$G$18))</f>
        <v>0.27517647457519018</v>
      </c>
      <c r="P377">
        <f t="shared" si="26"/>
        <v>0</v>
      </c>
      <c r="Q377">
        <f t="shared" si="27"/>
        <v>-4.2344693418986112E-2</v>
      </c>
      <c r="R377">
        <f t="array" ref="R377">+$B$2*SIN(Q377*$B$3+$B$4)+Q377+$B$9*SIN(PI()*M377+$B$10)+$B$11*SIN(2*PI()*M377+$B$12) + SUM($I$2:$I$18*SIN(2*PI()*M377*$H$2:$H$18+$J$2:$J$18))</f>
        <v>-12.277945880898615</v>
      </c>
    </row>
    <row r="378" spans="3:18" x14ac:dyDescent="0.35">
      <c r="C378">
        <v>0.24291599999999999</v>
      </c>
      <c r="L378">
        <f t="shared" si="28"/>
        <v>377</v>
      </c>
      <c r="M378">
        <f t="shared" si="29"/>
        <v>1911.3333333333048</v>
      </c>
      <c r="N378">
        <f t="shared" si="25"/>
        <v>0</v>
      </c>
      <c r="O378">
        <f t="array" ref="O378">+SUM($F$2:$F$18*SIN(2*PI()*(M378)*$B$1/$E$2:$E$18+$G$2:$G$18))</f>
        <v>-0.55394395455228396</v>
      </c>
      <c r="P378">
        <f t="shared" si="26"/>
        <v>0</v>
      </c>
      <c r="Q378">
        <f t="shared" si="27"/>
        <v>-4.2247064290170319E-2</v>
      </c>
      <c r="R378">
        <f t="array" ref="R378">+$B$2*SIN(Q378*$B$3+$B$4)+Q378+$B$9*SIN(PI()*M378+$B$10)+$B$11*SIN(2*PI()*M378+$B$12) + SUM($I$2:$I$18*SIN(2*PI()*M378*$H$2:$H$18+$J$2:$J$18))</f>
        <v>-12.060894057284102</v>
      </c>
    </row>
    <row r="379" spans="3:18" x14ac:dyDescent="0.35">
      <c r="C379">
        <v>0.17497800000000002</v>
      </c>
      <c r="L379">
        <f t="shared" si="28"/>
        <v>378</v>
      </c>
      <c r="M379">
        <f t="shared" si="29"/>
        <v>1911.4166666666381</v>
      </c>
      <c r="N379">
        <f t="shared" si="25"/>
        <v>0</v>
      </c>
      <c r="O379">
        <f t="array" ref="O379">+SUM($F$2:$F$18*SIN(2*PI()*(M379)*$B$1/$E$2:$E$18+$G$2:$G$18))</f>
        <v>-0.73691227672561443</v>
      </c>
      <c r="P379">
        <f t="shared" si="26"/>
        <v>0</v>
      </c>
      <c r="Q379">
        <f t="shared" si="27"/>
        <v>-4.2149660253237915E-2</v>
      </c>
      <c r="R379">
        <f t="array" ref="R379">+$B$2*SIN(Q379*$B$3+$B$4)+Q379+$B$9*SIN(PI()*M379+$B$10)+$B$11*SIN(2*PI()*M379+$B$12) + SUM($I$2:$I$18*SIN(2*PI()*M379*$H$2:$H$18+$J$2:$J$18))</f>
        <v>-11.64057514258673</v>
      </c>
    </row>
    <row r="380" spans="3:18" x14ac:dyDescent="0.35">
      <c r="C380">
        <v>0.102424</v>
      </c>
      <c r="L380">
        <f t="shared" si="28"/>
        <v>379</v>
      </c>
      <c r="M380">
        <f t="shared" si="29"/>
        <v>1911.4999999999714</v>
      </c>
      <c r="N380">
        <f t="shared" si="25"/>
        <v>0</v>
      </c>
      <c r="O380">
        <f t="array" ref="O380">+SUM($F$2:$F$18*SIN(2*PI()*(M380)*$B$1/$E$2:$E$18+$G$2:$G$18))</f>
        <v>0.82755178496660575</v>
      </c>
      <c r="P380">
        <f t="shared" si="26"/>
        <v>0</v>
      </c>
      <c r="Q380">
        <f t="shared" si="27"/>
        <v>-4.2052480789221296E-2</v>
      </c>
      <c r="R380">
        <f t="array" ref="R380">+$B$2*SIN(Q380*$B$3+$B$4)+Q380+$B$9*SIN(PI()*M380+$B$10)+$B$11*SIN(2*PI()*M380+$B$12) + SUM($I$2:$I$18*SIN(2*PI()*M380*$H$2:$H$18+$J$2:$J$18))</f>
        <v>-11.131966563740557</v>
      </c>
    </row>
    <row r="381" spans="3:18" x14ac:dyDescent="0.35">
      <c r="C381">
        <v>7.9100000000000004E-2</v>
      </c>
      <c r="L381">
        <f t="shared" si="28"/>
        <v>380</v>
      </c>
      <c r="M381">
        <f t="shared" si="29"/>
        <v>1911.5833333333046</v>
      </c>
      <c r="N381">
        <f t="shared" si="25"/>
        <v>0</v>
      </c>
      <c r="O381">
        <f t="array" ref="O381">+SUM($F$2:$F$18*SIN(2*PI()*(M381)*$B$1/$E$2:$E$18+$G$2:$G$18))</f>
        <v>2.1788422103946936</v>
      </c>
      <c r="P381">
        <f t="shared" si="26"/>
        <v>0</v>
      </c>
      <c r="Q381">
        <f t="shared" si="27"/>
        <v>-4.1955525380349364E-2</v>
      </c>
      <c r="R381">
        <f t="array" ref="R381">+$B$2*SIN(Q381*$B$3+$B$4)+Q381+$B$9*SIN(PI()*M381+$B$10)+$B$11*SIN(2*PI()*M381+$B$12) + SUM($I$2:$I$18*SIN(2*PI()*M381*$H$2:$H$18+$J$2:$J$18))</f>
        <v>-10.681103462324426</v>
      </c>
    </row>
    <row r="382" spans="3:18" x14ac:dyDescent="0.35">
      <c r="C382">
        <v>0.152696</v>
      </c>
      <c r="L382">
        <f t="shared" si="28"/>
        <v>381</v>
      </c>
      <c r="M382">
        <f t="shared" si="29"/>
        <v>1911.6666666666379</v>
      </c>
      <c r="N382">
        <f t="shared" si="25"/>
        <v>0</v>
      </c>
      <c r="O382">
        <f t="array" ref="O382">+SUM($F$2:$F$18*SIN(2*PI()*(M382)*$B$1/$E$2:$E$18+$G$2:$G$18))</f>
        <v>2.114900290442248</v>
      </c>
      <c r="P382">
        <f t="shared" si="26"/>
        <v>0</v>
      </c>
      <c r="Q382">
        <f t="shared" si="27"/>
        <v>-4.1858793510044789E-2</v>
      </c>
      <c r="R382">
        <f t="array" ref="R382">+$B$2*SIN(Q382*$B$3+$B$4)+Q382+$B$9*SIN(PI()*M382+$B$10)+$B$11*SIN(2*PI()*M382+$B$12) + SUM($I$2:$I$18*SIN(2*PI()*M382*$H$2:$H$18+$J$2:$J$18))</f>
        <v>-10.426331314510838</v>
      </c>
    </row>
    <row r="383" spans="3:18" x14ac:dyDescent="0.35">
      <c r="C383">
        <v>0.104756</v>
      </c>
      <c r="L383">
        <f t="shared" si="28"/>
        <v>382</v>
      </c>
      <c r="M383">
        <f t="shared" si="29"/>
        <v>1911.7499999999711</v>
      </c>
      <c r="N383">
        <f t="shared" si="25"/>
        <v>0</v>
      </c>
      <c r="O383">
        <f t="array" ref="O383">+SUM($F$2:$F$18*SIN(2*PI()*(M383)*$B$1/$E$2:$E$18+$G$2:$G$18))</f>
        <v>1.664439434779263</v>
      </c>
      <c r="P383">
        <f t="shared" si="26"/>
        <v>0</v>
      </c>
      <c r="Q383">
        <f t="shared" si="27"/>
        <v>-4.1762284662921256E-2</v>
      </c>
      <c r="R383">
        <f t="array" ref="R383">+$B$2*SIN(Q383*$B$3+$B$4)+Q383+$B$9*SIN(PI()*M383+$B$10)+$B$11*SIN(2*PI()*M383+$B$12) + SUM($I$2:$I$18*SIN(2*PI()*M383*$H$2:$H$18+$J$2:$J$18))</f>
        <v>-10.461480137246747</v>
      </c>
    </row>
    <row r="384" spans="3:18" x14ac:dyDescent="0.35">
      <c r="C384">
        <v>-7.2417999999999996E-2</v>
      </c>
      <c r="L384">
        <f t="shared" si="28"/>
        <v>383</v>
      </c>
      <c r="M384">
        <f t="shared" si="29"/>
        <v>1911.8333333333044</v>
      </c>
      <c r="N384">
        <f t="shared" si="25"/>
        <v>0</v>
      </c>
      <c r="O384">
        <f t="array" ref="O384">+SUM($F$2:$F$18*SIN(2*PI()*(M384)*$B$1/$E$2:$E$18+$G$2:$G$18))</f>
        <v>0.8621286941818308</v>
      </c>
      <c r="P384">
        <f t="shared" si="26"/>
        <v>0</v>
      </c>
      <c r="Q384">
        <f t="shared" si="27"/>
        <v>-4.1665998324780712E-2</v>
      </c>
      <c r="R384">
        <f t="array" ref="R384">+$B$2*SIN(Q384*$B$3+$B$4)+Q384+$B$9*SIN(PI()*M384+$B$10)+$B$11*SIN(2*PI()*M384+$B$12) + SUM($I$2:$I$18*SIN(2*PI()*M384*$H$2:$H$18+$J$2:$J$18))</f>
        <v>-10.810794460638808</v>
      </c>
    </row>
    <row r="385" spans="3:18" x14ac:dyDescent="0.35">
      <c r="C385">
        <v>-0.16036400000000001</v>
      </c>
      <c r="L385">
        <f t="shared" si="28"/>
        <v>384</v>
      </c>
      <c r="M385">
        <f t="shared" si="29"/>
        <v>1911.9166666666376</v>
      </c>
      <c r="N385">
        <f t="shared" si="25"/>
        <v>0</v>
      </c>
      <c r="O385">
        <f t="array" ref="O385">+SUM($F$2:$F$18*SIN(2*PI()*(M385)*$B$1/$E$2:$E$18+$G$2:$G$18))</f>
        <v>-3.5817562741242495E-2</v>
      </c>
      <c r="P385">
        <f t="shared" si="26"/>
        <v>0</v>
      </c>
      <c r="Q385">
        <f t="shared" si="27"/>
        <v>-4.1569933982610628E-2</v>
      </c>
      <c r="R385">
        <f t="array" ref="R385">+$B$2*SIN(Q385*$B$3+$B$4)+Q385+$B$9*SIN(PI()*M385+$B$10)+$B$11*SIN(2*PI()*M385+$B$12) + SUM($I$2:$I$18*SIN(2*PI()*M385*$H$2:$H$18+$J$2:$J$18))</f>
        <v>-11.422299283799324</v>
      </c>
    </row>
    <row r="386" spans="3:18" x14ac:dyDescent="0.35">
      <c r="C386">
        <v>-0.10522999999999999</v>
      </c>
      <c r="L386">
        <f t="shared" si="28"/>
        <v>385</v>
      </c>
      <c r="M386">
        <f t="shared" si="29"/>
        <v>1911.9999999999709</v>
      </c>
      <c r="N386">
        <f t="shared" ref="N386:N449" si="30">+IF(MOD(L386,$B$5)=1, $B$6, 0)</f>
        <v>200</v>
      </c>
      <c r="O386">
        <f t="array" ref="O386">+SUM($F$2:$F$18*SIN(2*PI()*(M386)*$B$1/$E$2:$E$18+$G$2:$G$18))</f>
        <v>-0.25122529583290998</v>
      </c>
      <c r="P386">
        <f t="shared" si="26"/>
        <v>-50.245059166581996</v>
      </c>
      <c r="Q386">
        <f t="shared" si="27"/>
        <v>-0.15731815463436477</v>
      </c>
      <c r="R386">
        <f t="array" ref="R386">+$B$2*SIN(Q386*$B$3+$B$4)+Q386+$B$9*SIN(PI()*M386+$B$10)+$B$11*SIN(2*PI()*M386+$B$12) + SUM($I$2:$I$18*SIN(2*PI()*M386*$H$2:$H$18+$J$2:$J$18))</f>
        <v>-6.3529845482580498</v>
      </c>
    </row>
    <row r="387" spans="3:18" x14ac:dyDescent="0.35">
      <c r="C387">
        <v>-4.2408000000000001E-2</v>
      </c>
      <c r="L387">
        <f t="shared" si="28"/>
        <v>386</v>
      </c>
      <c r="M387">
        <f t="shared" si="29"/>
        <v>1912.0833333333042</v>
      </c>
      <c r="N387">
        <f t="shared" si="30"/>
        <v>0</v>
      </c>
      <c r="O387">
        <f t="array" ref="O387">+SUM($F$2:$F$18*SIN(2*PI()*(M387)*$B$1/$E$2:$E$18+$G$2:$G$18))</f>
        <v>-0.22090195815172664</v>
      </c>
      <c r="P387">
        <f t="shared" ref="P387:P450" si="31">+N387*O387</f>
        <v>0</v>
      </c>
      <c r="Q387">
        <f t="shared" ref="Q387:Q450" si="32">+(1-$B$7)*Q386+($B$7)*P387</f>
        <v>-0.15695544485555279</v>
      </c>
      <c r="R387">
        <f t="array" ref="R387">+$B$2*SIN(Q387*$B$3+$B$4)+Q387+$B$9*SIN(PI()*M387+$B$10)+$B$11*SIN(2*PI()*M387+$B$12) + SUM($I$2:$I$18*SIN(2*PI()*M387*$H$2:$H$18+$J$2:$J$18))</f>
        <v>-7.142759974716645</v>
      </c>
    </row>
    <row r="388" spans="3:18" x14ac:dyDescent="0.35">
      <c r="C388">
        <v>4.1199999999999999E-4</v>
      </c>
      <c r="L388">
        <f t="shared" ref="L388:L451" si="33">+L387+1</f>
        <v>387</v>
      </c>
      <c r="M388">
        <f t="shared" ref="M388:M451" si="34">+M387+1/12</f>
        <v>1912.1666666666374</v>
      </c>
      <c r="N388">
        <f t="shared" si="30"/>
        <v>0</v>
      </c>
      <c r="O388">
        <f t="array" ref="O388">+SUM($F$2:$F$18*SIN(2*PI()*(M388)*$B$1/$E$2:$E$18+$G$2:$G$18))</f>
        <v>0.26681817994196672</v>
      </c>
      <c r="P388">
        <f t="shared" si="31"/>
        <v>0</v>
      </c>
      <c r="Q388">
        <f t="shared" si="32"/>
        <v>-0.15659357133358576</v>
      </c>
      <c r="R388">
        <f t="array" ref="R388">+$B$2*SIN(Q388*$B$3+$B$4)+Q388+$B$9*SIN(PI()*M388+$B$10)+$B$11*SIN(2*PI()*M388+$B$12) + SUM($I$2:$I$18*SIN(2*PI()*M388*$H$2:$H$18+$J$2:$J$18))</f>
        <v>-7.7912677202725069</v>
      </c>
    </row>
    <row r="389" spans="3:18" x14ac:dyDescent="0.35">
      <c r="C389">
        <v>-3.8303999999999998E-2</v>
      </c>
      <c r="L389">
        <f t="shared" si="33"/>
        <v>388</v>
      </c>
      <c r="M389">
        <f t="shared" si="34"/>
        <v>1912.2499999999707</v>
      </c>
      <c r="N389">
        <f t="shared" si="30"/>
        <v>0</v>
      </c>
      <c r="O389">
        <f t="array" ref="O389">+SUM($F$2:$F$18*SIN(2*PI()*(M389)*$B$1/$E$2:$E$18+$G$2:$G$18))</f>
        <v>1.3913818620239373</v>
      </c>
      <c r="P389">
        <f t="shared" si="31"/>
        <v>0</v>
      </c>
      <c r="Q389">
        <f t="shared" si="32"/>
        <v>-0.15623253214040561</v>
      </c>
      <c r="R389">
        <f t="array" ref="R389">+$B$2*SIN(Q389*$B$3+$B$4)+Q389+$B$9*SIN(PI()*M389+$B$10)+$B$11*SIN(2*PI()*M389+$B$12) + SUM($I$2:$I$18*SIN(2*PI()*M389*$H$2:$H$18+$J$2:$J$18))</f>
        <v>-8.1995380622216327</v>
      </c>
    </row>
    <row r="390" spans="3:18" x14ac:dyDescent="0.35">
      <c r="C390">
        <v>0.14605399999999999</v>
      </c>
      <c r="L390">
        <f t="shared" si="33"/>
        <v>389</v>
      </c>
      <c r="M390">
        <f t="shared" si="34"/>
        <v>1912.3333333333039</v>
      </c>
      <c r="N390">
        <f t="shared" si="30"/>
        <v>0</v>
      </c>
      <c r="O390">
        <f t="array" ref="O390">+SUM($F$2:$F$18*SIN(2*PI()*(M390)*$B$1/$E$2:$E$18+$G$2:$G$18))</f>
        <v>1.9005359553343975</v>
      </c>
      <c r="P390">
        <f t="shared" si="31"/>
        <v>0</v>
      </c>
      <c r="Q390">
        <f t="shared" si="32"/>
        <v>-0.15587232535239959</v>
      </c>
      <c r="R390">
        <f t="array" ref="R390">+$B$2*SIN(Q390*$B$3+$B$4)+Q390+$B$9*SIN(PI()*M390+$B$10)+$B$11*SIN(2*PI()*M390+$B$12) + SUM($I$2:$I$18*SIN(2*PI()*M390*$H$2:$H$18+$J$2:$J$18))</f>
        <v>-8.3359310619751721</v>
      </c>
    </row>
    <row r="391" spans="3:18" x14ac:dyDescent="0.35">
      <c r="C391">
        <v>-0.12189800000000001</v>
      </c>
      <c r="L391">
        <f t="shared" si="33"/>
        <v>390</v>
      </c>
      <c r="M391">
        <f t="shared" si="34"/>
        <v>1912.4166666666372</v>
      </c>
      <c r="N391">
        <f t="shared" si="30"/>
        <v>0</v>
      </c>
      <c r="O391">
        <f t="array" ref="O391">+SUM($F$2:$F$18*SIN(2*PI()*(M391)*$B$1/$E$2:$E$18+$G$2:$G$18))</f>
        <v>1.8132355008946111</v>
      </c>
      <c r="P391">
        <f t="shared" si="31"/>
        <v>0</v>
      </c>
      <c r="Q391">
        <f t="shared" si="32"/>
        <v>-0.15551294905038995</v>
      </c>
      <c r="R391">
        <f t="array" ref="R391">+$B$2*SIN(Q391*$B$3+$B$4)+Q391+$B$9*SIN(PI()*M391+$B$10)+$B$11*SIN(2*PI()*M391+$B$12) + SUM($I$2:$I$18*SIN(2*PI()*M391*$H$2:$H$18+$J$2:$J$18))</f>
        <v>-8.2426619107602317</v>
      </c>
    </row>
    <row r="392" spans="3:18" x14ac:dyDescent="0.35">
      <c r="C392">
        <v>-0.10677199999999999</v>
      </c>
      <c r="L392">
        <f t="shared" si="33"/>
        <v>391</v>
      </c>
      <c r="M392">
        <f t="shared" si="34"/>
        <v>1912.4999999999704</v>
      </c>
      <c r="N392">
        <f t="shared" si="30"/>
        <v>0</v>
      </c>
      <c r="O392">
        <f t="array" ref="O392">+SUM($F$2:$F$18*SIN(2*PI()*(M392)*$B$1/$E$2:$E$18+$G$2:$G$18))</f>
        <v>1.4481948268043463</v>
      </c>
      <c r="P392">
        <f t="shared" si="31"/>
        <v>0</v>
      </c>
      <c r="Q392">
        <f t="shared" si="32"/>
        <v>-0.15515440131962382</v>
      </c>
      <c r="R392">
        <f t="array" ref="R392">+$B$2*SIN(Q392*$B$3+$B$4)+Q392+$B$9*SIN(PI()*M392+$B$10)+$B$11*SIN(2*PI()*M392+$B$12) + SUM($I$2:$I$18*SIN(2*PI()*M392*$H$2:$H$18+$J$2:$J$18))</f>
        <v>-8.022254190598078</v>
      </c>
    </row>
    <row r="393" spans="3:18" x14ac:dyDescent="0.35">
      <c r="C393">
        <v>2.2198000000000002E-2</v>
      </c>
      <c r="L393">
        <f t="shared" si="33"/>
        <v>392</v>
      </c>
      <c r="M393">
        <f t="shared" si="34"/>
        <v>1912.5833333333037</v>
      </c>
      <c r="N393">
        <f t="shared" si="30"/>
        <v>0</v>
      </c>
      <c r="O393">
        <f t="array" ref="O393">+SUM($F$2:$F$18*SIN(2*PI()*(M393)*$B$1/$E$2:$E$18+$G$2:$G$18))</f>
        <v>7.38625488007736E-2</v>
      </c>
      <c r="P393">
        <f t="shared" si="31"/>
        <v>0</v>
      </c>
      <c r="Q393">
        <f t="shared" si="32"/>
        <v>-0.15479668024976295</v>
      </c>
      <c r="R393">
        <f t="array" ref="R393">+$B$2*SIN(Q393*$B$3+$B$4)+Q393+$B$9*SIN(PI()*M393+$B$10)+$B$11*SIN(2*PI()*M393+$B$12) + SUM($I$2:$I$18*SIN(2*PI()*M393*$H$2:$H$18+$J$2:$J$18))</f>
        <v>-7.8076046853309569</v>
      </c>
    </row>
    <row r="394" spans="3:18" x14ac:dyDescent="0.35">
      <c r="C394">
        <v>0.23885799999999999</v>
      </c>
      <c r="L394">
        <f t="shared" si="33"/>
        <v>393</v>
      </c>
      <c r="M394">
        <f t="shared" si="34"/>
        <v>1912.666666666637</v>
      </c>
      <c r="N394">
        <f t="shared" si="30"/>
        <v>0</v>
      </c>
      <c r="O394">
        <f t="array" ref="O394">+SUM($F$2:$F$18*SIN(2*PI()*(M394)*$B$1/$E$2:$E$18+$G$2:$G$18))</f>
        <v>-1.1420772075421297</v>
      </c>
      <c r="P394">
        <f t="shared" si="31"/>
        <v>0</v>
      </c>
      <c r="Q394">
        <f t="shared" si="32"/>
        <v>-0.15443978393487345</v>
      </c>
      <c r="R394">
        <f t="array" ref="R394">+$B$2*SIN(Q394*$B$3+$B$4)+Q394+$B$9*SIN(PI()*M394+$B$10)+$B$11*SIN(2*PI()*M394+$B$12) + SUM($I$2:$I$18*SIN(2*PI()*M394*$H$2:$H$18+$J$2:$J$18))</f>
        <v>-7.7237546447258314</v>
      </c>
    </row>
    <row r="395" spans="3:18" x14ac:dyDescent="0.35">
      <c r="C395">
        <v>0.30013400000000001</v>
      </c>
      <c r="L395">
        <f t="shared" si="33"/>
        <v>394</v>
      </c>
      <c r="M395">
        <f t="shared" si="34"/>
        <v>1912.7499999999702</v>
      </c>
      <c r="N395">
        <f t="shared" si="30"/>
        <v>0</v>
      </c>
      <c r="O395">
        <f t="array" ref="O395">+SUM($F$2:$F$18*SIN(2*PI()*(M395)*$B$1/$E$2:$E$18+$G$2:$G$18))</f>
        <v>-0.8579351767943777</v>
      </c>
      <c r="P395">
        <f t="shared" si="31"/>
        <v>0</v>
      </c>
      <c r="Q395">
        <f t="shared" si="32"/>
        <v>-0.15408371047341582</v>
      </c>
      <c r="R395">
        <f t="array" ref="R395">+$B$2*SIN(Q395*$B$3+$B$4)+Q395+$B$9*SIN(PI()*M395+$B$10)+$B$11*SIN(2*PI()*M395+$B$12) + SUM($I$2:$I$18*SIN(2*PI()*M395*$H$2:$H$18+$J$2:$J$18))</f>
        <v>-7.8517031444799281</v>
      </c>
    </row>
    <row r="396" spans="3:18" x14ac:dyDescent="0.35">
      <c r="C396">
        <v>0.35987000000000002</v>
      </c>
      <c r="L396">
        <f t="shared" si="33"/>
        <v>395</v>
      </c>
      <c r="M396">
        <f t="shared" si="34"/>
        <v>1912.8333333333035</v>
      </c>
      <c r="N396">
        <f t="shared" si="30"/>
        <v>0</v>
      </c>
      <c r="O396">
        <f t="array" ref="O396">+SUM($F$2:$F$18*SIN(2*PI()*(M396)*$B$1/$E$2:$E$18+$G$2:$G$18))</f>
        <v>-4.1811557917622505E-2</v>
      </c>
      <c r="P396">
        <f t="shared" si="31"/>
        <v>0</v>
      </c>
      <c r="Q396">
        <f t="shared" si="32"/>
        <v>-0.15372845796823462</v>
      </c>
      <c r="R396">
        <f t="array" ref="R396">+$B$2*SIN(Q396*$B$3+$B$4)+Q396+$B$9*SIN(PI()*M396+$B$10)+$B$11*SIN(2*PI()*M396+$B$12) + SUM($I$2:$I$18*SIN(2*PI()*M396*$H$2:$H$18+$J$2:$J$18))</f>
        <v>-8.2040666784745291</v>
      </c>
    </row>
    <row r="397" spans="3:18" x14ac:dyDescent="0.35">
      <c r="C397">
        <v>0.59498800000000007</v>
      </c>
      <c r="L397">
        <f t="shared" si="33"/>
        <v>396</v>
      </c>
      <c r="M397">
        <f t="shared" si="34"/>
        <v>1912.9166666666367</v>
      </c>
      <c r="N397">
        <f t="shared" si="30"/>
        <v>0</v>
      </c>
      <c r="O397">
        <f t="array" ref="O397">+SUM($F$2:$F$18*SIN(2*PI()*(M397)*$B$1/$E$2:$E$18+$G$2:$G$18))</f>
        <v>0.6887121632309019</v>
      </c>
      <c r="P397">
        <f t="shared" si="31"/>
        <v>0</v>
      </c>
      <c r="Q397">
        <f t="shared" si="32"/>
        <v>-0.15337402452654852</v>
      </c>
      <c r="R397">
        <f t="array" ref="R397">+$B$2*SIN(Q397*$B$3+$B$4)+Q397+$B$9*SIN(PI()*M397+$B$10)+$B$11*SIN(2*PI()*M397+$B$12) + SUM($I$2:$I$18*SIN(2*PI()*M397*$H$2:$H$18+$J$2:$J$18))</f>
        <v>-8.7192265083742377</v>
      </c>
    </row>
    <row r="398" spans="3:18" x14ac:dyDescent="0.35">
      <c r="C398">
        <v>0.48549199999999998</v>
      </c>
      <c r="L398">
        <f t="shared" si="33"/>
        <v>397</v>
      </c>
      <c r="M398">
        <f t="shared" si="34"/>
        <v>1912.99999999997</v>
      </c>
      <c r="N398">
        <f t="shared" si="30"/>
        <v>200</v>
      </c>
      <c r="O398">
        <f t="array" ref="O398">+SUM($F$2:$F$18*SIN(2*PI()*(M398)*$B$1/$E$2:$E$18+$G$2:$G$18))</f>
        <v>1.1281481389445442</v>
      </c>
      <c r="P398">
        <f t="shared" si="31"/>
        <v>225.62962778890886</v>
      </c>
      <c r="Q398">
        <f t="shared" si="32"/>
        <v>0.36718701839687762</v>
      </c>
      <c r="R398">
        <f t="array" ref="R398">+$B$2*SIN(Q398*$B$3+$B$4)+Q398+$B$9*SIN(PI()*M398+$B$10)+$B$11*SIN(2*PI()*M398+$B$12) + SUM($I$2:$I$18*SIN(2*PI()*M398*$H$2:$H$18+$J$2:$J$18))</f>
        <v>4.2381882474554384</v>
      </c>
    </row>
    <row r="399" spans="3:18" x14ac:dyDescent="0.35">
      <c r="C399">
        <v>0.50830200000000003</v>
      </c>
      <c r="L399">
        <f t="shared" si="33"/>
        <v>398</v>
      </c>
      <c r="M399">
        <f t="shared" si="34"/>
        <v>1913.0833333333032</v>
      </c>
      <c r="N399">
        <f t="shared" si="30"/>
        <v>0</v>
      </c>
      <c r="O399">
        <f t="array" ref="O399">+SUM($F$2:$F$18*SIN(2*PI()*(M399)*$B$1/$E$2:$E$18+$G$2:$G$18))</f>
        <v>0.97091192005864868</v>
      </c>
      <c r="P399">
        <f t="shared" si="31"/>
        <v>0</v>
      </c>
      <c r="Q399">
        <f t="shared" si="32"/>
        <v>0.36634043891255236</v>
      </c>
      <c r="R399">
        <f t="array" ref="R399">+$B$2*SIN(Q399*$B$3+$B$4)+Q399+$B$9*SIN(PI()*M399+$B$10)+$B$11*SIN(2*PI()*M399+$B$12) + SUM($I$2:$I$18*SIN(2*PI()*M399*$H$2:$H$18+$J$2:$J$18))</f>
        <v>3.865063911012518</v>
      </c>
    </row>
    <row r="400" spans="3:18" x14ac:dyDescent="0.35">
      <c r="C400">
        <v>0.62649200000000005</v>
      </c>
      <c r="L400">
        <f t="shared" si="33"/>
        <v>399</v>
      </c>
      <c r="M400">
        <f t="shared" si="34"/>
        <v>1913.1666666666365</v>
      </c>
      <c r="N400">
        <f t="shared" si="30"/>
        <v>0</v>
      </c>
      <c r="O400">
        <f t="array" ref="O400">+SUM($F$2:$F$18*SIN(2*PI()*(M400)*$B$1/$E$2:$E$18+$G$2:$G$18))</f>
        <v>0.92371576933932364</v>
      </c>
      <c r="P400">
        <f t="shared" si="31"/>
        <v>0</v>
      </c>
      <c r="Q400">
        <f t="shared" si="32"/>
        <v>0.36549581128596548</v>
      </c>
      <c r="R400">
        <f t="array" ref="R400">+$B$2*SIN(Q400*$B$3+$B$4)+Q400+$B$9*SIN(PI()*M400+$B$10)+$B$11*SIN(2*PI()*M400+$B$12) + SUM($I$2:$I$18*SIN(2*PI()*M400*$H$2:$H$18+$J$2:$J$18))</f>
        <v>3.7411671194563709</v>
      </c>
    </row>
    <row r="401" spans="3:18" x14ac:dyDescent="0.35">
      <c r="C401">
        <v>0.89852999999999994</v>
      </c>
      <c r="L401">
        <f t="shared" si="33"/>
        <v>400</v>
      </c>
      <c r="M401">
        <f t="shared" si="34"/>
        <v>1913.2499999999698</v>
      </c>
      <c r="N401">
        <f t="shared" si="30"/>
        <v>0</v>
      </c>
      <c r="O401">
        <f t="array" ref="O401">+SUM($F$2:$F$18*SIN(2*PI()*(M401)*$B$1/$E$2:$E$18+$G$2:$G$18))</f>
        <v>0.45332728847173032</v>
      </c>
      <c r="P401">
        <f t="shared" si="31"/>
        <v>0</v>
      </c>
      <c r="Q401">
        <f t="shared" si="32"/>
        <v>0.36465313101695046</v>
      </c>
      <c r="R401">
        <f t="array" ref="R401">+$B$2*SIN(Q401*$B$3+$B$4)+Q401+$B$9*SIN(PI()*M401+$B$10)+$B$11*SIN(2*PI()*M401+$B$12) + SUM($I$2:$I$18*SIN(2*PI()*M401*$H$2:$H$18+$J$2:$J$18))</f>
        <v>3.9599975534873812</v>
      </c>
    </row>
    <row r="402" spans="3:18" x14ac:dyDescent="0.35">
      <c r="C402">
        <v>0.81979800000000003</v>
      </c>
      <c r="L402">
        <f t="shared" si="33"/>
        <v>401</v>
      </c>
      <c r="M402">
        <f t="shared" si="34"/>
        <v>1913.333333333303</v>
      </c>
      <c r="N402">
        <f t="shared" si="30"/>
        <v>0</v>
      </c>
      <c r="O402">
        <f t="array" ref="O402">+SUM($F$2:$F$18*SIN(2*PI()*(M402)*$B$1/$E$2:$E$18+$G$2:$G$18))</f>
        <v>-1.2538405123998659</v>
      </c>
      <c r="P402">
        <f t="shared" si="31"/>
        <v>0</v>
      </c>
      <c r="Q402">
        <f t="shared" si="32"/>
        <v>0.36381239361571627</v>
      </c>
      <c r="R402">
        <f t="array" ref="R402">+$B$2*SIN(Q402*$B$3+$B$4)+Q402+$B$9*SIN(PI()*M402+$B$10)+$B$11*SIN(2*PI()*M402+$B$12) + SUM($I$2:$I$18*SIN(2*PI()*M402*$H$2:$H$18+$J$2:$J$18))</f>
        <v>4.5427565067321458</v>
      </c>
    </row>
    <row r="403" spans="3:18" x14ac:dyDescent="0.35">
      <c r="C403">
        <v>0.44414000000000003</v>
      </c>
      <c r="L403">
        <f t="shared" si="33"/>
        <v>402</v>
      </c>
      <c r="M403">
        <f t="shared" si="34"/>
        <v>1913.4166666666363</v>
      </c>
      <c r="N403">
        <f t="shared" si="30"/>
        <v>0</v>
      </c>
      <c r="O403">
        <f t="array" ref="O403">+SUM($F$2:$F$18*SIN(2*PI()*(M403)*$B$1/$E$2:$E$18+$G$2:$G$18))</f>
        <v>-2.1369843484764863</v>
      </c>
      <c r="P403">
        <f t="shared" si="31"/>
        <v>0</v>
      </c>
      <c r="Q403">
        <f t="shared" si="32"/>
        <v>0.36297359460282352</v>
      </c>
      <c r="R403">
        <f t="array" ref="R403">+$B$2*SIN(Q403*$B$3+$B$4)+Q403+$B$9*SIN(PI()*M403+$B$10)+$B$11*SIN(2*PI()*M403+$B$12) + SUM($I$2:$I$18*SIN(2*PI()*M403*$H$2:$H$18+$J$2:$J$18))</f>
        <v>5.4317532299009557</v>
      </c>
    </row>
    <row r="404" spans="3:18" x14ac:dyDescent="0.35">
      <c r="C404">
        <v>0.53309800000000007</v>
      </c>
      <c r="L404">
        <f t="shared" si="33"/>
        <v>403</v>
      </c>
      <c r="M404">
        <f t="shared" si="34"/>
        <v>1913.4999999999695</v>
      </c>
      <c r="N404">
        <f t="shared" si="30"/>
        <v>0</v>
      </c>
      <c r="O404">
        <f t="array" ref="O404">+SUM($F$2:$F$18*SIN(2*PI()*(M404)*$B$1/$E$2:$E$18+$G$2:$G$18))</f>
        <v>-1.0846549321532188</v>
      </c>
      <c r="P404">
        <f t="shared" si="31"/>
        <v>0</v>
      </c>
      <c r="Q404">
        <f t="shared" si="32"/>
        <v>0.36213672950916054</v>
      </c>
      <c r="R404">
        <f t="array" ref="R404">+$B$2*SIN(Q404*$B$3+$B$4)+Q404+$B$9*SIN(PI()*M404+$B$10)+$B$11*SIN(2*PI()*M404+$B$12) + SUM($I$2:$I$18*SIN(2*PI()*M404*$H$2:$H$18+$J$2:$J$18))</f>
        <v>6.5041512413409563</v>
      </c>
    </row>
    <row r="405" spans="3:18" x14ac:dyDescent="0.35">
      <c r="C405">
        <v>1.0897479999999999</v>
      </c>
      <c r="L405">
        <f t="shared" si="33"/>
        <v>404</v>
      </c>
      <c r="M405">
        <f t="shared" si="34"/>
        <v>1913.5833333333028</v>
      </c>
      <c r="N405">
        <f t="shared" si="30"/>
        <v>0</v>
      </c>
      <c r="O405">
        <f t="array" ref="O405">+SUM($F$2:$F$18*SIN(2*PI()*(M405)*$B$1/$E$2:$E$18+$G$2:$G$18))</f>
        <v>0.18039451081872157</v>
      </c>
      <c r="P405">
        <f t="shared" si="31"/>
        <v>0</v>
      </c>
      <c r="Q405">
        <f t="shared" si="32"/>
        <v>0.36130179387591949</v>
      </c>
      <c r="R405">
        <f t="array" ref="R405">+$B$2*SIN(Q405*$B$3+$B$4)+Q405+$B$9*SIN(PI()*M405+$B$10)+$B$11*SIN(2*PI()*M405+$B$12) + SUM($I$2:$I$18*SIN(2*PI()*M405*$H$2:$H$18+$J$2:$J$18))</f>
        <v>7.6023896585574624</v>
      </c>
    </row>
    <row r="406" spans="3:18" x14ac:dyDescent="0.35">
      <c r="C406">
        <v>1.1663939999999999</v>
      </c>
      <c r="L406">
        <f t="shared" si="33"/>
        <v>405</v>
      </c>
      <c r="M406">
        <f t="shared" si="34"/>
        <v>1913.666666666636</v>
      </c>
      <c r="N406">
        <f t="shared" si="30"/>
        <v>0</v>
      </c>
      <c r="O406">
        <f t="array" ref="O406">+SUM($F$2:$F$18*SIN(2*PI()*(M406)*$B$1/$E$2:$E$18+$G$2:$G$18))</f>
        <v>0.70240475411573533</v>
      </c>
      <c r="P406">
        <f t="shared" si="31"/>
        <v>0</v>
      </c>
      <c r="Q406">
        <f t="shared" si="32"/>
        <v>0.36046878325457271</v>
      </c>
      <c r="R406">
        <f t="array" ref="R406">+$B$2*SIN(Q406*$B$3+$B$4)+Q406+$B$9*SIN(PI()*M406+$B$10)+$B$11*SIN(2*PI()*M406+$B$12) + SUM($I$2:$I$18*SIN(2*PI()*M406*$H$2:$H$18+$J$2:$J$18))</f>
        <v>8.5731881500988845</v>
      </c>
    </row>
    <row r="407" spans="3:18" x14ac:dyDescent="0.35">
      <c r="C407">
        <v>1.2276560000000001</v>
      </c>
      <c r="L407">
        <f t="shared" si="33"/>
        <v>406</v>
      </c>
      <c r="M407">
        <f t="shared" si="34"/>
        <v>1913.7499999999693</v>
      </c>
      <c r="N407">
        <f t="shared" si="30"/>
        <v>0</v>
      </c>
      <c r="O407">
        <f t="array" ref="O407">+SUM($F$2:$F$18*SIN(2*PI()*(M407)*$B$1/$E$2:$E$18+$G$2:$G$18))</f>
        <v>0.45116386261353908</v>
      </c>
      <c r="P407">
        <f t="shared" si="31"/>
        <v>0</v>
      </c>
      <c r="Q407">
        <f t="shared" si="32"/>
        <v>0.35963769320684896</v>
      </c>
      <c r="R407">
        <f t="array" ref="R407">+$B$2*SIN(Q407*$B$3+$B$4)+Q407+$B$9*SIN(PI()*M407+$B$10)+$B$11*SIN(2*PI()*M407+$B$12) + SUM($I$2:$I$18*SIN(2*PI()*M407*$H$2:$H$18+$J$2:$J$18))</f>
        <v>9.3047862245654489</v>
      </c>
    </row>
    <row r="408" spans="3:18" x14ac:dyDescent="0.35">
      <c r="C408">
        <v>1.3550720000000001</v>
      </c>
      <c r="L408">
        <f t="shared" si="33"/>
        <v>407</v>
      </c>
      <c r="M408">
        <f t="shared" si="34"/>
        <v>1913.8333333333026</v>
      </c>
      <c r="N408">
        <f t="shared" si="30"/>
        <v>0</v>
      </c>
      <c r="O408">
        <f t="array" ref="O408">+SUM($F$2:$F$18*SIN(2*PI()*(M408)*$B$1/$E$2:$E$18+$G$2:$G$18))</f>
        <v>-3.0074018825478888E-2</v>
      </c>
      <c r="P408">
        <f t="shared" si="31"/>
        <v>0</v>
      </c>
      <c r="Q408">
        <f t="shared" si="32"/>
        <v>0.35880851930470981</v>
      </c>
      <c r="R408">
        <f t="array" ref="R408">+$B$2*SIN(Q408*$B$3+$B$4)+Q408+$B$9*SIN(PI()*M408+$B$10)+$B$11*SIN(2*PI()*M408+$B$12) + SUM($I$2:$I$18*SIN(2*PI()*M408*$H$2:$H$18+$J$2:$J$18))</f>
        <v>9.7525807762234979</v>
      </c>
    </row>
    <row r="409" spans="3:18" x14ac:dyDescent="0.35">
      <c r="C409">
        <v>1.2670980000000001</v>
      </c>
      <c r="L409">
        <f t="shared" si="33"/>
        <v>408</v>
      </c>
      <c r="M409">
        <f t="shared" si="34"/>
        <v>1913.9166666666358</v>
      </c>
      <c r="N409">
        <f t="shared" si="30"/>
        <v>0</v>
      </c>
      <c r="O409">
        <f t="array" ref="O409">+SUM($F$2:$F$18*SIN(2*PI()*(M409)*$B$1/$E$2:$E$18+$G$2:$G$18))</f>
        <v>2.6826548803675829E-2</v>
      </c>
      <c r="P409">
        <f t="shared" si="31"/>
        <v>0</v>
      </c>
      <c r="Q409">
        <f t="shared" si="32"/>
        <v>0.35798125713032608</v>
      </c>
      <c r="R409">
        <f t="array" ref="R409">+$B$2*SIN(Q409*$B$3+$B$4)+Q409+$B$9*SIN(PI()*M409+$B$10)+$B$11*SIN(2*PI()*M409+$B$12) + SUM($I$2:$I$18*SIN(2*PI()*M409*$H$2:$H$18+$J$2:$J$18))</f>
        <v>9.9464699606782503</v>
      </c>
    </row>
    <row r="410" spans="3:18" x14ac:dyDescent="0.35">
      <c r="C410">
        <v>1.2945120000000001</v>
      </c>
      <c r="L410">
        <f t="shared" si="33"/>
        <v>409</v>
      </c>
      <c r="M410">
        <f t="shared" si="34"/>
        <v>1913.9999999999691</v>
      </c>
      <c r="N410">
        <f t="shared" si="30"/>
        <v>200</v>
      </c>
      <c r="O410">
        <f t="array" ref="O410">+SUM($F$2:$F$18*SIN(2*PI()*(M410)*$B$1/$E$2:$E$18+$G$2:$G$18))</f>
        <v>-0.62313874769908895</v>
      </c>
      <c r="P410">
        <f t="shared" si="31"/>
        <v>-124.62774953981778</v>
      </c>
      <c r="Q410">
        <f t="shared" si="32"/>
        <v>6.9816506676847578E-2</v>
      </c>
      <c r="R410">
        <f t="array" ref="R410">+$B$2*SIN(Q410*$B$3+$B$4)+Q410+$B$9*SIN(PI()*M410+$B$10)+$B$11*SIN(2*PI()*M410+$B$12) + SUM($I$2:$I$18*SIN(2*PI()*M410*$H$2:$H$18+$J$2:$J$18))</f>
        <v>-4.9460147389098008</v>
      </c>
    </row>
    <row r="411" spans="3:18" x14ac:dyDescent="0.35">
      <c r="C411">
        <v>1.4480779999999998</v>
      </c>
      <c r="L411">
        <f t="shared" si="33"/>
        <v>410</v>
      </c>
      <c r="M411">
        <f t="shared" si="34"/>
        <v>1914.0833333333023</v>
      </c>
      <c r="N411">
        <f t="shared" si="30"/>
        <v>0</v>
      </c>
      <c r="O411">
        <f t="array" ref="O411">+SUM($F$2:$F$18*SIN(2*PI()*(M411)*$B$1/$E$2:$E$18+$G$2:$G$18))</f>
        <v>-2.2697974180978031</v>
      </c>
      <c r="P411">
        <f t="shared" si="31"/>
        <v>0</v>
      </c>
      <c r="Q411">
        <f t="shared" si="32"/>
        <v>6.9655539052017254E-2</v>
      </c>
      <c r="R411">
        <f t="array" ref="R411">+$B$2*SIN(Q411*$B$3+$B$4)+Q411+$B$9*SIN(PI()*M411+$B$10)+$B$11*SIN(2*PI()*M411+$B$12) + SUM($I$2:$I$18*SIN(2*PI()*M411*$H$2:$H$18+$J$2:$J$18))</f>
        <v>-5.002000382528589</v>
      </c>
    </row>
    <row r="412" spans="3:18" x14ac:dyDescent="0.35">
      <c r="C412">
        <v>1.480102</v>
      </c>
      <c r="L412">
        <f t="shared" si="33"/>
        <v>411</v>
      </c>
      <c r="M412">
        <f t="shared" si="34"/>
        <v>1914.1666666666356</v>
      </c>
      <c r="N412">
        <f t="shared" si="30"/>
        <v>0</v>
      </c>
      <c r="O412">
        <f t="array" ref="O412">+SUM($F$2:$F$18*SIN(2*PI()*(M412)*$B$1/$E$2:$E$18+$G$2:$G$18))</f>
        <v>-2.3179790236240536</v>
      </c>
      <c r="P412">
        <f t="shared" si="31"/>
        <v>0</v>
      </c>
      <c r="Q412">
        <f t="shared" si="32"/>
        <v>6.9494942551115588E-2</v>
      </c>
      <c r="R412">
        <f t="array" ref="R412">+$B$2*SIN(Q412*$B$3+$B$4)+Q412+$B$9*SIN(PI()*M412+$B$10)+$B$11*SIN(2*PI()*M412+$B$12) + SUM($I$2:$I$18*SIN(2*PI()*M412*$H$2:$H$18+$J$2:$J$18))</f>
        <v>-4.9757399009071346</v>
      </c>
    </row>
    <row r="413" spans="3:18" x14ac:dyDescent="0.35">
      <c r="C413">
        <v>1.3721260000000002</v>
      </c>
      <c r="L413">
        <f t="shared" si="33"/>
        <v>412</v>
      </c>
      <c r="M413">
        <f t="shared" si="34"/>
        <v>1914.2499999999688</v>
      </c>
      <c r="N413">
        <f t="shared" si="30"/>
        <v>0</v>
      </c>
      <c r="O413">
        <f t="array" ref="O413">+SUM($F$2:$F$18*SIN(2*PI()*(M413)*$B$1/$E$2:$E$18+$G$2:$G$18))</f>
        <v>-0.54145233990922603</v>
      </c>
      <c r="P413">
        <f t="shared" si="31"/>
        <v>0</v>
      </c>
      <c r="Q413">
        <f t="shared" si="32"/>
        <v>6.9334716318486242E-2</v>
      </c>
      <c r="R413">
        <f t="array" ref="R413">+$B$2*SIN(Q413*$B$3+$B$4)+Q413+$B$9*SIN(PI()*M413+$B$10)+$B$11*SIN(2*PI()*M413+$B$12) + SUM($I$2:$I$18*SIN(2*PI()*M413*$H$2:$H$18+$J$2:$J$18))</f>
        <v>-4.7882626634024295</v>
      </c>
    </row>
    <row r="414" spans="3:18" x14ac:dyDescent="0.35">
      <c r="C414">
        <v>1.2210720000000002</v>
      </c>
      <c r="L414">
        <f t="shared" si="33"/>
        <v>413</v>
      </c>
      <c r="M414">
        <f t="shared" si="34"/>
        <v>1914.3333333333021</v>
      </c>
      <c r="N414">
        <f t="shared" si="30"/>
        <v>0</v>
      </c>
      <c r="O414">
        <f t="array" ref="O414">+SUM($F$2:$F$18*SIN(2*PI()*(M414)*$B$1/$E$2:$E$18+$G$2:$G$18))</f>
        <v>0.73274840743586012</v>
      </c>
      <c r="P414">
        <f t="shared" si="31"/>
        <v>0</v>
      </c>
      <c r="Q414">
        <f t="shared" si="32"/>
        <v>6.9174859500445635E-2</v>
      </c>
      <c r="R414">
        <f t="array" ref="R414">+$B$2*SIN(Q414*$B$3+$B$4)+Q414+$B$9*SIN(PI()*M414+$B$10)+$B$11*SIN(2*PI()*M414+$B$12) + SUM($I$2:$I$18*SIN(2*PI()*M414*$H$2:$H$18+$J$2:$J$18))</f>
        <v>-4.4250788433311712</v>
      </c>
    </row>
    <row r="415" spans="3:18" x14ac:dyDescent="0.35">
      <c r="C415">
        <v>1.4161699999999999</v>
      </c>
      <c r="L415">
        <f t="shared" si="33"/>
        <v>414</v>
      </c>
      <c r="M415">
        <f t="shared" si="34"/>
        <v>1914.4166666666354</v>
      </c>
      <c r="N415">
        <f t="shared" si="30"/>
        <v>0</v>
      </c>
      <c r="O415">
        <f t="array" ref="O415">+SUM($F$2:$F$18*SIN(2*PI()*(M415)*$B$1/$E$2:$E$18+$G$2:$G$18))</f>
        <v>0.73887144787702286</v>
      </c>
      <c r="P415">
        <f t="shared" si="31"/>
        <v>0</v>
      </c>
      <c r="Q415">
        <f t="shared" si="32"/>
        <v>6.9015371245278456E-2</v>
      </c>
      <c r="R415">
        <f t="array" ref="R415">+$B$2*SIN(Q415*$B$3+$B$4)+Q415+$B$9*SIN(PI()*M415+$B$10)+$B$11*SIN(2*PI()*M415+$B$12) + SUM($I$2:$I$18*SIN(2*PI()*M415*$H$2:$H$18+$J$2:$J$18))</f>
        <v>-3.9419156975878291</v>
      </c>
    </row>
    <row r="416" spans="3:18" x14ac:dyDescent="0.35">
      <c r="C416">
        <v>1.205114</v>
      </c>
      <c r="L416">
        <f t="shared" si="33"/>
        <v>415</v>
      </c>
      <c r="M416">
        <f t="shared" si="34"/>
        <v>1914.4999999999686</v>
      </c>
      <c r="N416">
        <f t="shared" si="30"/>
        <v>0</v>
      </c>
      <c r="O416">
        <f t="array" ref="O416">+SUM($F$2:$F$18*SIN(2*PI()*(M416)*$B$1/$E$2:$E$18+$G$2:$G$18))</f>
        <v>-7.2996260685929293E-2</v>
      </c>
      <c r="P416">
        <f t="shared" si="31"/>
        <v>0</v>
      </c>
      <c r="Q416">
        <f t="shared" si="32"/>
        <v>6.8856250703233063E-2</v>
      </c>
      <c r="R416">
        <f t="array" ref="R416">+$B$2*SIN(Q416*$B$3+$B$4)+Q416+$B$9*SIN(PI()*M416+$B$10)+$B$11*SIN(2*PI()*M416+$B$12) + SUM($I$2:$I$18*SIN(2*PI()*M416*$H$2:$H$18+$J$2:$J$18))</f>
        <v>-3.4505432489546308</v>
      </c>
    </row>
    <row r="417" spans="3:18" x14ac:dyDescent="0.35">
      <c r="C417">
        <v>1.080212</v>
      </c>
      <c r="L417">
        <f t="shared" si="33"/>
        <v>416</v>
      </c>
      <c r="M417">
        <f t="shared" si="34"/>
        <v>1914.5833333333019</v>
      </c>
      <c r="N417">
        <f t="shared" si="30"/>
        <v>0</v>
      </c>
      <c r="O417">
        <f t="array" ref="O417">+SUM($F$2:$F$18*SIN(2*PI()*(M417)*$B$1/$E$2:$E$18+$G$2:$G$18))</f>
        <v>-0.57665988605285656</v>
      </c>
      <c r="P417">
        <f t="shared" si="31"/>
        <v>0</v>
      </c>
      <c r="Q417">
        <f t="shared" si="32"/>
        <v>6.8697497026517007E-2</v>
      </c>
      <c r="R417">
        <f t="array" ref="R417">+$B$2*SIN(Q417*$B$3+$B$4)+Q417+$B$9*SIN(PI()*M417+$B$10)+$B$11*SIN(2*PI()*M417+$B$12) + SUM($I$2:$I$18*SIN(2*PI()*M417*$H$2:$H$18+$J$2:$J$18))</f>
        <v>-3.0884155059008949</v>
      </c>
    </row>
    <row r="418" spans="3:18" x14ac:dyDescent="0.35">
      <c r="C418">
        <v>0.52146000000000003</v>
      </c>
      <c r="L418">
        <f t="shared" si="33"/>
        <v>417</v>
      </c>
      <c r="M418">
        <f t="shared" si="34"/>
        <v>1914.6666666666351</v>
      </c>
      <c r="N418">
        <f t="shared" si="30"/>
        <v>0</v>
      </c>
      <c r="O418">
        <f t="array" ref="O418">+SUM($F$2:$F$18*SIN(2*PI()*(M418)*$B$1/$E$2:$E$18+$G$2:$G$18))</f>
        <v>-0.36389438357021003</v>
      </c>
      <c r="P418">
        <f t="shared" si="31"/>
        <v>0</v>
      </c>
      <c r="Q418">
        <f t="shared" si="32"/>
        <v>6.8539109369292472E-2</v>
      </c>
      <c r="R418">
        <f t="array" ref="R418">+$B$2*SIN(Q418*$B$3+$B$4)+Q418+$B$9*SIN(PI()*M418+$B$10)+$B$11*SIN(2*PI()*M418+$B$12) + SUM($I$2:$I$18*SIN(2*PI()*M418*$H$2:$H$18+$J$2:$J$18))</f>
        <v>-2.9802533103325941</v>
      </c>
    </row>
    <row r="419" spans="3:18" x14ac:dyDescent="0.35">
      <c r="C419">
        <v>0.170402</v>
      </c>
      <c r="L419">
        <f t="shared" si="33"/>
        <v>418</v>
      </c>
      <c r="M419">
        <f t="shared" si="34"/>
        <v>1914.7499999999684</v>
      </c>
      <c r="N419">
        <f t="shared" si="30"/>
        <v>0</v>
      </c>
      <c r="O419">
        <f t="array" ref="O419">+SUM($F$2:$F$18*SIN(2*PI()*(M419)*$B$1/$E$2:$E$18+$G$2:$G$18))</f>
        <v>-1.1106658360991912</v>
      </c>
      <c r="P419">
        <f t="shared" si="31"/>
        <v>0</v>
      </c>
      <c r="Q419">
        <f t="shared" si="32"/>
        <v>6.8381086887671805E-2</v>
      </c>
      <c r="R419">
        <f t="array" ref="R419">+$B$2*SIN(Q419*$B$3+$B$4)+Q419+$B$9*SIN(PI()*M419+$B$10)+$B$11*SIN(2*PI()*M419+$B$12) + SUM($I$2:$I$18*SIN(2*PI()*M419*$H$2:$H$18+$J$2:$J$18))</f>
        <v>-3.2019214099441458</v>
      </c>
    </row>
    <row r="420" spans="3:18" x14ac:dyDescent="0.35">
      <c r="C420">
        <v>-2.3736E-2</v>
      </c>
      <c r="L420">
        <f t="shared" si="33"/>
        <v>419</v>
      </c>
      <c r="M420">
        <f t="shared" si="34"/>
        <v>1914.8333333333017</v>
      </c>
      <c r="N420">
        <f t="shared" si="30"/>
        <v>0</v>
      </c>
      <c r="O420">
        <f t="array" ref="O420">+SUM($F$2:$F$18*SIN(2*PI()*(M420)*$B$1/$E$2:$E$18+$G$2:$G$18))</f>
        <v>-2.3510102848417116</v>
      </c>
      <c r="P420">
        <f t="shared" si="31"/>
        <v>0</v>
      </c>
      <c r="Q420">
        <f t="shared" si="32"/>
        <v>6.8223428739713002E-2</v>
      </c>
      <c r="R420">
        <f t="array" ref="R420">+$B$2*SIN(Q420*$B$3+$B$4)+Q420+$B$9*SIN(PI()*M420+$B$10)+$B$11*SIN(2*PI()*M420+$B$12) + SUM($I$2:$I$18*SIN(2*PI()*M420*$H$2:$H$18+$J$2:$J$18))</f>
        <v>-3.7564047196507269</v>
      </c>
    </row>
    <row r="421" spans="3:18" x14ac:dyDescent="0.35">
      <c r="C421">
        <v>-0.16249199999999997</v>
      </c>
      <c r="L421">
        <f t="shared" si="33"/>
        <v>420</v>
      </c>
      <c r="M421">
        <f t="shared" si="34"/>
        <v>1914.9166666666349</v>
      </c>
      <c r="N421">
        <f t="shared" si="30"/>
        <v>0</v>
      </c>
      <c r="O421">
        <f t="array" ref="O421">+SUM($F$2:$F$18*SIN(2*PI()*(M421)*$B$1/$E$2:$E$18+$G$2:$G$18))</f>
        <v>-1.4801516331506435</v>
      </c>
      <c r="P421">
        <f t="shared" si="31"/>
        <v>0</v>
      </c>
      <c r="Q421">
        <f t="shared" si="32"/>
        <v>6.8066134085415231E-2</v>
      </c>
      <c r="R421">
        <f t="array" ref="R421">+$B$2*SIN(Q421*$B$3+$B$4)+Q421+$B$9*SIN(PI()*M421+$B$10)+$B$11*SIN(2*PI()*M421+$B$12) + SUM($I$2:$I$18*SIN(2*PI()*M421*$H$2:$H$18+$J$2:$J$18))</f>
        <v>-4.568509346267672</v>
      </c>
    </row>
    <row r="422" spans="3:18" x14ac:dyDescent="0.35">
      <c r="C422">
        <v>-0.15970800000000002</v>
      </c>
      <c r="L422">
        <f t="shared" si="33"/>
        <v>421</v>
      </c>
      <c r="M422">
        <f t="shared" si="34"/>
        <v>1914.9999999999682</v>
      </c>
      <c r="N422">
        <f t="shared" si="30"/>
        <v>200</v>
      </c>
      <c r="O422">
        <f t="array" ref="O422">+SUM($F$2:$F$18*SIN(2*PI()*(M422)*$B$1/$E$2:$E$18+$G$2:$G$18))</f>
        <v>0.6665256717802488</v>
      </c>
      <c r="P422">
        <f t="shared" si="31"/>
        <v>133.30513435604976</v>
      </c>
      <c r="Q422">
        <f t="shared" si="32"/>
        <v>0.37525501293199914</v>
      </c>
      <c r="R422">
        <f t="array" ref="R422">+$B$2*SIN(Q422*$B$3+$B$4)+Q422+$B$9*SIN(PI()*M422+$B$10)+$B$11*SIN(2*PI()*M422+$B$12) + SUM($I$2:$I$18*SIN(2*PI()*M422*$H$2:$H$18+$J$2:$J$18))</f>
        <v>8.6337836917553332</v>
      </c>
    </row>
    <row r="423" spans="3:18" x14ac:dyDescent="0.35">
      <c r="C423">
        <v>-0.20461600000000002</v>
      </c>
      <c r="L423">
        <f t="shared" si="33"/>
        <v>422</v>
      </c>
      <c r="M423">
        <f t="shared" si="34"/>
        <v>1915.0833333333014</v>
      </c>
      <c r="N423">
        <f t="shared" si="30"/>
        <v>0</v>
      </c>
      <c r="O423">
        <f t="array" ref="O423">+SUM($F$2:$F$18*SIN(2*PI()*(M423)*$B$1/$E$2:$E$18+$G$2:$G$18))</f>
        <v>1.604103974322459</v>
      </c>
      <c r="P423">
        <f t="shared" si="31"/>
        <v>0</v>
      </c>
      <c r="Q423">
        <f t="shared" si="32"/>
        <v>0.3743898320311998</v>
      </c>
      <c r="R423">
        <f t="array" ref="R423">+$B$2*SIN(Q423*$B$3+$B$4)+Q423+$B$9*SIN(PI()*M423+$B$10)+$B$11*SIN(2*PI()*M423+$B$12) + SUM($I$2:$I$18*SIN(2*PI()*M423*$H$2:$H$18+$J$2:$J$18))</f>
        <v>7.8153142156155369</v>
      </c>
    </row>
    <row r="424" spans="3:18" x14ac:dyDescent="0.35">
      <c r="C424">
        <v>-0.25106800000000001</v>
      </c>
      <c r="L424">
        <f t="shared" si="33"/>
        <v>423</v>
      </c>
      <c r="M424">
        <f t="shared" si="34"/>
        <v>1915.1666666666347</v>
      </c>
      <c r="N424">
        <f t="shared" si="30"/>
        <v>0</v>
      </c>
      <c r="O424">
        <f t="array" ref="O424">+SUM($F$2:$F$18*SIN(2*PI()*(M424)*$B$1/$E$2:$E$18+$G$2:$G$18))</f>
        <v>1.002876250987061</v>
      </c>
      <c r="P424">
        <f t="shared" si="31"/>
        <v>0</v>
      </c>
      <c r="Q424">
        <f t="shared" si="32"/>
        <v>0.37352664587521484</v>
      </c>
      <c r="R424">
        <f t="array" ref="R424">+$B$2*SIN(Q424*$B$3+$B$4)+Q424+$B$9*SIN(PI()*M424+$B$10)+$B$11*SIN(2*PI()*M424+$B$12) + SUM($I$2:$I$18*SIN(2*PI()*M424*$H$2:$H$18+$J$2:$J$18))</f>
        <v>7.2073799866670836</v>
      </c>
    </row>
    <row r="425" spans="3:18" x14ac:dyDescent="0.35">
      <c r="C425">
        <v>-0.12521000000000002</v>
      </c>
      <c r="L425">
        <f t="shared" si="33"/>
        <v>424</v>
      </c>
      <c r="M425">
        <f t="shared" si="34"/>
        <v>1915.2499999999679</v>
      </c>
      <c r="N425">
        <f t="shared" si="30"/>
        <v>0</v>
      </c>
      <c r="O425">
        <f t="array" ref="O425">+SUM($F$2:$F$18*SIN(2*PI()*(M425)*$B$1/$E$2:$E$18+$G$2:$G$18))</f>
        <v>-0.23890881417587986</v>
      </c>
      <c r="P425">
        <f t="shared" si="31"/>
        <v>0</v>
      </c>
      <c r="Q425">
        <f t="shared" si="32"/>
        <v>0.37266544986499806</v>
      </c>
      <c r="R425">
        <f t="array" ref="R425">+$B$2*SIN(Q425*$B$3+$B$4)+Q425+$B$9*SIN(PI()*M425+$B$10)+$B$11*SIN(2*PI()*M425+$B$12) + SUM($I$2:$I$18*SIN(2*PI()*M425*$H$2:$H$18+$J$2:$J$18))</f>
        <v>6.9239468717304273</v>
      </c>
    </row>
    <row r="426" spans="3:18" x14ac:dyDescent="0.35">
      <c r="C426">
        <v>-5.6277999999999995E-2</v>
      </c>
      <c r="L426">
        <f t="shared" si="33"/>
        <v>425</v>
      </c>
      <c r="M426">
        <f t="shared" si="34"/>
        <v>1915.3333333333012</v>
      </c>
      <c r="N426">
        <f t="shared" si="30"/>
        <v>0</v>
      </c>
      <c r="O426">
        <f t="array" ref="O426">+SUM($F$2:$F$18*SIN(2*PI()*(M426)*$B$1/$E$2:$E$18+$G$2:$G$18))</f>
        <v>-0.62561403720121844</v>
      </c>
      <c r="P426">
        <f t="shared" si="31"/>
        <v>0</v>
      </c>
      <c r="Q426">
        <f t="shared" si="32"/>
        <v>0.37180623941210689</v>
      </c>
      <c r="R426">
        <f t="array" ref="R426">+$B$2*SIN(Q426*$B$3+$B$4)+Q426+$B$9*SIN(PI()*M426+$B$10)+$B$11*SIN(2*PI()*M426+$B$12) + SUM($I$2:$I$18*SIN(2*PI()*M426*$H$2:$H$18+$J$2:$J$18))</f>
        <v>7.005844108689276</v>
      </c>
    </row>
    <row r="427" spans="3:18" x14ac:dyDescent="0.35">
      <c r="C427">
        <v>-0.16119399999999998</v>
      </c>
      <c r="L427">
        <f t="shared" si="33"/>
        <v>426</v>
      </c>
      <c r="M427">
        <f t="shared" si="34"/>
        <v>1915.4166666666345</v>
      </c>
      <c r="N427">
        <f t="shared" si="30"/>
        <v>0</v>
      </c>
      <c r="O427">
        <f t="array" ref="O427">+SUM($F$2:$F$18*SIN(2*PI()*(M427)*$B$1/$E$2:$E$18+$G$2:$G$18))</f>
        <v>-0.20571436329807274</v>
      </c>
      <c r="P427">
        <f t="shared" si="31"/>
        <v>0</v>
      </c>
      <c r="Q427">
        <f t="shared" si="32"/>
        <v>0.37094900993867763</v>
      </c>
      <c r="R427">
        <f t="array" ref="R427">+$B$2*SIN(Q427*$B$3+$B$4)+Q427+$B$9*SIN(PI()*M427+$B$10)+$B$11*SIN(2*PI()*M427+$B$12) + SUM($I$2:$I$18*SIN(2*PI()*M427*$H$2:$H$18+$J$2:$J$18))</f>
        <v>7.4132325832078303</v>
      </c>
    </row>
    <row r="428" spans="3:18" x14ac:dyDescent="0.35">
      <c r="C428">
        <v>-0.52149400000000001</v>
      </c>
      <c r="L428">
        <f t="shared" si="33"/>
        <v>427</v>
      </c>
      <c r="M428">
        <f t="shared" si="34"/>
        <v>1915.4999999999677</v>
      </c>
      <c r="N428">
        <f t="shared" si="30"/>
        <v>0</v>
      </c>
      <c r="O428">
        <f t="array" ref="O428">+SUM($F$2:$F$18*SIN(2*PI()*(M428)*$B$1/$E$2:$E$18+$G$2:$G$18))</f>
        <v>-0.85686896922228628</v>
      </c>
      <c r="P428">
        <f t="shared" si="31"/>
        <v>0</v>
      </c>
      <c r="Q428">
        <f t="shared" si="32"/>
        <v>0.37009375687740131</v>
      </c>
      <c r="R428">
        <f t="array" ref="R428">+$B$2*SIN(Q428*$B$3+$B$4)+Q428+$B$9*SIN(PI()*M428+$B$10)+$B$11*SIN(2*PI()*M428+$B$12) + SUM($I$2:$I$18*SIN(2*PI()*M428*$H$2:$H$18+$J$2:$J$18))</f>
        <v>8.0385599991272105</v>
      </c>
    </row>
    <row r="429" spans="3:18" x14ac:dyDescent="0.35">
      <c r="C429">
        <v>-0.19871800000000001</v>
      </c>
      <c r="L429">
        <f t="shared" si="33"/>
        <v>428</v>
      </c>
      <c r="M429">
        <f t="shared" si="34"/>
        <v>1915.583333333301</v>
      </c>
      <c r="N429">
        <f t="shared" si="30"/>
        <v>0</v>
      </c>
      <c r="O429">
        <f t="array" ref="O429">+SUM($F$2:$F$18*SIN(2*PI()*(M429)*$B$1/$E$2:$E$18+$G$2:$G$18))</f>
        <v>-1.5612722429871346</v>
      </c>
      <c r="P429">
        <f t="shared" si="31"/>
        <v>0</v>
      </c>
      <c r="Q429">
        <f t="shared" si="32"/>
        <v>0.36924047567149926</v>
      </c>
      <c r="R429">
        <f t="array" ref="R429">+$B$2*SIN(Q429*$B$3+$B$4)+Q429+$B$9*SIN(PI()*M429+$B$10)+$B$11*SIN(2*PI()*M429+$B$12) + SUM($I$2:$I$18*SIN(2*PI()*M429*$H$2:$H$18+$J$2:$J$18))</f>
        <v>8.7363823149806414</v>
      </c>
    </row>
    <row r="430" spans="3:18" x14ac:dyDescent="0.35">
      <c r="C430">
        <v>-8.9789999999999995E-2</v>
      </c>
      <c r="L430">
        <f t="shared" si="33"/>
        <v>429</v>
      </c>
      <c r="M430">
        <f t="shared" si="34"/>
        <v>1915.6666666666342</v>
      </c>
      <c r="N430">
        <f t="shared" si="30"/>
        <v>0</v>
      </c>
      <c r="O430">
        <f t="array" ref="O430">+SUM($F$2:$F$18*SIN(2*PI()*(M430)*$B$1/$E$2:$E$18+$G$2:$G$18))</f>
        <v>-0.13532502164826143</v>
      </c>
      <c r="P430">
        <f t="shared" si="31"/>
        <v>0</v>
      </c>
      <c r="Q430">
        <f t="shared" si="32"/>
        <v>0.36838916177469883</v>
      </c>
      <c r="R430">
        <f t="array" ref="R430">+$B$2*SIN(Q430*$B$3+$B$4)+Q430+$B$9*SIN(PI()*M430+$B$10)+$B$11*SIN(2*PI()*M430+$B$12) + SUM($I$2:$I$18*SIN(2*PI()*M430*$H$2:$H$18+$J$2:$J$18))</f>
        <v>9.3619898564117126</v>
      </c>
    </row>
    <row r="431" spans="3:18" x14ac:dyDescent="0.35">
      <c r="C431">
        <v>3.6060000000000002E-2</v>
      </c>
      <c r="L431">
        <f t="shared" si="33"/>
        <v>430</v>
      </c>
      <c r="M431">
        <f t="shared" si="34"/>
        <v>1915.7499999999675</v>
      </c>
      <c r="N431">
        <f t="shared" si="30"/>
        <v>0</v>
      </c>
      <c r="O431">
        <f t="array" ref="O431">+SUM($F$2:$F$18*SIN(2*PI()*(M431)*$B$1/$E$2:$E$18+$G$2:$G$18))</f>
        <v>1.8970317307905242</v>
      </c>
      <c r="P431">
        <f t="shared" si="31"/>
        <v>0</v>
      </c>
      <c r="Q431">
        <f t="shared" si="32"/>
        <v>0.36753981065120911</v>
      </c>
      <c r="R431">
        <f t="array" ref="R431">+$B$2*SIN(Q431*$B$3+$B$4)+Q431+$B$9*SIN(PI()*M431+$B$10)+$B$11*SIN(2*PI()*M431+$B$12) + SUM($I$2:$I$18*SIN(2*PI()*M431*$H$2:$H$18+$J$2:$J$18))</f>
        <v>9.8085022721016362</v>
      </c>
    </row>
    <row r="432" spans="3:18" x14ac:dyDescent="0.35">
      <c r="C432">
        <v>6.4986000000000002E-2</v>
      </c>
      <c r="L432">
        <f t="shared" si="33"/>
        <v>431</v>
      </c>
      <c r="M432">
        <f t="shared" si="34"/>
        <v>1915.8333333333007</v>
      </c>
      <c r="N432">
        <f t="shared" si="30"/>
        <v>0</v>
      </c>
      <c r="O432">
        <f t="array" ref="O432">+SUM($F$2:$F$18*SIN(2*PI()*(M432)*$B$1/$E$2:$E$18+$G$2:$G$18))</f>
        <v>2.3869738127608495</v>
      </c>
      <c r="P432">
        <f t="shared" si="31"/>
        <v>0</v>
      </c>
      <c r="Q432">
        <f t="shared" si="32"/>
        <v>0.36669241777569689</v>
      </c>
      <c r="R432">
        <f t="array" ref="R432">+$B$2*SIN(Q432*$B$3+$B$4)+Q432+$B$9*SIN(PI()*M432+$B$10)+$B$11*SIN(2*PI()*M432+$B$12) + SUM($I$2:$I$18*SIN(2*PI()*M432*$H$2:$H$18+$J$2:$J$18))</f>
        <v>10.032592842075559</v>
      </c>
    </row>
    <row r="433" spans="3:18" x14ac:dyDescent="0.35">
      <c r="C433">
        <v>2.4677999999999999E-2</v>
      </c>
      <c r="L433">
        <f t="shared" si="33"/>
        <v>432</v>
      </c>
      <c r="M433">
        <f t="shared" si="34"/>
        <v>1915.916666666634</v>
      </c>
      <c r="N433">
        <f t="shared" si="30"/>
        <v>0</v>
      </c>
      <c r="O433">
        <f t="array" ref="O433">+SUM($F$2:$F$18*SIN(2*PI()*(M433)*$B$1/$E$2:$E$18+$G$2:$G$18))</f>
        <v>1.2815044628146914</v>
      </c>
      <c r="P433">
        <f t="shared" si="31"/>
        <v>0</v>
      </c>
      <c r="Q433">
        <f t="shared" si="32"/>
        <v>0.36584697863326243</v>
      </c>
      <c r="R433">
        <f t="array" ref="R433">+$B$2*SIN(Q433*$B$3+$B$4)+Q433+$B$9*SIN(PI()*M433+$B$10)+$B$11*SIN(2*PI()*M433+$B$12) + SUM($I$2:$I$18*SIN(2*PI()*M433*$H$2:$H$18+$J$2:$J$18))</f>
        <v>10.062130804394378</v>
      </c>
    </row>
    <row r="434" spans="3:18" x14ac:dyDescent="0.35">
      <c r="C434">
        <v>4.8987999999999997E-2</v>
      </c>
      <c r="L434">
        <f t="shared" si="33"/>
        <v>433</v>
      </c>
      <c r="M434">
        <f t="shared" si="34"/>
        <v>1915.9999999999673</v>
      </c>
      <c r="N434">
        <f t="shared" si="30"/>
        <v>200</v>
      </c>
      <c r="O434">
        <f t="array" ref="O434">+SUM($F$2:$F$18*SIN(2*PI()*(M434)*$B$1/$E$2:$E$18+$G$2:$G$18))</f>
        <v>-0.312892163831267</v>
      </c>
      <c r="P434">
        <f t="shared" si="31"/>
        <v>-62.5784327662534</v>
      </c>
      <c r="Q434">
        <f t="shared" si="32"/>
        <v>0.22072383097869752</v>
      </c>
      <c r="R434">
        <f t="array" ref="R434">+$B$2*SIN(Q434*$B$3+$B$4)+Q434+$B$9*SIN(PI()*M434+$B$10)+$B$11*SIN(2*PI()*M434+$B$12) + SUM($I$2:$I$18*SIN(2*PI()*M434*$H$2:$H$18+$J$2:$J$18))</f>
        <v>8.6940798279080393</v>
      </c>
    </row>
    <row r="435" spans="3:18" x14ac:dyDescent="0.35">
      <c r="C435">
        <v>0.11021800000000001</v>
      </c>
      <c r="L435">
        <f t="shared" si="33"/>
        <v>434</v>
      </c>
      <c r="M435">
        <f t="shared" si="34"/>
        <v>1916.0833333333005</v>
      </c>
      <c r="N435">
        <f t="shared" si="30"/>
        <v>0</v>
      </c>
      <c r="O435">
        <f t="array" ref="O435">+SUM($F$2:$F$18*SIN(2*PI()*(M435)*$B$1/$E$2:$E$18+$G$2:$G$18))</f>
        <v>-0.57885771869631109</v>
      </c>
      <c r="P435">
        <f t="shared" si="31"/>
        <v>0</v>
      </c>
      <c r="Q435">
        <f t="shared" si="32"/>
        <v>0.22021493426490829</v>
      </c>
      <c r="R435">
        <f t="array" ref="R435">+$B$2*SIN(Q435*$B$3+$B$4)+Q435+$B$9*SIN(PI()*M435+$B$10)+$B$11*SIN(2*PI()*M435+$B$12) + SUM($I$2:$I$18*SIN(2*PI()*M435*$H$2:$H$18+$J$2:$J$18))</f>
        <v>8.5486650794596475</v>
      </c>
    </row>
    <row r="436" spans="3:18" x14ac:dyDescent="0.35">
      <c r="C436">
        <v>0.12529199999999999</v>
      </c>
      <c r="L436">
        <f t="shared" si="33"/>
        <v>435</v>
      </c>
      <c r="M436">
        <f t="shared" si="34"/>
        <v>1916.1666666666338</v>
      </c>
      <c r="N436">
        <f t="shared" si="30"/>
        <v>0</v>
      </c>
      <c r="O436">
        <f t="array" ref="O436">+SUM($F$2:$F$18*SIN(2*PI()*(M436)*$B$1/$E$2:$E$18+$G$2:$G$18))</f>
        <v>0.11194267074855679</v>
      </c>
      <c r="P436">
        <f t="shared" si="31"/>
        <v>0</v>
      </c>
      <c r="Q436">
        <f t="shared" si="32"/>
        <v>0.21970721085381209</v>
      </c>
      <c r="R436">
        <f t="array" ref="R436">+$B$2*SIN(Q436*$B$3+$B$4)+Q436+$B$9*SIN(PI()*M436+$B$10)+$B$11*SIN(2*PI()*M436+$B$12) + SUM($I$2:$I$18*SIN(2*PI()*M436*$H$2:$H$18+$J$2:$J$18))</f>
        <v>8.5242054364220508</v>
      </c>
    </row>
    <row r="437" spans="3:18" x14ac:dyDescent="0.35">
      <c r="C437">
        <v>0.329598</v>
      </c>
      <c r="L437">
        <f t="shared" si="33"/>
        <v>436</v>
      </c>
      <c r="M437">
        <f t="shared" si="34"/>
        <v>1916.249999999967</v>
      </c>
      <c r="N437">
        <f t="shared" si="30"/>
        <v>0</v>
      </c>
      <c r="O437">
        <f t="array" ref="O437">+SUM($F$2:$F$18*SIN(2*PI()*(M437)*$B$1/$E$2:$E$18+$G$2:$G$18))</f>
        <v>-0.24594754460525059</v>
      </c>
      <c r="P437">
        <f t="shared" si="31"/>
        <v>0</v>
      </c>
      <c r="Q437">
        <f t="shared" si="32"/>
        <v>0.21920065804026431</v>
      </c>
      <c r="R437">
        <f t="array" ref="R437">+$B$2*SIN(Q437*$B$3+$B$4)+Q437+$B$9*SIN(PI()*M437+$B$10)+$B$11*SIN(2*PI()*M437+$B$12) + SUM($I$2:$I$18*SIN(2*PI()*M437*$H$2:$H$18+$J$2:$J$18))</f>
        <v>8.6902796901417876</v>
      </c>
    </row>
    <row r="438" spans="3:18" x14ac:dyDescent="0.35">
      <c r="C438">
        <v>0.25236199999999998</v>
      </c>
      <c r="L438">
        <f t="shared" si="33"/>
        <v>437</v>
      </c>
      <c r="M438">
        <f t="shared" si="34"/>
        <v>1916.3333333333003</v>
      </c>
      <c r="N438">
        <f t="shared" si="30"/>
        <v>0</v>
      </c>
      <c r="O438">
        <f t="array" ref="O438">+SUM($F$2:$F$18*SIN(2*PI()*(M438)*$B$1/$E$2:$E$18+$G$2:$G$18))</f>
        <v>-0.53167339372673761</v>
      </c>
      <c r="P438">
        <f t="shared" si="31"/>
        <v>0</v>
      </c>
      <c r="Q438">
        <f t="shared" si="32"/>
        <v>0.21869527312535725</v>
      </c>
      <c r="R438">
        <f t="array" ref="R438">+$B$2*SIN(Q438*$B$3+$B$4)+Q438+$B$9*SIN(PI()*M438+$B$10)+$B$11*SIN(2*PI()*M438+$B$12) + SUM($I$2:$I$18*SIN(2*PI()*M438*$H$2:$H$18+$J$2:$J$18))</f>
        <v>9.0518921854392644</v>
      </c>
    </row>
    <row r="439" spans="3:18" x14ac:dyDescent="0.35">
      <c r="C439">
        <v>7.5125999999999998E-2</v>
      </c>
      <c r="L439">
        <f t="shared" si="33"/>
        <v>438</v>
      </c>
      <c r="M439">
        <f t="shared" si="34"/>
        <v>1916.4166666666335</v>
      </c>
      <c r="N439">
        <f t="shared" si="30"/>
        <v>0</v>
      </c>
      <c r="O439">
        <f t="array" ref="O439">+SUM($F$2:$F$18*SIN(2*PI()*(M439)*$B$1/$E$2:$E$18+$G$2:$G$18))</f>
        <v>0.86415201459554991</v>
      </c>
      <c r="P439">
        <f t="shared" si="31"/>
        <v>0</v>
      </c>
      <c r="Q439">
        <f t="shared" si="32"/>
        <v>0.21819105341640577</v>
      </c>
      <c r="R439">
        <f t="array" ref="R439">+$B$2*SIN(Q439*$B$3+$B$4)+Q439+$B$9*SIN(PI()*M439+$B$10)+$B$11*SIN(2*PI()*M439+$B$12) + SUM($I$2:$I$18*SIN(2*PI()*M439*$H$2:$H$18+$J$2:$J$18))</f>
        <v>9.5443725250610676</v>
      </c>
    </row>
    <row r="440" spans="3:18" x14ac:dyDescent="0.35">
      <c r="C440">
        <v>-6.7259999999999993E-3</v>
      </c>
      <c r="L440">
        <f t="shared" si="33"/>
        <v>439</v>
      </c>
      <c r="M440">
        <f t="shared" si="34"/>
        <v>1916.4999999999668</v>
      </c>
      <c r="N440">
        <f t="shared" si="30"/>
        <v>0</v>
      </c>
      <c r="O440">
        <f t="array" ref="O440">+SUM($F$2:$F$18*SIN(2*PI()*(M440)*$B$1/$E$2:$E$18+$G$2:$G$18))</f>
        <v>2.415766122886315</v>
      </c>
      <c r="P440">
        <f t="shared" si="31"/>
        <v>0</v>
      </c>
      <c r="Q440">
        <f t="shared" si="32"/>
        <v>0.21768799622693294</v>
      </c>
      <c r="R440">
        <f t="array" ref="R440">+$B$2*SIN(Q440*$B$3+$B$4)+Q440+$B$9*SIN(PI()*M440+$B$10)+$B$11*SIN(2*PI()*M440+$B$12) + SUM($I$2:$I$18*SIN(2*PI()*M440*$H$2:$H$18+$J$2:$J$18))</f>
        <v>10.048080772410442</v>
      </c>
    </row>
    <row r="441" spans="3:18" x14ac:dyDescent="0.35">
      <c r="C441">
        <v>8.9882000000000004E-2</v>
      </c>
      <c r="L441">
        <f t="shared" si="33"/>
        <v>440</v>
      </c>
      <c r="M441">
        <f t="shared" si="34"/>
        <v>1916.5833333333001</v>
      </c>
      <c r="N441">
        <f t="shared" si="30"/>
        <v>0</v>
      </c>
      <c r="O441">
        <f t="array" ref="O441">+SUM($F$2:$F$18*SIN(2*PI()*(M441)*$B$1/$E$2:$E$18+$G$2:$G$18))</f>
        <v>2.5933647576369645</v>
      </c>
      <c r="P441">
        <f t="shared" si="31"/>
        <v>0</v>
      </c>
      <c r="Q441">
        <f t="shared" si="32"/>
        <v>0.21718609887665571</v>
      </c>
      <c r="R441">
        <f t="array" ref="R441">+$B$2*SIN(Q441*$B$3+$B$4)+Q441+$B$9*SIN(PI()*M441+$B$10)+$B$11*SIN(2*PI()*M441+$B$12) + SUM($I$2:$I$18*SIN(2*PI()*M441*$H$2:$H$18+$J$2:$J$18))</f>
        <v>10.419165430061886</v>
      </c>
    </row>
    <row r="442" spans="3:18" x14ac:dyDescent="0.35">
      <c r="C442">
        <v>0.13264200000000001</v>
      </c>
      <c r="L442">
        <f t="shared" si="33"/>
        <v>441</v>
      </c>
      <c r="M442">
        <f t="shared" si="34"/>
        <v>1916.6666666666333</v>
      </c>
      <c r="N442">
        <f t="shared" si="30"/>
        <v>0</v>
      </c>
      <c r="O442">
        <f t="array" ref="O442">+SUM($F$2:$F$18*SIN(2*PI()*(M442)*$B$1/$E$2:$E$18+$G$2:$G$18))</f>
        <v>1.2010981111950032</v>
      </c>
      <c r="P442">
        <f t="shared" si="31"/>
        <v>0</v>
      </c>
      <c r="Q442">
        <f t="shared" si="32"/>
        <v>0.21668535869147063</v>
      </c>
      <c r="R442">
        <f t="array" ref="R442">+$B$2*SIN(Q442*$B$3+$B$4)+Q442+$B$9*SIN(PI()*M442+$B$10)+$B$11*SIN(2*PI()*M442+$B$12) + SUM($I$2:$I$18*SIN(2*PI()*M442*$H$2:$H$18+$J$2:$J$18))</f>
        <v>10.5282335175031</v>
      </c>
    </row>
    <row r="443" spans="3:18" x14ac:dyDescent="0.35">
      <c r="C443">
        <v>-0.18767600000000001</v>
      </c>
      <c r="L443">
        <f t="shared" si="33"/>
        <v>442</v>
      </c>
      <c r="M443">
        <f t="shared" si="34"/>
        <v>1916.7499999999666</v>
      </c>
      <c r="N443">
        <f t="shared" si="30"/>
        <v>0</v>
      </c>
      <c r="O443">
        <f t="array" ref="O443">+SUM($F$2:$F$18*SIN(2*PI()*(M443)*$B$1/$E$2:$E$18+$G$2:$G$18))</f>
        <v>-0.67063833528557348</v>
      </c>
      <c r="P443">
        <f t="shared" si="31"/>
        <v>0</v>
      </c>
      <c r="Q443">
        <f t="shared" si="32"/>
        <v>0.21618577300343964</v>
      </c>
      <c r="R443">
        <f t="array" ref="R443">+$B$2*SIN(Q443*$B$3+$B$4)+Q443+$B$9*SIN(PI()*M443+$B$10)+$B$11*SIN(2*PI()*M443+$B$12) + SUM($I$2:$I$18*SIN(2*PI()*M443*$H$2:$H$18+$J$2:$J$18))</f>
        <v>10.296577572159549</v>
      </c>
    </row>
    <row r="444" spans="3:18" x14ac:dyDescent="0.35">
      <c r="C444">
        <v>-0.46183999999999997</v>
      </c>
      <c r="L444">
        <f t="shared" si="33"/>
        <v>443</v>
      </c>
      <c r="M444">
        <f t="shared" si="34"/>
        <v>1916.8333333332998</v>
      </c>
      <c r="N444">
        <f t="shared" si="30"/>
        <v>0</v>
      </c>
      <c r="O444">
        <f t="array" ref="O444">+SUM($F$2:$F$18*SIN(2*PI()*(M444)*$B$1/$E$2:$E$18+$G$2:$G$18))</f>
        <v>-0.83177577827663507</v>
      </c>
      <c r="P444">
        <f t="shared" si="31"/>
        <v>0</v>
      </c>
      <c r="Q444">
        <f t="shared" si="32"/>
        <v>0.21568733915077579</v>
      </c>
      <c r="R444">
        <f t="array" ref="R444">+$B$2*SIN(Q444*$B$3+$B$4)+Q444+$B$9*SIN(PI()*M444+$B$10)+$B$11*SIN(2*PI()*M444+$B$12) + SUM($I$2:$I$18*SIN(2*PI()*M444*$H$2:$H$18+$J$2:$J$18))</f>
        <v>9.7201630109082284</v>
      </c>
    </row>
    <row r="445" spans="3:18" x14ac:dyDescent="0.35">
      <c r="C445">
        <v>-0.41908400000000001</v>
      </c>
      <c r="L445">
        <f t="shared" si="33"/>
        <v>444</v>
      </c>
      <c r="M445">
        <f t="shared" si="34"/>
        <v>1916.9166666666331</v>
      </c>
      <c r="N445">
        <f t="shared" si="30"/>
        <v>0</v>
      </c>
      <c r="O445">
        <f t="array" ref="O445">+SUM($F$2:$F$18*SIN(2*PI()*(M445)*$B$1/$E$2:$E$18+$G$2:$G$18))</f>
        <v>0.18181056452333699</v>
      </c>
      <c r="P445">
        <f t="shared" si="31"/>
        <v>0</v>
      </c>
      <c r="Q445">
        <f t="shared" si="32"/>
        <v>0.21519005447782913</v>
      </c>
      <c r="R445">
        <f t="array" ref="R445">+$B$2*SIN(Q445*$B$3+$B$4)+Q445+$B$9*SIN(PI()*M445+$B$10)+$B$11*SIN(2*PI()*M445+$B$12) + SUM($I$2:$I$18*SIN(2*PI()*M445*$H$2:$H$18+$J$2:$J$18))</f>
        <v>8.8747677795163096</v>
      </c>
    </row>
    <row r="446" spans="3:18" x14ac:dyDescent="0.35">
      <c r="C446">
        <v>-0.40555799999999997</v>
      </c>
      <c r="L446">
        <f t="shared" si="33"/>
        <v>445</v>
      </c>
      <c r="M446">
        <f t="shared" si="34"/>
        <v>1916.9999999999663</v>
      </c>
      <c r="N446">
        <f t="shared" si="30"/>
        <v>200</v>
      </c>
      <c r="O446">
        <f t="array" ref="O446">+SUM($F$2:$F$18*SIN(2*PI()*(M446)*$B$1/$E$2:$E$18+$G$2:$G$18))</f>
        <v>0.21011218455218769</v>
      </c>
      <c r="P446">
        <f t="shared" si="31"/>
        <v>42.022436910437541</v>
      </c>
      <c r="Q446">
        <f t="shared" si="32"/>
        <v>0.31158005660508614</v>
      </c>
      <c r="R446">
        <f t="array" ref="R446">+$B$2*SIN(Q446*$B$3+$B$4)+Q446+$B$9*SIN(PI()*M446+$B$10)+$B$11*SIN(2*PI()*M446+$B$12) + SUM($I$2:$I$18*SIN(2*PI()*M446*$H$2:$H$18+$J$2:$J$18))</f>
        <v>11.190539432088523</v>
      </c>
    </row>
    <row r="447" spans="3:18" x14ac:dyDescent="0.35">
      <c r="C447">
        <v>-0.45972600000000002</v>
      </c>
      <c r="L447">
        <f t="shared" si="33"/>
        <v>446</v>
      </c>
      <c r="M447">
        <f t="shared" si="34"/>
        <v>1917.0833333332996</v>
      </c>
      <c r="N447">
        <f t="shared" si="30"/>
        <v>0</v>
      </c>
      <c r="O447">
        <f t="array" ref="O447">+SUM($F$2:$F$18*SIN(2*PI()*(M447)*$B$1/$E$2:$E$18+$G$2:$G$18))</f>
        <v>9.1824607549126469E-2</v>
      </c>
      <c r="P447">
        <f t="shared" si="31"/>
        <v>0</v>
      </c>
      <c r="Q447">
        <f t="shared" si="32"/>
        <v>0.31086168348612786</v>
      </c>
      <c r="R447">
        <f t="array" ref="R447">+$B$2*SIN(Q447*$B$3+$B$4)+Q447+$B$9*SIN(PI()*M447+$B$10)+$B$11*SIN(2*PI()*M447+$B$12) + SUM($I$2:$I$18*SIN(2*PI()*M447*$H$2:$H$18+$J$2:$J$18))</f>
        <v>10.300008363043672</v>
      </c>
    </row>
    <row r="448" spans="3:18" x14ac:dyDescent="0.35">
      <c r="C448">
        <v>-0.401588</v>
      </c>
      <c r="L448">
        <f t="shared" si="33"/>
        <v>447</v>
      </c>
      <c r="M448">
        <f t="shared" si="34"/>
        <v>1917.1666666666329</v>
      </c>
      <c r="N448">
        <f t="shared" si="30"/>
        <v>0</v>
      </c>
      <c r="O448">
        <f t="array" ref="O448">+SUM($F$2:$F$18*SIN(2*PI()*(M448)*$B$1/$E$2:$E$18+$G$2:$G$18))</f>
        <v>0.98484432286506429</v>
      </c>
      <c r="P448">
        <f t="shared" si="31"/>
        <v>0</v>
      </c>
      <c r="Q448">
        <f t="shared" si="32"/>
        <v>0.31014496663472296</v>
      </c>
      <c r="R448">
        <f t="array" ref="R448">+$B$2*SIN(Q448*$B$3+$B$4)+Q448+$B$9*SIN(PI()*M448+$B$10)+$B$11*SIN(2*PI()*M448+$B$12) + SUM($I$2:$I$18*SIN(2*PI()*M448*$H$2:$H$18+$J$2:$J$18))</f>
        <v>9.6175768230287897</v>
      </c>
    </row>
    <row r="449" spans="3:18" x14ac:dyDescent="0.35">
      <c r="C449">
        <v>-0.58960400000000002</v>
      </c>
      <c r="L449">
        <f t="shared" si="33"/>
        <v>448</v>
      </c>
      <c r="M449">
        <f t="shared" si="34"/>
        <v>1917.2499999999661</v>
      </c>
      <c r="N449">
        <f t="shared" si="30"/>
        <v>0</v>
      </c>
      <c r="O449">
        <f t="array" ref="O449">+SUM($F$2:$F$18*SIN(2*PI()*(M449)*$B$1/$E$2:$E$18+$G$2:$G$18))</f>
        <v>1.9655417096733472</v>
      </c>
      <c r="P449">
        <f t="shared" si="31"/>
        <v>0</v>
      </c>
      <c r="Q449">
        <f t="shared" si="32"/>
        <v>0.30942990223221212</v>
      </c>
      <c r="R449">
        <f t="array" ref="R449">+$B$2*SIN(Q449*$B$3+$B$4)+Q449+$B$9*SIN(PI()*M449+$B$10)+$B$11*SIN(2*PI()*M449+$B$12) + SUM($I$2:$I$18*SIN(2*PI()*M449*$H$2:$H$18+$J$2:$J$18))</f>
        <v>9.2611829001206232</v>
      </c>
    </row>
    <row r="450" spans="3:18" x14ac:dyDescent="0.35">
      <c r="C450">
        <v>-0.81454400000000005</v>
      </c>
      <c r="L450">
        <f t="shared" si="33"/>
        <v>449</v>
      </c>
      <c r="M450">
        <f t="shared" si="34"/>
        <v>1917.3333333332994</v>
      </c>
      <c r="N450">
        <f t="shared" ref="N450:N513" si="35">+IF(MOD(L450,$B$5)=1, $B$6, 0)</f>
        <v>0</v>
      </c>
      <c r="O450">
        <f t="array" ref="O450">+SUM($F$2:$F$18*SIN(2*PI()*(M450)*$B$1/$E$2:$E$18+$G$2:$G$18))</f>
        <v>2.0851659346982818</v>
      </c>
      <c r="P450">
        <f t="shared" si="31"/>
        <v>0</v>
      </c>
      <c r="Q450">
        <f t="shared" si="32"/>
        <v>0.30871648646874028</v>
      </c>
      <c r="R450">
        <f t="array" ref="R450">+$B$2*SIN(Q450*$B$3+$B$4)+Q450+$B$9*SIN(PI()*M450+$B$10)+$B$11*SIN(2*PI()*M450+$B$12) + SUM($I$2:$I$18*SIN(2*PI()*M450*$H$2:$H$18+$J$2:$J$18))</f>
        <v>9.2755418573669797</v>
      </c>
    </row>
    <row r="451" spans="3:18" x14ac:dyDescent="0.35">
      <c r="C451">
        <v>-0.933334</v>
      </c>
      <c r="L451">
        <f t="shared" si="33"/>
        <v>450</v>
      </c>
      <c r="M451">
        <f t="shared" si="34"/>
        <v>1917.4166666666326</v>
      </c>
      <c r="N451">
        <f t="shared" si="35"/>
        <v>0</v>
      </c>
      <c r="O451">
        <f t="array" ref="O451">+SUM($F$2:$F$18*SIN(2*PI()*(M451)*$B$1/$E$2:$E$18+$G$2:$G$18))</f>
        <v>0.63941781475850834</v>
      </c>
      <c r="P451">
        <f t="shared" ref="P451:P514" si="36">+N451*O451</f>
        <v>0</v>
      </c>
      <c r="Q451">
        <f t="shared" ref="Q451:Q514" si="37">+(1-$B$7)*Q450+($B$7)*P451</f>
        <v>0.30800471554323627</v>
      </c>
      <c r="R451">
        <f t="array" ref="R451">+$B$2*SIN(Q451*$B$3+$B$4)+Q451+$B$9*SIN(PI()*M451+$B$10)+$B$11*SIN(2*PI()*M451+$B$12) + SUM($I$2:$I$18*SIN(2*PI()*M451*$H$2:$H$18+$J$2:$J$18))</f>
        <v>9.6242668128102196</v>
      </c>
    </row>
    <row r="452" spans="3:18" x14ac:dyDescent="0.35">
      <c r="C452">
        <v>-0.91981399999999991</v>
      </c>
      <c r="L452">
        <f t="shared" ref="L452:L515" si="38">+L451+1</f>
        <v>451</v>
      </c>
      <c r="M452">
        <f t="shared" ref="M452:M515" si="39">+M451+1/12</f>
        <v>1917.4999999999659</v>
      </c>
      <c r="N452">
        <f t="shared" si="35"/>
        <v>0</v>
      </c>
      <c r="O452">
        <f t="array" ref="O452">+SUM($F$2:$F$18*SIN(2*PI()*(M452)*$B$1/$E$2:$E$18+$G$2:$G$18))</f>
        <v>-1.3500365687622373</v>
      </c>
      <c r="P452">
        <f t="shared" si="36"/>
        <v>0</v>
      </c>
      <c r="Q452">
        <f t="shared" si="37"/>
        <v>0.30729458566339257</v>
      </c>
      <c r="R452">
        <f t="array" ref="R452">+$B$2*SIN(Q452*$B$3+$B$4)+Q452+$B$9*SIN(PI()*M452+$B$10)+$B$11*SIN(2*PI()*M452+$B$12) + SUM($I$2:$I$18*SIN(2*PI()*M452*$H$2:$H$18+$J$2:$J$18))</f>
        <v>10.202518504962539</v>
      </c>
    </row>
    <row r="453" spans="3:18" x14ac:dyDescent="0.35">
      <c r="C453">
        <v>-0.49706600000000001</v>
      </c>
      <c r="L453">
        <f t="shared" si="38"/>
        <v>452</v>
      </c>
      <c r="M453">
        <f t="shared" si="39"/>
        <v>1917.5833333332992</v>
      </c>
      <c r="N453">
        <f t="shared" si="35"/>
        <v>0</v>
      </c>
      <c r="O453">
        <f t="array" ref="O453">+SUM($F$2:$F$18*SIN(2*PI()*(M453)*$B$1/$E$2:$E$18+$G$2:$G$18))</f>
        <v>-1.3564167073067828</v>
      </c>
      <c r="P453">
        <f t="shared" si="36"/>
        <v>0</v>
      </c>
      <c r="Q453">
        <f t="shared" si="37"/>
        <v>0.30658609304564521</v>
      </c>
      <c r="R453">
        <f t="array" ref="R453">+$B$2*SIN(Q453*$B$3+$B$4)+Q453+$B$9*SIN(PI()*M453+$B$10)+$B$11*SIN(2*PI()*M453+$B$12) + SUM($I$2:$I$18*SIN(2*PI()*M453*$H$2:$H$18+$J$2:$J$18))</f>
        <v>10.866571932418427</v>
      </c>
    </row>
    <row r="454" spans="3:18" x14ac:dyDescent="0.35">
      <c r="C454">
        <v>-0.41585800000000001</v>
      </c>
      <c r="L454">
        <f t="shared" si="38"/>
        <v>453</v>
      </c>
      <c r="M454">
        <f t="shared" si="39"/>
        <v>1917.6666666666324</v>
      </c>
      <c r="N454">
        <f t="shared" si="35"/>
        <v>0</v>
      </c>
      <c r="O454">
        <f t="array" ref="O454">+SUM($F$2:$F$18*SIN(2*PI()*(M454)*$B$1/$E$2:$E$18+$G$2:$G$18))</f>
        <v>-4.9968249325321401E-2</v>
      </c>
      <c r="P454">
        <f t="shared" si="36"/>
        <v>0</v>
      </c>
      <c r="Q454">
        <f t="shared" si="37"/>
        <v>0.30587923391515348</v>
      </c>
      <c r="R454">
        <f t="array" ref="R454">+$B$2*SIN(Q454*$B$3+$B$4)+Q454+$B$9*SIN(PI()*M454+$B$10)+$B$11*SIN(2*PI()*M454+$B$12) + SUM($I$2:$I$18*SIN(2*PI()*M454*$H$2:$H$18+$J$2:$J$18))</f>
        <v>11.472242210393222</v>
      </c>
    </row>
    <row r="455" spans="3:18" x14ac:dyDescent="0.35">
      <c r="C455">
        <v>-0.55465000000000009</v>
      </c>
      <c r="L455">
        <f t="shared" si="38"/>
        <v>454</v>
      </c>
      <c r="M455">
        <f t="shared" si="39"/>
        <v>1917.7499999999657</v>
      </c>
      <c r="N455">
        <f t="shared" si="35"/>
        <v>0</v>
      </c>
      <c r="O455">
        <f t="array" ref="O455">+SUM($F$2:$F$18*SIN(2*PI()*(M455)*$B$1/$E$2:$E$18+$G$2:$G$18))</f>
        <v>0.29078448961848097</v>
      </c>
      <c r="P455">
        <f t="shared" si="36"/>
        <v>0</v>
      </c>
      <c r="Q455">
        <f t="shared" si="37"/>
        <v>0.30517400450577986</v>
      </c>
      <c r="R455">
        <f t="array" ref="R455">+$B$2*SIN(Q455*$B$3+$B$4)+Q455+$B$9*SIN(PI()*M455+$B$10)+$B$11*SIN(2*PI()*M455+$B$12) + SUM($I$2:$I$18*SIN(2*PI()*M455*$H$2:$H$18+$J$2:$J$18))</f>
        <v>11.911834491773735</v>
      </c>
    </row>
    <row r="456" spans="3:18" x14ac:dyDescent="0.35">
      <c r="C456">
        <v>-0.43036600000000003</v>
      </c>
      <c r="L456">
        <f t="shared" si="38"/>
        <v>455</v>
      </c>
      <c r="M456">
        <f t="shared" si="39"/>
        <v>1917.8333333332989</v>
      </c>
      <c r="N456">
        <f t="shared" si="35"/>
        <v>0</v>
      </c>
      <c r="O456">
        <f t="array" ref="O456">+SUM($F$2:$F$18*SIN(2*PI()*(M456)*$B$1/$E$2:$E$18+$G$2:$G$18))</f>
        <v>0.12551388252055512</v>
      </c>
      <c r="P456">
        <f t="shared" si="36"/>
        <v>0</v>
      </c>
      <c r="Q456">
        <f t="shared" si="37"/>
        <v>0.30447040106007001</v>
      </c>
      <c r="R456">
        <f t="array" ref="R456">+$B$2*SIN(Q456*$B$3+$B$4)+Q456+$B$9*SIN(PI()*M456+$B$10)+$B$11*SIN(2*PI()*M456+$B$12) + SUM($I$2:$I$18*SIN(2*PI()*M456*$H$2:$H$18+$J$2:$J$18))</f>
        <v>12.139777347897422</v>
      </c>
    </row>
    <row r="457" spans="3:18" x14ac:dyDescent="0.35">
      <c r="C457">
        <v>-0.39070199999999999</v>
      </c>
      <c r="L457">
        <f t="shared" si="38"/>
        <v>456</v>
      </c>
      <c r="M457">
        <f t="shared" si="39"/>
        <v>1917.9166666666322</v>
      </c>
      <c r="N457">
        <f t="shared" si="35"/>
        <v>0</v>
      </c>
      <c r="O457">
        <f t="array" ref="O457">+SUM($F$2:$F$18*SIN(2*PI()*(M457)*$B$1/$E$2:$E$18+$G$2:$G$18))</f>
        <v>0.38679515876442438</v>
      </c>
      <c r="P457">
        <f t="shared" si="36"/>
        <v>0</v>
      </c>
      <c r="Q457">
        <f t="shared" si="37"/>
        <v>0.30376841982923264</v>
      </c>
      <c r="R457">
        <f t="array" ref="R457">+$B$2*SIN(Q457*$B$3+$B$4)+Q457+$B$9*SIN(PI()*M457+$B$10)+$B$11*SIN(2*PI()*M457+$B$12) + SUM($I$2:$I$18*SIN(2*PI()*M457*$H$2:$H$18+$J$2:$J$18))</f>
        <v>12.180226815941026</v>
      </c>
    </row>
    <row r="458" spans="3:18" x14ac:dyDescent="0.35">
      <c r="C458">
        <v>-0.58795799999999998</v>
      </c>
      <c r="L458">
        <f t="shared" si="38"/>
        <v>457</v>
      </c>
      <c r="M458">
        <f t="shared" si="39"/>
        <v>1917.9999999999654</v>
      </c>
      <c r="N458">
        <f t="shared" si="35"/>
        <v>200</v>
      </c>
      <c r="O458">
        <f t="array" ref="O458">+SUM($F$2:$F$18*SIN(2*PI()*(M458)*$B$1/$E$2:$E$18+$G$2:$G$18))</f>
        <v>0.95516770821582364</v>
      </c>
      <c r="P458">
        <f t="shared" si="36"/>
        <v>191.03354164316474</v>
      </c>
      <c r="Q458">
        <f t="shared" si="37"/>
        <v>0.74351139812362421</v>
      </c>
      <c r="R458">
        <f t="array" ref="R458">+$B$2*SIN(Q458*$B$3+$B$4)+Q458+$B$9*SIN(PI()*M458+$B$10)+$B$11*SIN(2*PI()*M458+$B$12) + SUM($I$2:$I$18*SIN(2*PI()*M458*$H$2:$H$18+$J$2:$J$18))</f>
        <v>-3.424612986248992</v>
      </c>
    </row>
    <row r="459" spans="3:18" x14ac:dyDescent="0.35">
      <c r="C459">
        <v>-0.45906199999999997</v>
      </c>
      <c r="L459">
        <f t="shared" si="38"/>
        <v>458</v>
      </c>
      <c r="M459">
        <f t="shared" si="39"/>
        <v>1918.0833333332987</v>
      </c>
      <c r="N459">
        <f t="shared" si="35"/>
        <v>0</v>
      </c>
      <c r="O459">
        <f t="array" ref="O459">+SUM($F$2:$F$18*SIN(2*PI()*(M459)*$B$1/$E$2:$E$18+$G$2:$G$18))</f>
        <v>1.198165926891678</v>
      </c>
      <c r="P459">
        <f t="shared" si="36"/>
        <v>0</v>
      </c>
      <c r="Q459">
        <f t="shared" si="37"/>
        <v>0.74179717222652808</v>
      </c>
      <c r="R459">
        <f t="array" ref="R459">+$B$2*SIN(Q459*$B$3+$B$4)+Q459+$B$9*SIN(PI()*M459+$B$10)+$B$11*SIN(2*PI()*M459+$B$12) + SUM($I$2:$I$18*SIN(2*PI()*M459*$H$2:$H$18+$J$2:$J$18))</f>
        <v>-3.6194504013155466</v>
      </c>
    </row>
    <row r="460" spans="3:18" x14ac:dyDescent="0.35">
      <c r="C460">
        <v>-0.21940000000000001</v>
      </c>
      <c r="L460">
        <f t="shared" si="38"/>
        <v>459</v>
      </c>
      <c r="M460">
        <f t="shared" si="39"/>
        <v>1918.166666666632</v>
      </c>
      <c r="N460">
        <f t="shared" si="35"/>
        <v>0</v>
      </c>
      <c r="O460">
        <f t="array" ref="O460">+SUM($F$2:$F$18*SIN(2*PI()*(M460)*$B$1/$E$2:$E$18+$G$2:$G$18))</f>
        <v>-0.13096938783412537</v>
      </c>
      <c r="P460">
        <f t="shared" si="36"/>
        <v>0</v>
      </c>
      <c r="Q460">
        <f t="shared" si="37"/>
        <v>0.74008689861642274</v>
      </c>
      <c r="R460">
        <f t="array" ref="R460">+$B$2*SIN(Q460*$B$3+$B$4)+Q460+$B$9*SIN(PI()*M460+$B$10)+$B$11*SIN(2*PI()*M460+$B$12) + SUM($I$2:$I$18*SIN(2*PI()*M460*$H$2:$H$18+$J$2:$J$18))</f>
        <v>-3.7041094199284519</v>
      </c>
    </row>
    <row r="461" spans="3:18" x14ac:dyDescent="0.35">
      <c r="C461">
        <v>-0.139738</v>
      </c>
      <c r="L461">
        <f t="shared" si="38"/>
        <v>460</v>
      </c>
      <c r="M461">
        <f t="shared" si="39"/>
        <v>1918.2499999999652</v>
      </c>
      <c r="N461">
        <f t="shared" si="35"/>
        <v>0</v>
      </c>
      <c r="O461">
        <f t="array" ref="O461">+SUM($F$2:$F$18*SIN(2*PI()*(M461)*$B$1/$E$2:$E$18+$G$2:$G$18))</f>
        <v>-1.9678213455194149</v>
      </c>
      <c r="P461">
        <f t="shared" si="36"/>
        <v>0</v>
      </c>
      <c r="Q461">
        <f t="shared" si="37"/>
        <v>0.73838056818098952</v>
      </c>
      <c r="R461">
        <f t="array" ref="R461">+$B$2*SIN(Q461*$B$3+$B$4)+Q461+$B$9*SIN(PI()*M461+$B$10)+$B$11*SIN(2*PI()*M461+$B$12) + SUM($I$2:$I$18*SIN(2*PI()*M461*$H$2:$H$18+$J$2:$J$18))</f>
        <v>-3.6178950175950337</v>
      </c>
    </row>
    <row r="462" spans="3:18" x14ac:dyDescent="0.35">
      <c r="C462">
        <v>-3.5459999999999998E-2</v>
      </c>
      <c r="L462">
        <f t="shared" si="38"/>
        <v>461</v>
      </c>
      <c r="M462">
        <f t="shared" si="39"/>
        <v>1918.3333333332985</v>
      </c>
      <c r="N462">
        <f t="shared" si="35"/>
        <v>0</v>
      </c>
      <c r="O462">
        <f t="array" ref="O462">+SUM($F$2:$F$18*SIN(2*PI()*(M462)*$B$1/$E$2:$E$18+$G$2:$G$18))</f>
        <v>-1.7240019799003183</v>
      </c>
      <c r="P462">
        <f t="shared" si="36"/>
        <v>0</v>
      </c>
      <c r="Q462">
        <f t="shared" si="37"/>
        <v>0.73667817182891915</v>
      </c>
      <c r="R462">
        <f t="array" ref="R462">+$B$2*SIN(Q462*$B$3+$B$4)+Q462+$B$9*SIN(PI()*M462+$B$10)+$B$11*SIN(2*PI()*M462+$B$12) + SUM($I$2:$I$18*SIN(2*PI()*M462*$H$2:$H$18+$J$2:$J$18))</f>
        <v>-3.3655204303696085</v>
      </c>
    </row>
    <row r="463" spans="3:18" x14ac:dyDescent="0.35">
      <c r="C463">
        <v>0.114968</v>
      </c>
      <c r="L463">
        <f t="shared" si="38"/>
        <v>462</v>
      </c>
      <c r="M463">
        <f t="shared" si="39"/>
        <v>1918.4166666666317</v>
      </c>
      <c r="N463">
        <f t="shared" si="35"/>
        <v>0</v>
      </c>
      <c r="O463">
        <f t="array" ref="O463">+SUM($F$2:$F$18*SIN(2*PI()*(M463)*$B$1/$E$2:$E$18+$G$2:$G$18))</f>
        <v>-0.30225831808566728</v>
      </c>
      <c r="P463">
        <f t="shared" si="36"/>
        <v>0</v>
      </c>
      <c r="Q463">
        <f t="shared" si="37"/>
        <v>0.73497970048986294</v>
      </c>
      <c r="R463">
        <f t="array" ref="R463">+$B$2*SIN(Q463*$B$3+$B$4)+Q463+$B$9*SIN(PI()*M463+$B$10)+$B$11*SIN(2*PI()*M463+$B$12) + SUM($I$2:$I$18*SIN(2*PI()*M463*$H$2:$H$18+$J$2:$J$18))</f>
        <v>-3.0218894393037972</v>
      </c>
    </row>
    <row r="464" spans="3:18" x14ac:dyDescent="0.35">
      <c r="C464">
        <v>1.0012E-2</v>
      </c>
      <c r="L464">
        <f t="shared" si="38"/>
        <v>463</v>
      </c>
      <c r="M464">
        <f t="shared" si="39"/>
        <v>1918.499999999965</v>
      </c>
      <c r="N464">
        <f t="shared" si="35"/>
        <v>0</v>
      </c>
      <c r="O464">
        <f t="array" ref="O464">+SUM($F$2:$F$18*SIN(2*PI()*(M464)*$B$1/$E$2:$E$18+$G$2:$G$18))</f>
        <v>0.13487743411639275</v>
      </c>
      <c r="P464">
        <f t="shared" si="36"/>
        <v>0</v>
      </c>
      <c r="Q464">
        <f t="shared" si="37"/>
        <v>0.73328514511438481</v>
      </c>
      <c r="R464">
        <f t="array" ref="R464">+$B$2*SIN(Q464*$B$3+$B$4)+Q464+$B$9*SIN(PI()*M464+$B$10)+$B$11*SIN(2*PI()*M464+$B$12) + SUM($I$2:$I$18*SIN(2*PI()*M464*$H$2:$H$18+$J$2:$J$18))</f>
        <v>-2.7170022137178194</v>
      </c>
    </row>
    <row r="465" spans="3:18" x14ac:dyDescent="0.35">
      <c r="C465">
        <v>-0.11033</v>
      </c>
      <c r="L465">
        <f t="shared" si="38"/>
        <v>464</v>
      </c>
      <c r="M465">
        <f t="shared" si="39"/>
        <v>1918.5833333332982</v>
      </c>
      <c r="N465">
        <f t="shared" si="35"/>
        <v>0</v>
      </c>
      <c r="O465">
        <f t="array" ref="O465">+SUM($F$2:$F$18*SIN(2*PI()*(M465)*$B$1/$E$2:$E$18+$G$2:$G$18))</f>
        <v>-0.13477247096938619</v>
      </c>
      <c r="P465">
        <f t="shared" si="36"/>
        <v>0</v>
      </c>
      <c r="Q465">
        <f t="shared" si="37"/>
        <v>0.73159449667391263</v>
      </c>
      <c r="R465">
        <f t="array" ref="R465">+$B$2*SIN(Q465*$B$3+$B$4)+Q465+$B$9*SIN(PI()*M465+$B$10)+$B$11*SIN(2*PI()*M465+$B$12) + SUM($I$2:$I$18*SIN(2*PI()*M465*$H$2:$H$18+$J$2:$J$18))</f>
        <v>-2.6047401072375842</v>
      </c>
    </row>
    <row r="466" spans="3:18" x14ac:dyDescent="0.35">
      <c r="C466">
        <v>-0.604522</v>
      </c>
      <c r="L466">
        <f t="shared" si="38"/>
        <v>465</v>
      </c>
      <c r="M466">
        <f t="shared" si="39"/>
        <v>1918.6666666666315</v>
      </c>
      <c r="N466">
        <f t="shared" si="35"/>
        <v>0</v>
      </c>
      <c r="O466">
        <f t="array" ref="O466">+SUM($F$2:$F$18*SIN(2*PI()*(M466)*$B$1/$E$2:$E$18+$G$2:$G$18))</f>
        <v>-0.28803261030918703</v>
      </c>
      <c r="P466">
        <f t="shared" si="36"/>
        <v>0</v>
      </c>
      <c r="Q466">
        <f t="shared" si="37"/>
        <v>0.72990774616069065</v>
      </c>
      <c r="R466">
        <f t="array" ref="R466">+$B$2*SIN(Q466*$B$3+$B$4)+Q466+$B$9*SIN(PI()*M466+$B$10)+$B$11*SIN(2*PI()*M466+$B$12) + SUM($I$2:$I$18*SIN(2*PI()*M466*$H$2:$H$18+$J$2:$J$18))</f>
        <v>-2.8236784455411206</v>
      </c>
    </row>
    <row r="467" spans="3:18" x14ac:dyDescent="0.35">
      <c r="C467">
        <v>-0.78178799999999993</v>
      </c>
      <c r="L467">
        <f t="shared" si="38"/>
        <v>466</v>
      </c>
      <c r="M467">
        <f t="shared" si="39"/>
        <v>1918.7499999999648</v>
      </c>
      <c r="N467">
        <f t="shared" si="35"/>
        <v>0</v>
      </c>
      <c r="O467">
        <f t="array" ref="O467">+SUM($F$2:$F$18*SIN(2*PI()*(M467)*$B$1/$E$2:$E$18+$G$2:$G$18))</f>
        <v>0.10037724894289873</v>
      </c>
      <c r="P467">
        <f t="shared" si="36"/>
        <v>0</v>
      </c>
      <c r="Q467">
        <f t="shared" si="37"/>
        <v>0.72822488458773105</v>
      </c>
      <c r="R467">
        <f t="array" ref="R467">+$B$2*SIN(Q467*$B$3+$B$4)+Q467+$B$9*SIN(PI()*M467+$B$10)+$B$11*SIN(2*PI()*M467+$B$12) + SUM($I$2:$I$18*SIN(2*PI()*M467*$H$2:$H$18+$J$2:$J$18))</f>
        <v>-3.4602975519011383</v>
      </c>
    </row>
    <row r="468" spans="3:18" x14ac:dyDescent="0.35">
      <c r="C468">
        <v>-0.97905600000000004</v>
      </c>
      <c r="L468">
        <f t="shared" si="38"/>
        <v>467</v>
      </c>
      <c r="M468">
        <f t="shared" si="39"/>
        <v>1918.833333333298</v>
      </c>
      <c r="N468">
        <f t="shared" si="35"/>
        <v>0</v>
      </c>
      <c r="O468">
        <f t="array" ref="O468">+SUM($F$2:$F$18*SIN(2*PI()*(M468)*$B$1/$E$2:$E$18+$G$2:$G$18))</f>
        <v>0.44157902962147189</v>
      </c>
      <c r="P468">
        <f t="shared" si="36"/>
        <v>0</v>
      </c>
      <c r="Q468">
        <f t="shared" si="37"/>
        <v>0.72654590298876631</v>
      </c>
      <c r="R468">
        <f t="array" ref="R468">+$B$2*SIN(Q468*$B$3+$B$4)+Q468+$B$9*SIN(PI()*M468+$B$10)+$B$11*SIN(2*PI()*M468+$B$12) + SUM($I$2:$I$18*SIN(2*PI()*M468*$H$2:$H$18+$J$2:$J$18))</f>
        <v>-4.5244107122952464</v>
      </c>
    </row>
    <row r="469" spans="3:18" x14ac:dyDescent="0.35">
      <c r="C469">
        <v>-0.98863600000000007</v>
      </c>
      <c r="L469">
        <f t="shared" si="38"/>
        <v>468</v>
      </c>
      <c r="M469">
        <f t="shared" si="39"/>
        <v>1918.9166666666313</v>
      </c>
      <c r="N469">
        <f t="shared" si="35"/>
        <v>0</v>
      </c>
      <c r="O469">
        <f t="array" ref="O469">+SUM($F$2:$F$18*SIN(2*PI()*(M469)*$B$1/$E$2:$E$18+$G$2:$G$18))</f>
        <v>-0.69431249856441601</v>
      </c>
      <c r="P469">
        <f t="shared" si="36"/>
        <v>0</v>
      </c>
      <c r="Q469">
        <f t="shared" si="37"/>
        <v>0.72487079241820129</v>
      </c>
      <c r="R469">
        <f t="array" ref="R469">+$B$2*SIN(Q469*$B$3+$B$4)+Q469+$B$9*SIN(PI()*M469+$B$10)+$B$11*SIN(2*PI()*M469+$B$12) + SUM($I$2:$I$18*SIN(2*PI()*M469*$H$2:$H$18+$J$2:$J$18))</f>
        <v>-5.9434459333605769</v>
      </c>
    </row>
    <row r="470" spans="3:18" x14ac:dyDescent="0.35">
      <c r="C470">
        <v>-1.0505200000000001</v>
      </c>
      <c r="L470">
        <f t="shared" si="38"/>
        <v>469</v>
      </c>
      <c r="M470">
        <f t="shared" si="39"/>
        <v>1918.9999999999645</v>
      </c>
      <c r="N470">
        <f t="shared" si="35"/>
        <v>200</v>
      </c>
      <c r="O470">
        <f t="array" ref="O470">+SUM($F$2:$F$18*SIN(2*PI()*(M470)*$B$1/$E$2:$E$18+$G$2:$G$18))</f>
        <v>-2.0694904151838971</v>
      </c>
      <c r="P470">
        <f t="shared" si="36"/>
        <v>-413.89808303677944</v>
      </c>
      <c r="Q470">
        <f t="shared" si="37"/>
        <v>-0.23107609256326667</v>
      </c>
      <c r="R470">
        <f t="array" ref="R470">+$B$2*SIN(Q470*$B$3+$B$4)+Q470+$B$9*SIN(PI()*M470+$B$10)+$B$11*SIN(2*PI()*M470+$B$12) + SUM($I$2:$I$18*SIN(2*PI()*M470*$H$2:$H$18+$J$2:$J$18))</f>
        <v>1.3475868716485113</v>
      </c>
    </row>
    <row r="471" spans="3:18" x14ac:dyDescent="0.35">
      <c r="C471">
        <v>-0.69548399999999999</v>
      </c>
      <c r="L471">
        <f t="shared" si="38"/>
        <v>470</v>
      </c>
      <c r="M471">
        <f t="shared" si="39"/>
        <v>1919.0833333332978</v>
      </c>
      <c r="N471">
        <f t="shared" si="35"/>
        <v>0</v>
      </c>
      <c r="O471">
        <f t="array" ref="O471">+SUM($F$2:$F$18*SIN(2*PI()*(M471)*$B$1/$E$2:$E$18+$G$2:$G$18))</f>
        <v>-1.5321876317572303</v>
      </c>
      <c r="P471">
        <f t="shared" si="36"/>
        <v>0</v>
      </c>
      <c r="Q471">
        <f t="shared" si="37"/>
        <v>-0.23054332786985188</v>
      </c>
      <c r="R471">
        <f t="array" ref="R471">+$B$2*SIN(Q471*$B$3+$B$4)+Q471+$B$9*SIN(PI()*M471+$B$10)+$B$11*SIN(2*PI()*M471+$B$12) + SUM($I$2:$I$18*SIN(2*PI()*M471*$H$2:$H$18+$J$2:$J$18))</f>
        <v>-0.26138998694250759</v>
      </c>
    </row>
    <row r="472" spans="3:18" x14ac:dyDescent="0.35">
      <c r="C472">
        <v>-0.61737399999999998</v>
      </c>
      <c r="L472">
        <f t="shared" si="38"/>
        <v>471</v>
      </c>
      <c r="M472">
        <f t="shared" si="39"/>
        <v>1919.166666666631</v>
      </c>
      <c r="N472">
        <f t="shared" si="35"/>
        <v>0</v>
      </c>
      <c r="O472">
        <f t="array" ref="O472">+SUM($F$2:$F$18*SIN(2*PI()*(M472)*$B$1/$E$2:$E$18+$G$2:$G$18))</f>
        <v>-0.30459478035574866</v>
      </c>
      <c r="P472">
        <f t="shared" si="36"/>
        <v>0</v>
      </c>
      <c r="Q472">
        <f t="shared" si="37"/>
        <v>-0.23001179150869511</v>
      </c>
      <c r="R472">
        <f t="array" ref="R472">+$B$2*SIN(Q472*$B$3+$B$4)+Q472+$B$9*SIN(PI()*M472+$B$10)+$B$11*SIN(2*PI()*M472+$B$12) + SUM($I$2:$I$18*SIN(2*PI()*M472*$H$2:$H$18+$J$2:$J$18))</f>
        <v>-1.7390177403313731</v>
      </c>
    </row>
    <row r="473" spans="3:18" x14ac:dyDescent="0.35">
      <c r="C473">
        <v>-0.49310999999999999</v>
      </c>
      <c r="L473">
        <f t="shared" si="38"/>
        <v>472</v>
      </c>
      <c r="M473">
        <f t="shared" si="39"/>
        <v>1919.2499999999643</v>
      </c>
      <c r="N473">
        <f t="shared" si="35"/>
        <v>0</v>
      </c>
      <c r="O473">
        <f t="array" ref="O473">+SUM($F$2:$F$18*SIN(2*PI()*(M473)*$B$1/$E$2:$E$18+$G$2:$G$18))</f>
        <v>-1.8171751867996799E-2</v>
      </c>
      <c r="P473">
        <f t="shared" si="36"/>
        <v>0</v>
      </c>
      <c r="Q473">
        <f t="shared" si="37"/>
        <v>-0.22948148064777657</v>
      </c>
      <c r="R473">
        <f t="array" ref="R473">+$B$2*SIN(Q473*$B$3+$B$4)+Q473+$B$9*SIN(PI()*M473+$B$10)+$B$11*SIN(2*PI()*M473+$B$12) + SUM($I$2:$I$18*SIN(2*PI()*M473*$H$2:$H$18+$J$2:$J$18))</f>
        <v>-2.9558682132766445</v>
      </c>
    </row>
    <row r="474" spans="3:18" x14ac:dyDescent="0.35">
      <c r="C474">
        <v>-0.56115400000000004</v>
      </c>
      <c r="L474">
        <f t="shared" si="38"/>
        <v>473</v>
      </c>
      <c r="M474">
        <f t="shared" si="39"/>
        <v>1919.3333333332976</v>
      </c>
      <c r="N474">
        <f t="shared" si="35"/>
        <v>0</v>
      </c>
      <c r="O474">
        <f t="array" ref="O474">+SUM($F$2:$F$18*SIN(2*PI()*(M474)*$B$1/$E$2:$E$18+$G$2:$G$18))</f>
        <v>-0.2842573989626348</v>
      </c>
      <c r="P474">
        <f t="shared" si="36"/>
        <v>0</v>
      </c>
      <c r="Q474">
        <f t="shared" si="37"/>
        <v>-0.22895239246160598</v>
      </c>
      <c r="R474">
        <f t="array" ref="R474">+$B$2*SIN(Q474*$B$3+$B$4)+Q474+$B$9*SIN(PI()*M474+$B$10)+$B$11*SIN(2*PI()*M474+$B$12) + SUM($I$2:$I$18*SIN(2*PI()*M474*$H$2:$H$18+$J$2:$J$18))</f>
        <v>-3.8516136993311947</v>
      </c>
    </row>
    <row r="475" spans="3:18" x14ac:dyDescent="0.35">
      <c r="C475">
        <v>-0.33073999999999998</v>
      </c>
      <c r="L475">
        <f t="shared" si="38"/>
        <v>474</v>
      </c>
      <c r="M475">
        <f t="shared" si="39"/>
        <v>1919.4166666666308</v>
      </c>
      <c r="N475">
        <f t="shared" si="35"/>
        <v>0</v>
      </c>
      <c r="O475">
        <f t="array" ref="O475">+SUM($F$2:$F$18*SIN(2*PI()*(M475)*$B$1/$E$2:$E$18+$G$2:$G$18))</f>
        <v>-0.48467550069709925</v>
      </c>
      <c r="P475">
        <f t="shared" si="36"/>
        <v>0</v>
      </c>
      <c r="Q475">
        <f t="shared" si="37"/>
        <v>-0.22842452413120745</v>
      </c>
      <c r="R475">
        <f t="array" ref="R475">+$B$2*SIN(Q475*$B$3+$B$4)+Q475+$B$9*SIN(PI()*M475+$B$10)+$B$11*SIN(2*PI()*M475+$B$12) + SUM($I$2:$I$18*SIN(2*PI()*M475*$H$2:$H$18+$J$2:$J$18))</f>
        <v>-4.4430968280112193</v>
      </c>
    </row>
    <row r="476" spans="3:18" x14ac:dyDescent="0.35">
      <c r="C476">
        <v>-0.66340199999999994</v>
      </c>
      <c r="L476">
        <f t="shared" si="38"/>
        <v>475</v>
      </c>
      <c r="M476">
        <f t="shared" si="39"/>
        <v>1919.4999999999641</v>
      </c>
      <c r="N476">
        <f t="shared" si="35"/>
        <v>0</v>
      </c>
      <c r="O476">
        <f t="array" ref="O476">+SUM($F$2:$F$18*SIN(2*PI()*(M476)*$B$1/$E$2:$E$18+$G$2:$G$18))</f>
        <v>-0.15389869958947228</v>
      </c>
      <c r="P476">
        <f t="shared" si="36"/>
        <v>0</v>
      </c>
      <c r="Q476">
        <f t="shared" si="37"/>
        <v>-0.22789787284410443</v>
      </c>
      <c r="R476">
        <f t="array" ref="R476">+$B$2*SIN(Q476*$B$3+$B$4)+Q476+$B$9*SIN(PI()*M476+$B$10)+$B$11*SIN(2*PI()*M476+$B$12) + SUM($I$2:$I$18*SIN(2*PI()*M476*$H$2:$H$18+$J$2:$J$18))</f>
        <v>-4.8120834497438709</v>
      </c>
    </row>
    <row r="477" spans="3:18" x14ac:dyDescent="0.35">
      <c r="C477">
        <v>-0.59145000000000003</v>
      </c>
      <c r="L477">
        <f t="shared" si="38"/>
        <v>476</v>
      </c>
      <c r="M477">
        <f t="shared" si="39"/>
        <v>1919.5833333332973</v>
      </c>
      <c r="N477">
        <f t="shared" si="35"/>
        <v>0</v>
      </c>
      <c r="O477">
        <f t="array" ref="O477">+SUM($F$2:$F$18*SIN(2*PI()*(M477)*$B$1/$E$2:$E$18+$G$2:$G$18))</f>
        <v>7.1543388573981626E-2</v>
      </c>
      <c r="P477">
        <f t="shared" si="36"/>
        <v>0</v>
      </c>
      <c r="Q477">
        <f t="shared" si="37"/>
        <v>-0.2273724357943048</v>
      </c>
      <c r="R477">
        <f t="array" ref="R477">+$B$2*SIN(Q477*$B$3+$B$4)+Q477+$B$9*SIN(PI()*M477+$B$10)+$B$11*SIN(2*PI()*M477+$B$12) + SUM($I$2:$I$18*SIN(2*PI()*M477*$H$2:$H$18+$J$2:$J$18))</f>
        <v>-5.0763072097966369</v>
      </c>
    </row>
    <row r="478" spans="3:18" x14ac:dyDescent="0.35">
      <c r="C478">
        <v>-0.59026999999999996</v>
      </c>
      <c r="L478">
        <f t="shared" si="38"/>
        <v>477</v>
      </c>
      <c r="M478">
        <f t="shared" si="39"/>
        <v>1919.6666666666306</v>
      </c>
      <c r="N478">
        <f t="shared" si="35"/>
        <v>0</v>
      </c>
      <c r="O478">
        <f t="array" ref="O478">+SUM($F$2:$F$18*SIN(2*PI()*(M478)*$B$1/$E$2:$E$18+$G$2:$G$18))</f>
        <v>-0.86130636522559023</v>
      </c>
      <c r="P478">
        <f t="shared" si="36"/>
        <v>0</v>
      </c>
      <c r="Q478">
        <f t="shared" si="37"/>
        <v>-0.22684821018228585</v>
      </c>
      <c r="R478">
        <f t="array" ref="R478">+$B$2*SIN(Q478*$B$3+$B$4)+Q478+$B$9*SIN(PI()*M478+$B$10)+$B$11*SIN(2*PI()*M478+$B$12) + SUM($I$2:$I$18*SIN(2*PI()*M478*$H$2:$H$18+$J$2:$J$18))</f>
        <v>-5.3518459390992019</v>
      </c>
    </row>
    <row r="479" spans="3:18" x14ac:dyDescent="0.35">
      <c r="C479">
        <v>-0.50447399999999998</v>
      </c>
      <c r="L479">
        <f t="shared" si="38"/>
        <v>478</v>
      </c>
      <c r="M479">
        <f t="shared" si="39"/>
        <v>1919.7499999999638</v>
      </c>
      <c r="N479">
        <f t="shared" si="35"/>
        <v>0</v>
      </c>
      <c r="O479">
        <f t="array" ref="O479">+SUM($F$2:$F$18*SIN(2*PI()*(M479)*$B$1/$E$2:$E$18+$G$2:$G$18))</f>
        <v>-1.5533827246756309</v>
      </c>
      <c r="P479">
        <f t="shared" si="36"/>
        <v>0</v>
      </c>
      <c r="Q479">
        <f t="shared" si="37"/>
        <v>-0.22632519321497943</v>
      </c>
      <c r="R479">
        <f t="array" ref="R479">+$B$2*SIN(Q479*$B$3+$B$4)+Q479+$B$9*SIN(PI()*M479+$B$10)+$B$11*SIN(2*PI()*M479+$B$12) + SUM($I$2:$I$18*SIN(2*PI()*M479*$H$2:$H$18+$J$2:$J$18))</f>
        <v>-5.7171338460074743</v>
      </c>
    </row>
    <row r="480" spans="3:18" x14ac:dyDescent="0.35">
      <c r="C480">
        <v>-0.36175400000000002</v>
      </c>
      <c r="L480">
        <f t="shared" si="38"/>
        <v>479</v>
      </c>
      <c r="M480">
        <f t="shared" si="39"/>
        <v>1919.8333333332971</v>
      </c>
      <c r="N480">
        <f t="shared" si="35"/>
        <v>0</v>
      </c>
      <c r="O480">
        <f t="array" ref="O480">+SUM($F$2:$F$18*SIN(2*PI()*(M480)*$B$1/$E$2:$E$18+$G$2:$G$18))</f>
        <v>-0.80773067175690594</v>
      </c>
      <c r="P480">
        <f t="shared" si="36"/>
        <v>0</v>
      </c>
      <c r="Q480">
        <f t="shared" si="37"/>
        <v>-0.22580338210575701</v>
      </c>
      <c r="R480">
        <f t="array" ref="R480">+$B$2*SIN(Q480*$B$3+$B$4)+Q480+$B$9*SIN(PI()*M480+$B$10)+$B$11*SIN(2*PI()*M480+$B$12) + SUM($I$2:$I$18*SIN(2*PI()*M480*$H$2:$H$18+$J$2:$J$18))</f>
        <v>-6.1884068221230519</v>
      </c>
    </row>
    <row r="481" spans="3:18" x14ac:dyDescent="0.35">
      <c r="C481">
        <v>-0.21596399999999999</v>
      </c>
      <c r="L481">
        <f t="shared" si="38"/>
        <v>480</v>
      </c>
      <c r="M481">
        <f t="shared" si="39"/>
        <v>1919.9166666666304</v>
      </c>
      <c r="N481">
        <f t="shared" si="35"/>
        <v>0</v>
      </c>
      <c r="O481">
        <f t="array" ref="O481">+SUM($F$2:$F$18*SIN(2*PI()*(M481)*$B$1/$E$2:$E$18+$G$2:$G$18))</f>
        <v>-8.5413988317501854E-2</v>
      </c>
      <c r="P481">
        <f t="shared" si="36"/>
        <v>0</v>
      </c>
      <c r="Q481">
        <f t="shared" si="37"/>
        <v>-0.22528277407441488</v>
      </c>
      <c r="R481">
        <f t="array" ref="R481">+$B$2*SIN(Q481*$B$3+$B$4)+Q481+$B$9*SIN(PI()*M481+$B$10)+$B$11*SIN(2*PI()*M481+$B$12) + SUM($I$2:$I$18*SIN(2*PI()*M481*$H$2:$H$18+$J$2:$J$18))</f>
        <v>-6.7132408356366629</v>
      </c>
    </row>
    <row r="482" spans="3:18" x14ac:dyDescent="0.35">
      <c r="C482">
        <v>-5.4786000000000001E-2</v>
      </c>
      <c r="L482">
        <f t="shared" si="38"/>
        <v>481</v>
      </c>
      <c r="M482">
        <f t="shared" si="39"/>
        <v>1919.9999999999636</v>
      </c>
      <c r="N482">
        <f t="shared" si="35"/>
        <v>200</v>
      </c>
      <c r="O482">
        <f t="array" ref="O482">+SUM($F$2:$F$18*SIN(2*PI()*(M482)*$B$1/$E$2:$E$18+$G$2:$G$18))</f>
        <v>-8.2846179533222056E-2</v>
      </c>
      <c r="P482">
        <f t="shared" si="36"/>
        <v>-16.569235906644412</v>
      </c>
      <c r="Q482">
        <f t="shared" si="37"/>
        <v>-0.26296508505375255</v>
      </c>
      <c r="R482">
        <f t="array" ref="R482">+$B$2*SIN(Q482*$B$3+$B$4)+Q482+$B$9*SIN(PI()*M482+$B$10)+$B$11*SIN(2*PI()*M482+$B$12) + SUM($I$2:$I$18*SIN(2*PI()*M482*$H$2:$H$18+$J$2:$J$18))</f>
        <v>-3.8695258980598304</v>
      </c>
    </row>
    <row r="483" spans="3:18" x14ac:dyDescent="0.35">
      <c r="C483">
        <v>0.19408400000000001</v>
      </c>
      <c r="L483">
        <f t="shared" si="38"/>
        <v>482</v>
      </c>
      <c r="M483">
        <f t="shared" si="39"/>
        <v>1920.0833333332969</v>
      </c>
      <c r="N483">
        <f t="shared" si="35"/>
        <v>0</v>
      </c>
      <c r="O483">
        <f t="array" ref="O483">+SUM($F$2:$F$18*SIN(2*PI()*(M483)*$B$1/$E$2:$E$18+$G$2:$G$18))</f>
        <v>-0.16501176021490691</v>
      </c>
      <c r="P483">
        <f t="shared" si="36"/>
        <v>0</v>
      </c>
      <c r="Q483">
        <f t="shared" si="37"/>
        <v>-0.26235879769895359</v>
      </c>
      <c r="R483">
        <f t="array" ref="R483">+$B$2*SIN(Q483*$B$3+$B$4)+Q483+$B$9*SIN(PI()*M483+$B$10)+$B$11*SIN(2*PI()*M483+$B$12) + SUM($I$2:$I$18*SIN(2*PI()*M483*$H$2:$H$18+$J$2:$J$18))</f>
        <v>-4.1532265685805037</v>
      </c>
    </row>
    <row r="484" spans="3:18" x14ac:dyDescent="0.35">
      <c r="C484">
        <v>0.158334</v>
      </c>
      <c r="L484">
        <f t="shared" si="38"/>
        <v>483</v>
      </c>
      <c r="M484">
        <f t="shared" si="39"/>
        <v>1920.1666666666301</v>
      </c>
      <c r="N484">
        <f t="shared" si="35"/>
        <v>0</v>
      </c>
      <c r="O484">
        <f t="array" ref="O484">+SUM($F$2:$F$18*SIN(2*PI()*(M484)*$B$1/$E$2:$E$18+$G$2:$G$18))</f>
        <v>-0.14236839568609266</v>
      </c>
      <c r="P484">
        <f t="shared" si="36"/>
        <v>0</v>
      </c>
      <c r="Q484">
        <f t="shared" si="37"/>
        <v>-0.26175390818887811</v>
      </c>
      <c r="R484">
        <f t="array" ref="R484">+$B$2*SIN(Q484*$B$3+$B$4)+Q484+$B$9*SIN(PI()*M484+$B$10)+$B$11*SIN(2*PI()*M484+$B$12) + SUM($I$2:$I$18*SIN(2*PI()*M484*$H$2:$H$18+$J$2:$J$18))</f>
        <v>-4.1279205919060438</v>
      </c>
    </row>
    <row r="485" spans="3:18" x14ac:dyDescent="0.35">
      <c r="C485">
        <v>0.26258400000000004</v>
      </c>
      <c r="L485">
        <f t="shared" si="38"/>
        <v>484</v>
      </c>
      <c r="M485">
        <f t="shared" si="39"/>
        <v>1920.2499999999634</v>
      </c>
      <c r="N485">
        <f t="shared" si="35"/>
        <v>0</v>
      </c>
      <c r="O485">
        <f t="array" ref="O485">+SUM($F$2:$F$18*SIN(2*PI()*(M485)*$B$1/$E$2:$E$18+$G$2:$G$18))</f>
        <v>8.0134948369532943E-2</v>
      </c>
      <c r="P485">
        <f t="shared" si="36"/>
        <v>0</v>
      </c>
      <c r="Q485">
        <f t="shared" si="37"/>
        <v>-0.26115041330068156</v>
      </c>
      <c r="R485">
        <f t="array" ref="R485">+$B$2*SIN(Q485*$B$3+$B$4)+Q485+$B$9*SIN(PI()*M485+$B$10)+$B$11*SIN(2*PI()*M485+$B$12) + SUM($I$2:$I$18*SIN(2*PI()*M485*$H$2:$H$18+$J$2:$J$18))</f>
        <v>-3.7195613770161122</v>
      </c>
    </row>
    <row r="486" spans="3:18" x14ac:dyDescent="0.35">
      <c r="C486">
        <v>7.145E-2</v>
      </c>
      <c r="L486">
        <f t="shared" si="38"/>
        <v>485</v>
      </c>
      <c r="M486">
        <f t="shared" si="39"/>
        <v>1920.3333333332967</v>
      </c>
      <c r="N486">
        <f t="shared" si="35"/>
        <v>0</v>
      </c>
      <c r="O486">
        <f t="array" ref="O486">+SUM($F$2:$F$18*SIN(2*PI()*(M486)*$B$1/$E$2:$E$18+$G$2:$G$18))</f>
        <v>-5.4308666899823721E-2</v>
      </c>
      <c r="P486">
        <f t="shared" si="36"/>
        <v>0</v>
      </c>
      <c r="Q486">
        <f t="shared" si="37"/>
        <v>-0.26054830981894994</v>
      </c>
      <c r="R486">
        <f t="array" ref="R486">+$B$2*SIN(Q486*$B$3+$B$4)+Q486+$B$9*SIN(PI()*M486+$B$10)+$B$11*SIN(2*PI()*M486+$B$12) + SUM($I$2:$I$18*SIN(2*PI()*M486*$H$2:$H$18+$J$2:$J$18))</f>
        <v>-2.9252070931167786</v>
      </c>
    </row>
    <row r="487" spans="3:18" x14ac:dyDescent="0.35">
      <c r="C487">
        <v>-0.19507200000000002</v>
      </c>
      <c r="L487">
        <f t="shared" si="38"/>
        <v>486</v>
      </c>
      <c r="M487">
        <f t="shared" si="39"/>
        <v>1920.4166666666299</v>
      </c>
      <c r="N487">
        <f t="shared" si="35"/>
        <v>0</v>
      </c>
      <c r="O487">
        <f t="array" ref="O487">+SUM($F$2:$F$18*SIN(2*PI()*(M487)*$B$1/$E$2:$E$18+$G$2:$G$18))</f>
        <v>-0.78299948432920141</v>
      </c>
      <c r="P487">
        <f t="shared" si="36"/>
        <v>0</v>
      </c>
      <c r="Q487">
        <f t="shared" si="37"/>
        <v>-0.25994759453568267</v>
      </c>
      <c r="R487">
        <f t="array" ref="R487">+$B$2*SIN(Q487*$B$3+$B$4)+Q487+$B$9*SIN(PI()*M487+$B$10)+$B$11*SIN(2*PI()*M487+$B$12) + SUM($I$2:$I$18*SIN(2*PI()*M487*$H$2:$H$18+$J$2:$J$18))</f>
        <v>-1.8181701794588259</v>
      </c>
    </row>
    <row r="488" spans="3:18" x14ac:dyDescent="0.35">
      <c r="C488">
        <v>-0.82467200000000007</v>
      </c>
      <c r="L488">
        <f t="shared" si="38"/>
        <v>487</v>
      </c>
      <c r="M488">
        <f t="shared" si="39"/>
        <v>1920.4999999999632</v>
      </c>
      <c r="N488">
        <f t="shared" si="35"/>
        <v>0</v>
      </c>
      <c r="O488">
        <f t="array" ref="O488">+SUM($F$2:$F$18*SIN(2*PI()*(M488)*$B$1/$E$2:$E$18+$G$2:$G$18))</f>
        <v>-0.75498777171163456</v>
      </c>
      <c r="P488">
        <f t="shared" si="36"/>
        <v>0</v>
      </c>
      <c r="Q488">
        <f t="shared" si="37"/>
        <v>-0.25934826425027552</v>
      </c>
      <c r="R488">
        <f t="array" ref="R488">+$B$2*SIN(Q488*$B$3+$B$4)+Q488+$B$9*SIN(PI()*M488+$B$10)+$B$11*SIN(2*PI()*M488+$B$12) + SUM($I$2:$I$18*SIN(2*PI()*M488*$H$2:$H$18+$J$2:$J$18))</f>
        <v>-0.53304128890297253</v>
      </c>
    </row>
    <row r="489" spans="3:18" x14ac:dyDescent="0.35">
      <c r="C489">
        <v>-0.96042400000000006</v>
      </c>
      <c r="L489">
        <f t="shared" si="38"/>
        <v>488</v>
      </c>
      <c r="M489">
        <f t="shared" si="39"/>
        <v>1920.5833333332964</v>
      </c>
      <c r="N489">
        <f t="shared" si="35"/>
        <v>0</v>
      </c>
      <c r="O489">
        <f t="array" ref="O489">+SUM($F$2:$F$18*SIN(2*PI()*(M489)*$B$1/$E$2:$E$18+$G$2:$G$18))</f>
        <v>7.7179929827251859E-3</v>
      </c>
      <c r="P489">
        <f t="shared" si="36"/>
        <v>0</v>
      </c>
      <c r="Q489">
        <f t="shared" si="37"/>
        <v>-0.25875031576950341</v>
      </c>
      <c r="R489">
        <f t="array" ref="R489">+$B$2*SIN(Q489*$B$3+$B$4)+Q489+$B$9*SIN(PI()*M489+$B$10)+$B$11*SIN(2*PI()*M489+$B$12) + SUM($I$2:$I$18*SIN(2*PI()*M489*$H$2:$H$18+$J$2:$J$18))</f>
        <v>0.76565450737494434</v>
      </c>
    </row>
    <row r="490" spans="3:18" x14ac:dyDescent="0.35">
      <c r="C490">
        <v>-0.980796</v>
      </c>
      <c r="L490">
        <f t="shared" si="38"/>
        <v>489</v>
      </c>
      <c r="M490">
        <f t="shared" si="39"/>
        <v>1920.6666666666297</v>
      </c>
      <c r="N490">
        <f t="shared" si="35"/>
        <v>0</v>
      </c>
      <c r="O490">
        <f t="array" ref="O490">+SUM($F$2:$F$18*SIN(2*PI()*(M490)*$B$1/$E$2:$E$18+$G$2:$G$18))</f>
        <v>9.4142889987534867E-2</v>
      </c>
      <c r="P490">
        <f t="shared" si="36"/>
        <v>0</v>
      </c>
      <c r="Q490">
        <f t="shared" si="37"/>
        <v>-0.25815374590750362</v>
      </c>
      <c r="R490">
        <f t="array" ref="R490">+$B$2*SIN(Q490*$B$3+$B$4)+Q490+$B$9*SIN(PI()*M490+$B$10)+$B$11*SIN(2*PI()*M490+$B$12) + SUM($I$2:$I$18*SIN(2*PI()*M490*$H$2:$H$18+$J$2:$J$18))</f>
        <v>1.9230028656390754</v>
      </c>
    </row>
    <row r="491" spans="3:18" x14ac:dyDescent="0.35">
      <c r="C491">
        <v>-0.82732200000000011</v>
      </c>
      <c r="L491">
        <f t="shared" si="38"/>
        <v>490</v>
      </c>
      <c r="M491">
        <f t="shared" si="39"/>
        <v>1920.7499999999629</v>
      </c>
      <c r="N491">
        <f t="shared" si="35"/>
        <v>0</v>
      </c>
      <c r="O491">
        <f t="array" ref="O491">+SUM($F$2:$F$18*SIN(2*PI()*(M491)*$B$1/$E$2:$E$18+$G$2:$G$18))</f>
        <v>-0.11907775956655431</v>
      </c>
      <c r="P491">
        <f t="shared" si="36"/>
        <v>0</v>
      </c>
      <c r="Q491">
        <f t="shared" si="37"/>
        <v>-0.25755855148575862</v>
      </c>
      <c r="R491">
        <f t="array" ref="R491">+$B$2*SIN(Q491*$B$3+$B$4)+Q491+$B$9*SIN(PI()*M491+$B$10)+$B$11*SIN(2*PI()*M491+$B$12) + SUM($I$2:$I$18*SIN(2*PI()*M491*$H$2:$H$18+$J$2:$J$18))</f>
        <v>2.8310460719302029</v>
      </c>
    </row>
    <row r="492" spans="3:18" x14ac:dyDescent="0.35">
      <c r="C492">
        <v>-0.90307800000000005</v>
      </c>
      <c r="L492">
        <f t="shared" si="38"/>
        <v>491</v>
      </c>
      <c r="M492">
        <f t="shared" si="39"/>
        <v>1920.8333333332962</v>
      </c>
      <c r="N492">
        <f t="shared" si="35"/>
        <v>0</v>
      </c>
      <c r="O492">
        <f t="array" ref="O492">+SUM($F$2:$F$18*SIN(2*PI()*(M492)*$B$1/$E$2:$E$18+$G$2:$G$18))</f>
        <v>0.10270229194941721</v>
      </c>
      <c r="P492">
        <f t="shared" si="36"/>
        <v>0</v>
      </c>
      <c r="Q492">
        <f t="shared" si="37"/>
        <v>-0.25696472933307923</v>
      </c>
      <c r="R492">
        <f t="array" ref="R492">+$B$2*SIN(Q492*$B$3+$B$4)+Q492+$B$9*SIN(PI()*M492+$B$10)+$B$11*SIN(2*PI()*M492+$B$12) + SUM($I$2:$I$18*SIN(2*PI()*M492*$H$2:$H$18+$J$2:$J$18))</f>
        <v>3.4540705853164866</v>
      </c>
    </row>
    <row r="493" spans="3:18" x14ac:dyDescent="0.35">
      <c r="C493">
        <v>-0.84653</v>
      </c>
      <c r="L493">
        <f t="shared" si="38"/>
        <v>492</v>
      </c>
      <c r="M493">
        <f t="shared" si="39"/>
        <v>1920.9166666666295</v>
      </c>
      <c r="N493">
        <f t="shared" si="35"/>
        <v>0</v>
      </c>
      <c r="O493">
        <f t="array" ref="O493">+SUM($F$2:$F$18*SIN(2*PI()*(M493)*$B$1/$E$2:$E$18+$G$2:$G$18))</f>
        <v>0.37607952619990004</v>
      </c>
      <c r="P493">
        <f t="shared" si="36"/>
        <v>0</v>
      </c>
      <c r="Q493">
        <f t="shared" si="37"/>
        <v>-0.25637227628558767</v>
      </c>
      <c r="R493">
        <f t="array" ref="R493">+$B$2*SIN(Q493*$B$3+$B$4)+Q493+$B$9*SIN(PI()*M493+$B$10)+$B$11*SIN(2*PI()*M493+$B$12) + SUM($I$2:$I$18*SIN(2*PI()*M493*$H$2:$H$18+$J$2:$J$18))</f>
        <v>3.8351525514083948</v>
      </c>
    </row>
    <row r="494" spans="3:18" x14ac:dyDescent="0.35">
      <c r="C494">
        <v>-0.8853660000000001</v>
      </c>
      <c r="L494">
        <f t="shared" si="38"/>
        <v>493</v>
      </c>
      <c r="M494">
        <f t="shared" si="39"/>
        <v>1920.9999999999627</v>
      </c>
      <c r="N494">
        <f t="shared" si="35"/>
        <v>200</v>
      </c>
      <c r="O494">
        <f t="array" ref="O494">+SUM($F$2:$F$18*SIN(2*PI()*(M494)*$B$1/$E$2:$E$18+$G$2:$G$18))</f>
        <v>0.34919552324748282</v>
      </c>
      <c r="P494">
        <f t="shared" si="36"/>
        <v>69.839104649496562</v>
      </c>
      <c r="Q494">
        <f t="shared" si="37"/>
        <v>-9.4761462895609966E-2</v>
      </c>
      <c r="R494">
        <f t="array" ref="R494">+$B$2*SIN(Q494*$B$3+$B$4)+Q494+$B$9*SIN(PI()*M494+$B$10)+$B$11*SIN(2*PI()*M494+$B$12) + SUM($I$2:$I$18*SIN(2*PI()*M494*$H$2:$H$18+$J$2:$J$18))</f>
        <v>-9.1839569202386926</v>
      </c>
    </row>
    <row r="495" spans="3:18" x14ac:dyDescent="0.35">
      <c r="C495">
        <v>-0.8272799999999999</v>
      </c>
      <c r="L495">
        <f t="shared" si="38"/>
        <v>494</v>
      </c>
      <c r="M495">
        <f t="shared" si="39"/>
        <v>1921.083333333296</v>
      </c>
      <c r="N495">
        <f t="shared" si="35"/>
        <v>0</v>
      </c>
      <c r="O495">
        <f t="array" ref="O495">+SUM($F$2:$F$18*SIN(2*PI()*(M495)*$B$1/$E$2:$E$18+$G$2:$G$18))</f>
        <v>-0.23432447523019939</v>
      </c>
      <c r="P495">
        <f t="shared" si="36"/>
        <v>0</v>
      </c>
      <c r="Q495">
        <f t="shared" si="37"/>
        <v>-9.4542982648834567E-2</v>
      </c>
      <c r="R495">
        <f t="array" ref="R495">+$B$2*SIN(Q495*$B$3+$B$4)+Q495+$B$9*SIN(PI()*M495+$B$10)+$B$11*SIN(2*PI()*M495+$B$12) + SUM($I$2:$I$18*SIN(2*PI()*M495*$H$2:$H$18+$J$2:$J$18))</f>
        <v>-8.8906150413315217</v>
      </c>
    </row>
    <row r="496" spans="3:18" x14ac:dyDescent="0.35">
      <c r="C496">
        <v>-0.73227399999999998</v>
      </c>
      <c r="L496">
        <f t="shared" si="38"/>
        <v>495</v>
      </c>
      <c r="M496">
        <f t="shared" si="39"/>
        <v>1921.1666666666292</v>
      </c>
      <c r="N496">
        <f t="shared" si="35"/>
        <v>0</v>
      </c>
      <c r="O496">
        <f t="array" ref="O496">+SUM($F$2:$F$18*SIN(2*PI()*(M496)*$B$1/$E$2:$E$18+$G$2:$G$18))</f>
        <v>-0.72449226346152362</v>
      </c>
      <c r="P496">
        <f t="shared" si="36"/>
        <v>0</v>
      </c>
      <c r="Q496">
        <f t="shared" si="37"/>
        <v>-9.4325006126007416E-2</v>
      </c>
      <c r="R496">
        <f t="array" ref="R496">+$B$2*SIN(Q496*$B$3+$B$4)+Q496+$B$9*SIN(PI()*M496+$B$10)+$B$11*SIN(2*PI()*M496+$B$12) + SUM($I$2:$I$18*SIN(2*PI()*M496*$H$2:$H$18+$J$2:$J$18))</f>
        <v>-8.4520006416055455</v>
      </c>
    </row>
    <row r="497" spans="3:18" x14ac:dyDescent="0.35">
      <c r="C497">
        <v>-0.654192</v>
      </c>
      <c r="L497">
        <f t="shared" si="38"/>
        <v>496</v>
      </c>
      <c r="M497">
        <f t="shared" si="39"/>
        <v>1921.2499999999625</v>
      </c>
      <c r="N497">
        <f t="shared" si="35"/>
        <v>0</v>
      </c>
      <c r="O497">
        <f t="array" ref="O497">+SUM($F$2:$F$18*SIN(2*PI()*(M497)*$B$1/$E$2:$E$18+$G$2:$G$18))</f>
        <v>-0.13131660010715518</v>
      </c>
      <c r="P497">
        <f t="shared" si="36"/>
        <v>0</v>
      </c>
      <c r="Q497">
        <f t="shared" si="37"/>
        <v>-9.4107532165752045E-2</v>
      </c>
      <c r="R497">
        <f t="array" ref="R497">+$B$2*SIN(Q497*$B$3+$B$4)+Q497+$B$9*SIN(PI()*M497+$B$10)+$B$11*SIN(2*PI()*M497+$B$12) + SUM($I$2:$I$18*SIN(2*PI()*M497*$H$2:$H$18+$J$2:$J$18))</f>
        <v>-7.7737077935650802</v>
      </c>
    </row>
    <row r="498" spans="3:18" x14ac:dyDescent="0.35">
      <c r="C498">
        <v>-0.74534000000000011</v>
      </c>
      <c r="L498">
        <f t="shared" si="38"/>
        <v>497</v>
      </c>
      <c r="M498">
        <f t="shared" si="39"/>
        <v>1921.3333333332957</v>
      </c>
      <c r="N498">
        <f t="shared" si="35"/>
        <v>0</v>
      </c>
      <c r="O498">
        <f t="array" ref="O498">+SUM($F$2:$F$18*SIN(2*PI()*(M498)*$B$1/$E$2:$E$18+$G$2:$G$18))</f>
        <v>0.46056064856280987</v>
      </c>
      <c r="P498">
        <f t="shared" si="36"/>
        <v>0</v>
      </c>
      <c r="Q498">
        <f t="shared" si="37"/>
        <v>-9.3890559609369637E-2</v>
      </c>
      <c r="R498">
        <f t="array" ref="R498">+$B$2*SIN(Q498*$B$3+$B$4)+Q498+$B$9*SIN(PI()*M498+$B$10)+$B$11*SIN(2*PI()*M498+$B$12) + SUM($I$2:$I$18*SIN(2*PI()*M498*$H$2:$H$18+$J$2:$J$18))</f>
        <v>-6.8298055256085579</v>
      </c>
    </row>
    <row r="499" spans="3:18" x14ac:dyDescent="0.35">
      <c r="C499">
        <v>-0.64264399999999999</v>
      </c>
      <c r="L499">
        <f t="shared" si="38"/>
        <v>498</v>
      </c>
      <c r="M499">
        <f t="shared" si="39"/>
        <v>1921.416666666629</v>
      </c>
      <c r="N499">
        <f t="shared" si="35"/>
        <v>0</v>
      </c>
      <c r="O499">
        <f t="array" ref="O499">+SUM($F$2:$F$18*SIN(2*PI()*(M499)*$B$1/$E$2:$E$18+$G$2:$G$18))</f>
        <v>6.5674136020049512E-2</v>
      </c>
      <c r="P499">
        <f t="shared" si="36"/>
        <v>0</v>
      </c>
      <c r="Q499">
        <f t="shared" si="37"/>
        <v>-9.3674087300832862E-2</v>
      </c>
      <c r="R499">
        <f t="array" ref="R499">+$B$2*SIN(Q499*$B$3+$B$4)+Q499+$B$9*SIN(PI()*M499+$B$10)+$B$11*SIN(2*PI()*M499+$B$12) + SUM($I$2:$I$18*SIN(2*PI()*M499*$H$2:$H$18+$J$2:$J$18))</f>
        <v>-5.6702724570787719</v>
      </c>
    </row>
    <row r="500" spans="3:18" x14ac:dyDescent="0.35">
      <c r="C500">
        <v>-0.28148800000000002</v>
      </c>
      <c r="L500">
        <f t="shared" si="38"/>
        <v>499</v>
      </c>
      <c r="M500">
        <f t="shared" si="39"/>
        <v>1921.4999999999623</v>
      </c>
      <c r="N500">
        <f t="shared" si="35"/>
        <v>0</v>
      </c>
      <c r="O500">
        <f t="array" ref="O500">+SUM($F$2:$F$18*SIN(2*PI()*(M500)*$B$1/$E$2:$E$18+$G$2:$G$18))</f>
        <v>-0.13752645310270434</v>
      </c>
      <c r="P500">
        <f t="shared" si="36"/>
        <v>0</v>
      </c>
      <c r="Q500">
        <f t="shared" si="37"/>
        <v>-9.3458114086779689E-2</v>
      </c>
      <c r="R500">
        <f t="array" ref="R500">+$B$2*SIN(Q500*$B$3+$B$4)+Q500+$B$9*SIN(PI()*M500+$B$10)+$B$11*SIN(2*PI()*M500+$B$12) + SUM($I$2:$I$18*SIN(2*PI()*M500*$H$2:$H$18+$J$2:$J$18))</f>
        <v>-4.4082131483049274</v>
      </c>
    </row>
    <row r="501" spans="3:18" x14ac:dyDescent="0.35">
      <c r="C501">
        <v>-8.0332000000000015E-2</v>
      </c>
      <c r="L501">
        <f t="shared" si="38"/>
        <v>500</v>
      </c>
      <c r="M501">
        <f t="shared" si="39"/>
        <v>1921.5833333332955</v>
      </c>
      <c r="N501">
        <f t="shared" si="35"/>
        <v>0</v>
      </c>
      <c r="O501">
        <f t="array" ref="O501">+SUM($F$2:$F$18*SIN(2*PI()*(M501)*$B$1/$E$2:$E$18+$G$2:$G$18))</f>
        <v>0.34959874421226828</v>
      </c>
      <c r="P501">
        <f t="shared" si="36"/>
        <v>0</v>
      </c>
      <c r="Q501">
        <f t="shared" si="37"/>
        <v>-9.3242638816507253E-2</v>
      </c>
      <c r="R501">
        <f t="array" ref="R501">+$B$2*SIN(Q501*$B$3+$B$4)+Q501+$B$9*SIN(PI()*M501+$B$10)+$B$11*SIN(2*PI()*M501+$B$12) + SUM($I$2:$I$18*SIN(2*PI()*M501*$H$2:$H$18+$J$2:$J$18))</f>
        <v>-3.1904570184145449</v>
      </c>
    </row>
    <row r="502" spans="3:18" x14ac:dyDescent="0.35">
      <c r="C502">
        <v>0.49928199999999995</v>
      </c>
      <c r="L502">
        <f t="shared" si="38"/>
        <v>501</v>
      </c>
      <c r="M502">
        <f t="shared" si="39"/>
        <v>1921.6666666666288</v>
      </c>
      <c r="N502">
        <f t="shared" si="35"/>
        <v>0</v>
      </c>
      <c r="O502">
        <f t="array" ref="O502">+SUM($F$2:$F$18*SIN(2*PI()*(M502)*$B$1/$E$2:$E$18+$G$2:$G$18))</f>
        <v>0.68220232670543057</v>
      </c>
      <c r="P502">
        <f t="shared" si="36"/>
        <v>0</v>
      </c>
      <c r="Q502">
        <f t="shared" si="37"/>
        <v>-9.3027660341965746E-2</v>
      </c>
      <c r="R502">
        <f t="array" ref="R502">+$B$2*SIN(Q502*$B$3+$B$4)+Q502+$B$9*SIN(PI()*M502+$B$10)+$B$11*SIN(2*PI()*M502+$B$12) + SUM($I$2:$I$18*SIN(2*PI()*M502*$H$2:$H$18+$J$2:$J$18))</f>
        <v>-2.1595649692523704</v>
      </c>
    </row>
    <row r="503" spans="3:18" x14ac:dyDescent="0.35">
      <c r="C503">
        <v>0.30043600000000004</v>
      </c>
      <c r="L503">
        <f t="shared" si="38"/>
        <v>502</v>
      </c>
      <c r="M503">
        <f t="shared" si="39"/>
        <v>1921.749999999962</v>
      </c>
      <c r="N503">
        <f t="shared" si="35"/>
        <v>0</v>
      </c>
      <c r="O503">
        <f t="array" ref="O503">+SUM($F$2:$F$18*SIN(2*PI()*(M503)*$B$1/$E$2:$E$18+$G$2:$G$18))</f>
        <v>0.31535758971149891</v>
      </c>
      <c r="P503">
        <f t="shared" si="36"/>
        <v>0</v>
      </c>
      <c r="Q503">
        <f t="shared" si="37"/>
        <v>-9.2813177517752282E-2</v>
      </c>
      <c r="R503">
        <f t="array" ref="R503">+$B$2*SIN(Q503*$B$3+$B$4)+Q503+$B$9*SIN(PI()*M503+$B$10)+$B$11*SIN(2*PI()*M503+$B$12) + SUM($I$2:$I$18*SIN(2*PI()*M503*$H$2:$H$18+$J$2:$J$18))</f>
        <v>-1.4175284535742581</v>
      </c>
    </row>
    <row r="504" spans="3:18" x14ac:dyDescent="0.35">
      <c r="C504">
        <v>0.31543599999999999</v>
      </c>
      <c r="L504">
        <f t="shared" si="38"/>
        <v>503</v>
      </c>
      <c r="M504">
        <f t="shared" si="39"/>
        <v>1921.8333333332953</v>
      </c>
      <c r="N504">
        <f t="shared" si="35"/>
        <v>0</v>
      </c>
      <c r="O504">
        <f t="array" ref="O504">+SUM($F$2:$F$18*SIN(2*PI()*(M504)*$B$1/$E$2:$E$18+$G$2:$G$18))</f>
        <v>-0.57682567615543423</v>
      </c>
      <c r="P504">
        <f t="shared" si="36"/>
        <v>0</v>
      </c>
      <c r="Q504">
        <f t="shared" si="37"/>
        <v>-9.259918920110477E-2</v>
      </c>
      <c r="R504">
        <f t="array" ref="R504">+$B$2*SIN(Q504*$B$3+$B$4)+Q504+$B$9*SIN(PI()*M504+$B$10)+$B$11*SIN(2*PI()*M504+$B$12) + SUM($I$2:$I$18*SIN(2*PI()*M504*$H$2:$H$18+$J$2:$J$18))</f>
        <v>-1.0009380142673763</v>
      </c>
    </row>
    <row r="505" spans="3:18" x14ac:dyDescent="0.35">
      <c r="C505">
        <v>0.34581600000000001</v>
      </c>
      <c r="L505">
        <f t="shared" si="38"/>
        <v>504</v>
      </c>
      <c r="M505">
        <f t="shared" si="39"/>
        <v>1921.9166666666285</v>
      </c>
      <c r="N505">
        <f t="shared" si="35"/>
        <v>0</v>
      </c>
      <c r="O505">
        <f t="array" ref="O505">+SUM($F$2:$F$18*SIN(2*PI()*(M505)*$B$1/$E$2:$E$18+$G$2:$G$18))</f>
        <v>-0.76926729138133121</v>
      </c>
      <c r="P505">
        <f t="shared" si="36"/>
        <v>0</v>
      </c>
      <c r="Q505">
        <f t="shared" si="37"/>
        <v>-9.238569425189587E-2</v>
      </c>
      <c r="R505">
        <f t="array" ref="R505">+$B$2*SIN(Q505*$B$3+$B$4)+Q505+$B$9*SIN(PI()*M505+$B$10)+$B$11*SIN(2*PI()*M505+$B$12) + SUM($I$2:$I$18*SIN(2*PI()*M505*$H$2:$H$18+$J$2:$J$18))</f>
        <v>-0.87426310501469118</v>
      </c>
    </row>
    <row r="506" spans="3:18" x14ac:dyDescent="0.35">
      <c r="C506">
        <v>0.20388999999999999</v>
      </c>
      <c r="L506">
        <f t="shared" si="38"/>
        <v>505</v>
      </c>
      <c r="M506">
        <f t="shared" si="39"/>
        <v>1921.9999999999618</v>
      </c>
      <c r="N506">
        <f t="shared" si="35"/>
        <v>200</v>
      </c>
      <c r="O506">
        <f t="array" ref="O506">+SUM($F$2:$F$18*SIN(2*PI()*(M506)*$B$1/$E$2:$E$18+$G$2:$G$18))</f>
        <v>0.12473935216074754</v>
      </c>
      <c r="P506">
        <f t="shared" si="36"/>
        <v>24.947870432149507</v>
      </c>
      <c r="Q506">
        <f t="shared" si="37"/>
        <v>-3.4653350631980509E-2</v>
      </c>
      <c r="R506">
        <f t="array" ref="R506">+$B$2*SIN(Q506*$B$3+$B$4)+Q506+$B$9*SIN(PI()*M506+$B$10)+$B$11*SIN(2*PI()*M506+$B$12) + SUM($I$2:$I$18*SIN(2*PI()*M506*$H$2:$H$18+$J$2:$J$18))</f>
        <v>-2.3157982531150783</v>
      </c>
    </row>
    <row r="507" spans="3:18" x14ac:dyDescent="0.35">
      <c r="C507">
        <v>0.47888399999999998</v>
      </c>
      <c r="L507">
        <f t="shared" si="38"/>
        <v>506</v>
      </c>
      <c r="M507">
        <f t="shared" si="39"/>
        <v>1922.0833333332951</v>
      </c>
      <c r="N507">
        <f t="shared" si="35"/>
        <v>0</v>
      </c>
      <c r="O507">
        <f t="array" ref="O507">+SUM($F$2:$F$18*SIN(2*PI()*(M507)*$B$1/$E$2:$E$18+$G$2:$G$18))</f>
        <v>0.47243358978604005</v>
      </c>
      <c r="P507">
        <f t="shared" si="36"/>
        <v>0</v>
      </c>
      <c r="Q507">
        <f t="shared" si="37"/>
        <v>-3.4573454518451639E-2</v>
      </c>
      <c r="R507">
        <f t="array" ref="R507">+$B$2*SIN(Q507*$B$3+$B$4)+Q507+$B$9*SIN(PI()*M507+$B$10)+$B$11*SIN(2*PI()*M507+$B$12) + SUM($I$2:$I$18*SIN(2*PI()*M507*$H$2:$H$18+$J$2:$J$18))</f>
        <v>-2.4454723738347397</v>
      </c>
    </row>
    <row r="508" spans="3:18" x14ac:dyDescent="0.35">
      <c r="C508">
        <v>0.59079999999999999</v>
      </c>
      <c r="L508">
        <f t="shared" si="38"/>
        <v>507</v>
      </c>
      <c r="M508">
        <f t="shared" si="39"/>
        <v>1922.1666666666283</v>
      </c>
      <c r="N508">
        <f t="shared" si="35"/>
        <v>0</v>
      </c>
      <c r="O508">
        <f t="array" ref="O508">+SUM($F$2:$F$18*SIN(2*PI()*(M508)*$B$1/$E$2:$E$18+$G$2:$G$18))</f>
        <v>-3.5802729430436886E-2</v>
      </c>
      <c r="P508">
        <f t="shared" si="36"/>
        <v>0</v>
      </c>
      <c r="Q508">
        <f t="shared" si="37"/>
        <v>-3.4493742611899601E-2</v>
      </c>
      <c r="R508">
        <f t="array" ref="R508">+$B$2*SIN(Q508*$B$3+$B$4)+Q508+$B$9*SIN(PI()*M508+$B$10)+$B$11*SIN(2*PI()*M508+$B$12) + SUM($I$2:$I$18*SIN(2*PI()*M508*$H$2:$H$18+$J$2:$J$18))</f>
        <v>-2.5297962859016092</v>
      </c>
    </row>
    <row r="509" spans="3:18" x14ac:dyDescent="0.35">
      <c r="C509">
        <v>0.59040799999999993</v>
      </c>
      <c r="L509">
        <f t="shared" si="38"/>
        <v>508</v>
      </c>
      <c r="M509">
        <f t="shared" si="39"/>
        <v>1922.2499999999616</v>
      </c>
      <c r="N509">
        <f t="shared" si="35"/>
        <v>0</v>
      </c>
      <c r="O509">
        <f t="array" ref="O509">+SUM($F$2:$F$18*SIN(2*PI()*(M509)*$B$1/$E$2:$E$18+$G$2:$G$18))</f>
        <v>-1.0512081056833988E-2</v>
      </c>
      <c r="P509">
        <f t="shared" si="36"/>
        <v>0</v>
      </c>
      <c r="Q509">
        <f t="shared" si="37"/>
        <v>-3.4414214487620255E-2</v>
      </c>
      <c r="R509">
        <f t="array" ref="R509">+$B$2*SIN(Q509*$B$3+$B$4)+Q509+$B$9*SIN(PI()*M509+$B$10)+$B$11*SIN(2*PI()*M509+$B$12) + SUM($I$2:$I$18*SIN(2*PI()*M509*$H$2:$H$18+$J$2:$J$18))</f>
        <v>-2.4952408090229614</v>
      </c>
    </row>
    <row r="510" spans="3:18" x14ac:dyDescent="0.35">
      <c r="C510">
        <v>0.57616999999999996</v>
      </c>
      <c r="L510">
        <f t="shared" si="38"/>
        <v>509</v>
      </c>
      <c r="M510">
        <f t="shared" si="39"/>
        <v>1922.3333333332948</v>
      </c>
      <c r="N510">
        <f t="shared" si="35"/>
        <v>0</v>
      </c>
      <c r="O510">
        <f t="array" ref="O510">+SUM($F$2:$F$18*SIN(2*PI()*(M510)*$B$1/$E$2:$E$18+$G$2:$G$18))</f>
        <v>0.53686748159666975</v>
      </c>
      <c r="P510">
        <f t="shared" si="36"/>
        <v>0</v>
      </c>
      <c r="Q510">
        <f t="shared" si="37"/>
        <v>-3.433486972188865E-2</v>
      </c>
      <c r="R510">
        <f t="array" ref="R510">+$B$2*SIN(Q510*$B$3+$B$4)+Q510+$B$9*SIN(PI()*M510+$B$10)+$B$11*SIN(2*PI()*M510+$B$12) + SUM($I$2:$I$18*SIN(2*PI()*M510*$H$2:$H$18+$J$2:$J$18))</f>
        <v>-2.3346978928416249</v>
      </c>
    </row>
    <row r="511" spans="3:18" x14ac:dyDescent="0.35">
      <c r="C511">
        <v>0.50654399999999999</v>
      </c>
      <c r="L511">
        <f t="shared" si="38"/>
        <v>510</v>
      </c>
      <c r="M511">
        <f t="shared" si="39"/>
        <v>1922.4166666666281</v>
      </c>
      <c r="N511">
        <f t="shared" si="35"/>
        <v>0</v>
      </c>
      <c r="O511">
        <f t="array" ref="O511">+SUM($F$2:$F$18*SIN(2*PI()*(M511)*$B$1/$E$2:$E$18+$G$2:$G$18))</f>
        <v>0.67033517730494774</v>
      </c>
      <c r="P511">
        <f t="shared" si="36"/>
        <v>0</v>
      </c>
      <c r="Q511">
        <f t="shared" si="37"/>
        <v>-3.4255707891956762E-2</v>
      </c>
      <c r="R511">
        <f t="array" ref="R511">+$B$2*SIN(Q511*$B$3+$B$4)+Q511+$B$9*SIN(PI()*M511+$B$10)+$B$11*SIN(2*PI()*M511+$B$12) + SUM($I$2:$I$18*SIN(2*PI()*M511*$H$2:$H$18+$J$2:$J$18))</f>
        <v>-2.1124663565771549</v>
      </c>
    </row>
    <row r="512" spans="3:18" x14ac:dyDescent="0.35">
      <c r="C512">
        <v>0.36614800000000003</v>
      </c>
      <c r="L512">
        <f t="shared" si="38"/>
        <v>511</v>
      </c>
      <c r="M512">
        <f t="shared" si="39"/>
        <v>1922.4999999999613</v>
      </c>
      <c r="N512">
        <f t="shared" si="35"/>
        <v>0</v>
      </c>
      <c r="O512">
        <f t="array" ref="O512">+SUM($F$2:$F$18*SIN(2*PI()*(M512)*$B$1/$E$2:$E$18+$G$2:$G$18))</f>
        <v>5.7988583414257389E-3</v>
      </c>
      <c r="P512">
        <f t="shared" si="36"/>
        <v>0</v>
      </c>
      <c r="Q512">
        <f t="shared" si="37"/>
        <v>-3.4176728576051252E-2</v>
      </c>
      <c r="R512">
        <f t="array" ref="R512">+$B$2*SIN(Q512*$B$3+$B$4)+Q512+$B$9*SIN(PI()*M512+$B$10)+$B$11*SIN(2*PI()*M512+$B$12) + SUM($I$2:$I$18*SIN(2*PI()*M512*$H$2:$H$18+$J$2:$J$18))</f>
        <v>-1.9491902577755589</v>
      </c>
    </row>
    <row r="513" spans="3:18" x14ac:dyDescent="0.35">
      <c r="C513">
        <v>0.362676</v>
      </c>
      <c r="L513">
        <f t="shared" si="38"/>
        <v>512</v>
      </c>
      <c r="M513">
        <f t="shared" si="39"/>
        <v>1922.5833333332946</v>
      </c>
      <c r="N513">
        <f t="shared" si="35"/>
        <v>0</v>
      </c>
      <c r="O513">
        <f t="array" ref="O513">+SUM($F$2:$F$18*SIN(2*PI()*(M513)*$B$1/$E$2:$E$18+$G$2:$G$18))</f>
        <v>-0.9150168771713445</v>
      </c>
      <c r="P513">
        <f t="shared" si="36"/>
        <v>0</v>
      </c>
      <c r="Q513">
        <f t="shared" si="37"/>
        <v>-3.4097931353371219E-2</v>
      </c>
      <c r="R513">
        <f t="array" ref="R513">+$B$2*SIN(Q513*$B$3+$B$4)+Q513+$B$9*SIN(PI()*M513+$B$10)+$B$11*SIN(2*PI()*M513+$B$12) + SUM($I$2:$I$18*SIN(2*PI()*M513*$H$2:$H$18+$J$2:$J$18))</f>
        <v>-1.9905344210248161</v>
      </c>
    </row>
    <row r="514" spans="3:18" x14ac:dyDescent="0.35">
      <c r="C514">
        <v>0.54227599999999998</v>
      </c>
      <c r="L514">
        <f t="shared" si="38"/>
        <v>513</v>
      </c>
      <c r="M514">
        <f t="shared" si="39"/>
        <v>1922.6666666666279</v>
      </c>
      <c r="N514">
        <f t="shared" ref="N514:N577" si="40">+IF(MOD(L514,$B$5)=1, $B$6, 0)</f>
        <v>0</v>
      </c>
      <c r="O514">
        <f t="array" ref="O514">+SUM($F$2:$F$18*SIN(2*PI()*(M514)*$B$1/$E$2:$E$18+$G$2:$G$18))</f>
        <v>-0.77321105955902913</v>
      </c>
      <c r="P514">
        <f t="shared" si="36"/>
        <v>0</v>
      </c>
      <c r="Q514">
        <f t="shared" si="37"/>
        <v>-3.4019315804085938E-2</v>
      </c>
      <c r="R514">
        <f t="array" ref="R514">+$B$2*SIN(Q514*$B$3+$B$4)+Q514+$B$9*SIN(PI()*M514+$B$10)+$B$11*SIN(2*PI()*M514+$B$12) + SUM($I$2:$I$18*SIN(2*PI()*M514*$H$2:$H$18+$J$2:$J$18))</f>
        <v>-2.3677873185551004</v>
      </c>
    </row>
    <row r="515" spans="3:18" x14ac:dyDescent="0.35">
      <c r="C515">
        <v>0.392648</v>
      </c>
      <c r="L515">
        <f t="shared" si="38"/>
        <v>514</v>
      </c>
      <c r="M515">
        <f t="shared" si="39"/>
        <v>1922.7499999999611</v>
      </c>
      <c r="N515">
        <f t="shared" si="40"/>
        <v>0</v>
      </c>
      <c r="O515">
        <f t="array" ref="O515">+SUM($F$2:$F$18*SIN(2*PI()*(M515)*$B$1/$E$2:$E$18+$G$2:$G$18))</f>
        <v>0.17256919743067142</v>
      </c>
      <c r="P515">
        <f t="shared" ref="P515:P578" si="41">+N515*O515</f>
        <v>0</v>
      </c>
      <c r="Q515">
        <f t="shared" ref="Q515:Q578" si="42">+(1-$B$7)*Q514+($B$7)*P515</f>
        <v>-3.3940881509332652E-2</v>
      </c>
      <c r="R515">
        <f t="array" ref="R515">+$B$2*SIN(Q515*$B$3+$B$4)+Q515+$B$9*SIN(PI()*M515+$B$10)+$B$11*SIN(2*PI()*M515+$B$12) + SUM($I$2:$I$18*SIN(2*PI()*M515*$H$2:$H$18+$J$2:$J$18))</f>
        <v>-3.1608098947436236</v>
      </c>
    </row>
    <row r="516" spans="3:18" x14ac:dyDescent="0.35">
      <c r="C516">
        <v>0.33994000000000002</v>
      </c>
      <c r="L516">
        <f t="shared" ref="L516:L579" si="43">+L515+1</f>
        <v>515</v>
      </c>
      <c r="M516">
        <f t="shared" ref="M516:M579" si="44">+M515+1/12</f>
        <v>1922.8333333332944</v>
      </c>
      <c r="N516">
        <f t="shared" si="40"/>
        <v>0</v>
      </c>
      <c r="O516">
        <f t="array" ref="O516">+SUM($F$2:$F$18*SIN(2*PI()*(M516)*$B$1/$E$2:$E$18+$G$2:$G$18))</f>
        <v>0.34486153383767043</v>
      </c>
      <c r="P516">
        <f t="shared" si="41"/>
        <v>0</v>
      </c>
      <c r="Q516">
        <f t="shared" si="42"/>
        <v>-3.3862628051214323E-2</v>
      </c>
      <c r="R516">
        <f t="array" ref="R516">+$B$2*SIN(Q516*$B$3+$B$4)+Q516+$B$9*SIN(PI()*M516+$B$10)+$B$11*SIN(2*PI()*M516+$B$12) + SUM($I$2:$I$18*SIN(2*PI()*M516*$H$2:$H$18+$J$2:$J$18))</f>
        <v>-4.3731992390107912</v>
      </c>
    </row>
    <row r="517" spans="3:18" x14ac:dyDescent="0.35">
      <c r="C517">
        <v>-3.5399999999999997E-3</v>
      </c>
      <c r="L517">
        <f t="shared" si="43"/>
        <v>516</v>
      </c>
      <c r="M517">
        <f t="shared" si="44"/>
        <v>1922.9166666666276</v>
      </c>
      <c r="N517">
        <f t="shared" si="40"/>
        <v>0</v>
      </c>
      <c r="O517">
        <f t="array" ref="O517">+SUM($F$2:$F$18*SIN(2*PI()*(M517)*$B$1/$E$2:$E$18+$G$2:$G$18))</f>
        <v>7.7527941851317839E-2</v>
      </c>
      <c r="P517">
        <f t="shared" si="41"/>
        <v>0</v>
      </c>
      <c r="Q517">
        <f t="shared" si="42"/>
        <v>-3.3784555012797403E-2</v>
      </c>
      <c r="R517">
        <f t="array" ref="R517">+$B$2*SIN(Q517*$B$3+$B$4)+Q517+$B$9*SIN(PI()*M517+$B$10)+$B$11*SIN(2*PI()*M517+$B$12) + SUM($I$2:$I$18*SIN(2*PI()*M517*$H$2:$H$18+$J$2:$J$18))</f>
        <v>-5.9263507073041017</v>
      </c>
    </row>
    <row r="518" spans="3:18" x14ac:dyDescent="0.35">
      <c r="C518">
        <v>-2.3940000000000003E-2</v>
      </c>
      <c r="L518">
        <f t="shared" si="43"/>
        <v>517</v>
      </c>
      <c r="M518">
        <f t="shared" si="44"/>
        <v>1922.9999999999609</v>
      </c>
      <c r="N518">
        <f t="shared" si="40"/>
        <v>200</v>
      </c>
      <c r="O518">
        <f t="array" ref="O518">+SUM($F$2:$F$18*SIN(2*PI()*(M518)*$B$1/$E$2:$E$18+$G$2:$G$18))</f>
        <v>0.36063946368693844</v>
      </c>
      <c r="P518">
        <f t="shared" si="41"/>
        <v>72.127892737387683</v>
      </c>
      <c r="Q518">
        <f t="shared" si="42"/>
        <v>0.13259005108565161</v>
      </c>
      <c r="R518">
        <f t="array" ref="R518">+$B$2*SIN(Q518*$B$3+$B$4)+Q518+$B$9*SIN(PI()*M518+$B$10)+$B$11*SIN(2*PI()*M518+$B$12) + SUM($I$2:$I$18*SIN(2*PI()*M518*$H$2:$H$18+$J$2:$J$18))</f>
        <v>2.5520457410763608</v>
      </c>
    </row>
    <row r="519" spans="3:18" x14ac:dyDescent="0.35">
      <c r="C519">
        <v>0.20796399999999998</v>
      </c>
      <c r="L519">
        <f t="shared" si="43"/>
        <v>518</v>
      </c>
      <c r="M519">
        <f t="shared" si="44"/>
        <v>1923.0833333332941</v>
      </c>
      <c r="N519">
        <f t="shared" si="40"/>
        <v>0</v>
      </c>
      <c r="O519">
        <f t="array" ref="O519">+SUM($F$2:$F$18*SIN(2*PI()*(M519)*$B$1/$E$2:$E$18+$G$2:$G$18))</f>
        <v>0.69539695805730806</v>
      </c>
      <c r="P519">
        <f t="shared" si="41"/>
        <v>0</v>
      </c>
      <c r="Q519">
        <f t="shared" si="42"/>
        <v>0.13228435395734675</v>
      </c>
      <c r="R519">
        <f t="array" ref="R519">+$B$2*SIN(Q519*$B$3+$B$4)+Q519+$B$9*SIN(PI()*M519+$B$10)+$B$11*SIN(2*PI()*M519+$B$12) + SUM($I$2:$I$18*SIN(2*PI()*M519*$H$2:$H$18+$J$2:$J$18))</f>
        <v>0.76227635706396379</v>
      </c>
    </row>
    <row r="520" spans="3:18" x14ac:dyDescent="0.35">
      <c r="C520">
        <v>0.21832799999999999</v>
      </c>
      <c r="L520">
        <f t="shared" si="43"/>
        <v>519</v>
      </c>
      <c r="M520">
        <f t="shared" si="44"/>
        <v>1923.1666666666274</v>
      </c>
      <c r="N520">
        <f t="shared" si="40"/>
        <v>0</v>
      </c>
      <c r="O520">
        <f t="array" ref="O520">+SUM($F$2:$F$18*SIN(2*PI()*(M520)*$B$1/$E$2:$E$18+$G$2:$G$18))</f>
        <v>0.48474660506975148</v>
      </c>
      <c r="P520">
        <f t="shared" si="41"/>
        <v>0</v>
      </c>
      <c r="Q520">
        <f t="shared" si="42"/>
        <v>0.131979361638592</v>
      </c>
      <c r="R520">
        <f t="array" ref="R520">+$B$2*SIN(Q520*$B$3+$B$4)+Q520+$B$9*SIN(PI()*M520+$B$10)+$B$11*SIN(2*PI()*M520+$B$12) + SUM($I$2:$I$18*SIN(2*PI()*M520*$H$2:$H$18+$J$2:$J$18))</f>
        <v>-0.86213684913287847</v>
      </c>
    </row>
    <row r="521" spans="3:18" x14ac:dyDescent="0.35">
      <c r="C521">
        <v>0.25330799999999998</v>
      </c>
      <c r="L521">
        <f t="shared" si="43"/>
        <v>520</v>
      </c>
      <c r="M521">
        <f t="shared" si="44"/>
        <v>1923.2499999999607</v>
      </c>
      <c r="N521">
        <f t="shared" si="40"/>
        <v>0</v>
      </c>
      <c r="O521">
        <f t="array" ref="O521">+SUM($F$2:$F$18*SIN(2*PI()*(M521)*$B$1/$E$2:$E$18+$G$2:$G$18))</f>
        <v>-0.33179623162774213</v>
      </c>
      <c r="P521">
        <f t="shared" si="41"/>
        <v>0</v>
      </c>
      <c r="Q521">
        <f t="shared" si="42"/>
        <v>0.1316750725043917</v>
      </c>
      <c r="R521">
        <f t="array" ref="R521">+$B$2*SIN(Q521*$B$3+$B$4)+Q521+$B$9*SIN(PI()*M521+$B$10)+$B$11*SIN(2*PI()*M521+$B$12) + SUM($I$2:$I$18*SIN(2*PI()*M521*$H$2:$H$18+$J$2:$J$18))</f>
        <v>-2.1862333380850414</v>
      </c>
    </row>
    <row r="522" spans="3:18" x14ac:dyDescent="0.35">
      <c r="C522">
        <v>0.25905400000000001</v>
      </c>
      <c r="L522">
        <f t="shared" si="43"/>
        <v>521</v>
      </c>
      <c r="M522">
        <f t="shared" si="44"/>
        <v>1923.3333333332939</v>
      </c>
      <c r="N522">
        <f t="shared" si="40"/>
        <v>0</v>
      </c>
      <c r="O522">
        <f t="array" ref="O522">+SUM($F$2:$F$18*SIN(2*PI()*(M522)*$B$1/$E$2:$E$18+$G$2:$G$18))</f>
        <v>-1.0450568527924291</v>
      </c>
      <c r="P522">
        <f t="shared" si="41"/>
        <v>0</v>
      </c>
      <c r="Q522">
        <f t="shared" si="42"/>
        <v>0.13137148493349679</v>
      </c>
      <c r="R522">
        <f t="array" ref="R522">+$B$2*SIN(Q522*$B$3+$B$4)+Q522+$B$9*SIN(PI()*M522+$B$10)+$B$11*SIN(2*PI()*M522+$B$12) + SUM($I$2:$I$18*SIN(2*PI()*M522*$H$2:$H$18+$J$2:$J$18))</f>
        <v>-3.1447976051611262</v>
      </c>
    </row>
    <row r="523" spans="3:18" x14ac:dyDescent="0.35">
      <c r="C523">
        <v>0.34787599999999996</v>
      </c>
      <c r="L523">
        <f t="shared" si="43"/>
        <v>522</v>
      </c>
      <c r="M523">
        <f t="shared" si="44"/>
        <v>1923.4166666666272</v>
      </c>
      <c r="N523">
        <f t="shared" si="40"/>
        <v>0</v>
      </c>
      <c r="O523">
        <f t="array" ref="O523">+SUM($F$2:$F$18*SIN(2*PI()*(M523)*$B$1/$E$2:$E$18+$G$2:$G$18))</f>
        <v>-0.59264073209096102</v>
      </c>
      <c r="P523">
        <f t="shared" si="41"/>
        <v>0</v>
      </c>
      <c r="Q523">
        <f t="shared" si="42"/>
        <v>0.13106859730839607</v>
      </c>
      <c r="R523">
        <f t="array" ref="R523">+$B$2*SIN(Q523*$B$3+$B$4)+Q523+$B$9*SIN(PI()*M523+$B$10)+$B$11*SIN(2*PI()*M523+$B$12) + SUM($I$2:$I$18*SIN(2*PI()*M523*$H$2:$H$18+$J$2:$J$18))</f>
        <v>-3.7508144774891656</v>
      </c>
    </row>
    <row r="524" spans="3:18" x14ac:dyDescent="0.35">
      <c r="C524">
        <v>0.450544</v>
      </c>
      <c r="L524">
        <f t="shared" si="43"/>
        <v>523</v>
      </c>
      <c r="M524">
        <f t="shared" si="44"/>
        <v>1923.4999999999604</v>
      </c>
      <c r="N524">
        <f t="shared" si="40"/>
        <v>0</v>
      </c>
      <c r="O524">
        <f t="array" ref="O524">+SUM($F$2:$F$18*SIN(2*PI()*(M524)*$B$1/$E$2:$E$18+$G$2:$G$18))</f>
        <v>0.27534652499198059</v>
      </c>
      <c r="P524">
        <f t="shared" si="41"/>
        <v>0</v>
      </c>
      <c r="Q524">
        <f t="shared" si="42"/>
        <v>0.1307664080153077</v>
      </c>
      <c r="R524">
        <f t="array" ref="R524">+$B$2*SIN(Q524*$B$3+$B$4)+Q524+$B$9*SIN(PI()*M524+$B$10)+$B$11*SIN(2*PI()*M524+$B$12) + SUM($I$2:$I$18*SIN(2*PI()*M524*$H$2:$H$18+$J$2:$J$18))</f>
        <v>-4.083639018447343</v>
      </c>
    </row>
    <row r="525" spans="3:18" x14ac:dyDescent="0.35">
      <c r="C525">
        <v>0.60090399999999999</v>
      </c>
      <c r="L525">
        <f t="shared" si="43"/>
        <v>524</v>
      </c>
      <c r="M525">
        <f t="shared" si="44"/>
        <v>1923.5833333332937</v>
      </c>
      <c r="N525">
        <f t="shared" si="40"/>
        <v>0</v>
      </c>
      <c r="O525">
        <f t="array" ref="O525">+SUM($F$2:$F$18*SIN(2*PI()*(M525)*$B$1/$E$2:$E$18+$G$2:$G$18))</f>
        <v>0.41067816351996589</v>
      </c>
      <c r="P525">
        <f t="shared" si="41"/>
        <v>0</v>
      </c>
      <c r="Q525">
        <f t="shared" si="42"/>
        <v>0.13046491544417055</v>
      </c>
      <c r="R525">
        <f t="array" ref="R525">+$B$2*SIN(Q525*$B$3+$B$4)+Q525+$B$9*SIN(PI()*M525+$B$10)+$B$11*SIN(2*PI()*M525+$B$12) + SUM($I$2:$I$18*SIN(2*PI()*M525*$H$2:$H$18+$J$2:$J$18))</f>
        <v>-4.2604457158680251</v>
      </c>
    </row>
    <row r="526" spans="3:18" x14ac:dyDescent="0.35">
      <c r="C526">
        <v>0.34818399999999999</v>
      </c>
      <c r="L526">
        <f t="shared" si="43"/>
        <v>525</v>
      </c>
      <c r="M526">
        <f t="shared" si="44"/>
        <v>1923.666666666627</v>
      </c>
      <c r="N526">
        <f t="shared" si="40"/>
        <v>0</v>
      </c>
      <c r="O526">
        <f t="array" ref="O526">+SUM($F$2:$F$18*SIN(2*PI()*(M526)*$B$1/$E$2:$E$18+$G$2:$G$18))</f>
        <v>0.48529766225270615</v>
      </c>
      <c r="P526">
        <f t="shared" si="41"/>
        <v>0</v>
      </c>
      <c r="Q526">
        <f t="shared" si="42"/>
        <v>0.13016411798863556</v>
      </c>
      <c r="R526">
        <f t="array" ref="R526">+$B$2*SIN(Q526*$B$3+$B$4)+Q526+$B$9*SIN(PI()*M526+$B$10)+$B$11*SIN(2*PI()*M526+$B$12) + SUM($I$2:$I$18*SIN(2*PI()*M526*$H$2:$H$18+$J$2:$J$18))</f>
        <v>-4.3989528414041974</v>
      </c>
    </row>
    <row r="527" spans="3:18" x14ac:dyDescent="0.35">
      <c r="C527">
        <v>0.40777200000000002</v>
      </c>
      <c r="L527">
        <f t="shared" si="43"/>
        <v>526</v>
      </c>
      <c r="M527">
        <f t="shared" si="44"/>
        <v>1923.7499999999602</v>
      </c>
      <c r="N527">
        <f t="shared" si="40"/>
        <v>0</v>
      </c>
      <c r="O527">
        <f t="array" ref="O527">+SUM($F$2:$F$18*SIN(2*PI()*(M527)*$B$1/$E$2:$E$18+$G$2:$G$18))</f>
        <v>0.80429616954251248</v>
      </c>
      <c r="P527">
        <f t="shared" si="41"/>
        <v>0</v>
      </c>
      <c r="Q527">
        <f t="shared" si="42"/>
        <v>0.12986401404605727</v>
      </c>
      <c r="R527">
        <f t="array" ref="R527">+$B$2*SIN(Q527*$B$3+$B$4)+Q527+$B$9*SIN(PI()*M527+$B$10)+$B$11*SIN(2*PI()*M527+$B$12) + SUM($I$2:$I$18*SIN(2*PI()*M527*$H$2:$H$18+$J$2:$J$18))</f>
        <v>-4.5816859489031438</v>
      </c>
    </row>
    <row r="528" spans="3:18" x14ac:dyDescent="0.35">
      <c r="C528">
        <v>0.17659</v>
      </c>
      <c r="L528">
        <f t="shared" si="43"/>
        <v>527</v>
      </c>
      <c r="M528">
        <f t="shared" si="44"/>
        <v>1923.8333333332935</v>
      </c>
      <c r="N528">
        <f t="shared" si="40"/>
        <v>0</v>
      </c>
      <c r="O528">
        <f t="array" ref="O528">+SUM($F$2:$F$18*SIN(2*PI()*(M528)*$B$1/$E$2:$E$18+$G$2:$G$18))</f>
        <v>0.75279059787007907</v>
      </c>
      <c r="P528">
        <f t="shared" si="41"/>
        <v>0</v>
      </c>
      <c r="Q528">
        <f t="shared" si="42"/>
        <v>0.12956460201748526</v>
      </c>
      <c r="R528">
        <f t="array" ref="R528">+$B$2*SIN(Q528*$B$3+$B$4)+Q528+$B$9*SIN(PI()*M528+$B$10)+$B$11*SIN(2*PI()*M528+$B$12) + SUM($I$2:$I$18*SIN(2*PI()*M528*$H$2:$H$18+$J$2:$J$18))</f>
        <v>-4.8315459460228327</v>
      </c>
    </row>
    <row r="529" spans="3:18" x14ac:dyDescent="0.35">
      <c r="C529">
        <v>0.46694200000000002</v>
      </c>
      <c r="L529">
        <f t="shared" si="43"/>
        <v>528</v>
      </c>
      <c r="M529">
        <f t="shared" si="44"/>
        <v>1923.9166666666267</v>
      </c>
      <c r="N529">
        <f t="shared" si="40"/>
        <v>0</v>
      </c>
      <c r="O529">
        <f t="array" ref="O529">+SUM($F$2:$F$18*SIN(2*PI()*(M529)*$B$1/$E$2:$E$18+$G$2:$G$18))</f>
        <v>0.2757765168266717</v>
      </c>
      <c r="P529">
        <f t="shared" si="41"/>
        <v>0</v>
      </c>
      <c r="Q529">
        <f t="shared" si="42"/>
        <v>0.12926588030765562</v>
      </c>
      <c r="R529">
        <f t="array" ref="R529">+$B$2*SIN(Q529*$B$3+$B$4)+Q529+$B$9*SIN(PI()*M529+$B$10)+$B$11*SIN(2*PI()*M529+$B$12) + SUM($I$2:$I$18*SIN(2*PI()*M529*$H$2:$H$18+$J$2:$J$18))</f>
        <v>-5.1053209471508731</v>
      </c>
    </row>
    <row r="530" spans="3:18" x14ac:dyDescent="0.35">
      <c r="C530">
        <v>0.62806600000000001</v>
      </c>
      <c r="L530">
        <f t="shared" si="43"/>
        <v>529</v>
      </c>
      <c r="M530">
        <f t="shared" si="44"/>
        <v>1923.99999999996</v>
      </c>
      <c r="N530">
        <f t="shared" si="40"/>
        <v>200</v>
      </c>
      <c r="O530">
        <f t="array" ref="O530">+SUM($F$2:$F$18*SIN(2*PI()*(M530)*$B$1/$E$2:$E$18+$G$2:$G$18))</f>
        <v>-0.54341287107364045</v>
      </c>
      <c r="P530">
        <f t="shared" si="41"/>
        <v>-108.68257421472809</v>
      </c>
      <c r="Q530">
        <f t="shared" si="42"/>
        <v>-0.12160865190842854</v>
      </c>
      <c r="R530">
        <f t="array" ref="R530">+$B$2*SIN(Q530*$B$3+$B$4)+Q530+$B$9*SIN(PI()*M530+$B$10)+$B$11*SIN(2*PI()*M530+$B$12) + SUM($I$2:$I$18*SIN(2*PI()*M530*$H$2:$H$18+$J$2:$J$18))</f>
        <v>-12.106021702709338</v>
      </c>
    </row>
    <row r="531" spans="3:18" x14ac:dyDescent="0.35">
      <c r="C531">
        <v>0.77688000000000001</v>
      </c>
      <c r="L531">
        <f t="shared" si="43"/>
        <v>530</v>
      </c>
      <c r="M531">
        <f t="shared" si="44"/>
        <v>1924.0833333332932</v>
      </c>
      <c r="N531">
        <f t="shared" si="40"/>
        <v>0</v>
      </c>
      <c r="O531">
        <f t="array" ref="O531">+SUM($F$2:$F$18*SIN(2*PI()*(M531)*$B$1/$E$2:$E$18+$G$2:$G$18))</f>
        <v>-0.99459966464779814</v>
      </c>
      <c r="P531">
        <f t="shared" si="41"/>
        <v>0</v>
      </c>
      <c r="Q531">
        <f t="shared" si="42"/>
        <v>-0.12132827328755134</v>
      </c>
      <c r="R531">
        <f t="array" ref="R531">+$B$2*SIN(Q531*$B$3+$B$4)+Q531+$B$9*SIN(PI()*M531+$B$10)+$B$11*SIN(2*PI()*M531+$B$12) + SUM($I$2:$I$18*SIN(2*PI()*M531*$H$2:$H$18+$J$2:$J$18))</f>
        <v>-12.105980748991012</v>
      </c>
    </row>
    <row r="532" spans="3:18" x14ac:dyDescent="0.35">
      <c r="C532">
        <v>0.8333839999999999</v>
      </c>
      <c r="L532">
        <f t="shared" si="43"/>
        <v>531</v>
      </c>
      <c r="M532">
        <f t="shared" si="44"/>
        <v>1924.1666666666265</v>
      </c>
      <c r="N532">
        <f t="shared" si="40"/>
        <v>0</v>
      </c>
      <c r="O532">
        <f t="array" ref="O532">+SUM($F$2:$F$18*SIN(2*PI()*(M532)*$B$1/$E$2:$E$18+$G$2:$G$18))</f>
        <v>-0.30255139358601196</v>
      </c>
      <c r="P532">
        <f t="shared" si="41"/>
        <v>0</v>
      </c>
      <c r="Q532">
        <f t="shared" si="42"/>
        <v>-0.12104854110234967</v>
      </c>
      <c r="R532">
        <f t="array" ref="R532">+$B$2*SIN(Q532*$B$3+$B$4)+Q532+$B$9*SIN(PI()*M532+$B$10)+$B$11*SIN(2*PI()*M532+$B$12) + SUM($I$2:$I$18*SIN(2*PI()*M532*$H$2:$H$18+$J$2:$J$18))</f>
        <v>-11.807483771840452</v>
      </c>
    </row>
    <row r="533" spans="3:18" x14ac:dyDescent="0.35">
      <c r="C533">
        <v>0.78065799999999996</v>
      </c>
      <c r="L533">
        <f t="shared" si="43"/>
        <v>532</v>
      </c>
      <c r="M533">
        <f t="shared" si="44"/>
        <v>1924.2499999999598</v>
      </c>
      <c r="N533">
        <f t="shared" si="40"/>
        <v>0</v>
      </c>
      <c r="O533">
        <f t="array" ref="O533">+SUM($F$2:$F$18*SIN(2*PI()*(M533)*$B$1/$E$2:$E$18+$G$2:$G$18))</f>
        <v>0.51231902763231352</v>
      </c>
      <c r="P533">
        <f t="shared" si="41"/>
        <v>0</v>
      </c>
      <c r="Q533">
        <f t="shared" si="42"/>
        <v>-0.12076945386241357</v>
      </c>
      <c r="R533">
        <f t="array" ref="R533">+$B$2*SIN(Q533*$B$3+$B$4)+Q533+$B$9*SIN(PI()*M533+$B$10)+$B$11*SIN(2*PI()*M533+$B$12) + SUM($I$2:$I$18*SIN(2*PI()*M533*$H$2:$H$18+$J$2:$J$18))</f>
        <v>-11.152630887678935</v>
      </c>
    </row>
    <row r="534" spans="3:18" x14ac:dyDescent="0.35">
      <c r="C534">
        <v>0.52485399999999993</v>
      </c>
      <c r="L534">
        <f t="shared" si="43"/>
        <v>533</v>
      </c>
      <c r="M534">
        <f t="shared" si="44"/>
        <v>1924.333333333293</v>
      </c>
      <c r="N534">
        <f t="shared" si="40"/>
        <v>0</v>
      </c>
      <c r="O534">
        <f t="array" ref="O534">+SUM($F$2:$F$18*SIN(2*PI()*(M534)*$B$1/$E$2:$E$18+$G$2:$G$18))</f>
        <v>0.70411239979378104</v>
      </c>
      <c r="P534">
        <f t="shared" si="41"/>
        <v>0</v>
      </c>
      <c r="Q534">
        <f t="shared" si="42"/>
        <v>-0.12049101008076937</v>
      </c>
      <c r="R534">
        <f t="array" ref="R534">+$B$2*SIN(Q534*$B$3+$B$4)+Q534+$B$9*SIN(PI()*M534+$B$10)+$B$11*SIN(2*PI()*M534+$B$12) + SUM($I$2:$I$18*SIN(2*PI()*M534*$H$2:$H$18+$J$2:$J$18))</f>
        <v>-10.154964428283611</v>
      </c>
    </row>
    <row r="535" spans="3:18" x14ac:dyDescent="0.35">
      <c r="C535">
        <v>0.35827599999999998</v>
      </c>
      <c r="L535">
        <f t="shared" si="43"/>
        <v>534</v>
      </c>
      <c r="M535">
        <f t="shared" si="44"/>
        <v>1924.4166666666263</v>
      </c>
      <c r="N535">
        <f t="shared" si="40"/>
        <v>0</v>
      </c>
      <c r="O535">
        <f t="array" ref="O535">+SUM($F$2:$F$18*SIN(2*PI()*(M535)*$B$1/$E$2:$E$18+$G$2:$G$18))</f>
        <v>0.88363899788844125</v>
      </c>
      <c r="P535">
        <f t="shared" si="41"/>
        <v>0</v>
      </c>
      <c r="Q535">
        <f t="shared" si="42"/>
        <v>-0.12021320827387175</v>
      </c>
      <c r="R535">
        <f t="array" ref="R535">+$B$2*SIN(Q535*$B$3+$B$4)+Q535+$B$9*SIN(PI()*M535+$B$10)+$B$11*SIN(2*PI()*M535+$B$12) + SUM($I$2:$I$18*SIN(2*PI()*M535*$H$2:$H$18+$J$2:$J$18))</f>
        <v>-8.9039414254930289</v>
      </c>
    </row>
    <row r="536" spans="3:18" x14ac:dyDescent="0.35">
      <c r="C536">
        <v>0.15323999999999999</v>
      </c>
      <c r="L536">
        <f t="shared" si="43"/>
        <v>535</v>
      </c>
      <c r="M536">
        <f t="shared" si="44"/>
        <v>1924.4999999999595</v>
      </c>
      <c r="N536">
        <f t="shared" si="40"/>
        <v>0</v>
      </c>
      <c r="O536">
        <f t="array" ref="O536">+SUM($F$2:$F$18*SIN(2*PI()*(M536)*$B$1/$E$2:$E$18+$G$2:$G$18))</f>
        <v>0.88708790723952125</v>
      </c>
      <c r="P536">
        <f t="shared" si="41"/>
        <v>0</v>
      </c>
      <c r="Q536">
        <f t="shared" si="42"/>
        <v>-0.11993604696159578</v>
      </c>
      <c r="R536">
        <f t="array" ref="R536">+$B$2*SIN(Q536*$B$3+$B$4)+Q536+$B$9*SIN(PI()*M536+$B$10)+$B$11*SIN(2*PI()*M536+$B$12) + SUM($I$2:$I$18*SIN(2*PI()*M536*$H$2:$H$18+$J$2:$J$18))</f>
        <v>-7.5492883311330656</v>
      </c>
    </row>
    <row r="537" spans="3:18" x14ac:dyDescent="0.35">
      <c r="C537">
        <v>-0.20410599999999998</v>
      </c>
      <c r="L537">
        <f t="shared" si="43"/>
        <v>536</v>
      </c>
      <c r="M537">
        <f t="shared" si="44"/>
        <v>1924.5833333332928</v>
      </c>
      <c r="N537">
        <f t="shared" si="40"/>
        <v>0</v>
      </c>
      <c r="O537">
        <f t="array" ref="O537">+SUM($F$2:$F$18*SIN(2*PI()*(M537)*$B$1/$E$2:$E$18+$G$2:$G$18))</f>
        <v>0.52121700319469588</v>
      </c>
      <c r="P537">
        <f t="shared" si="41"/>
        <v>0</v>
      </c>
      <c r="Q537">
        <f t="shared" si="42"/>
        <v>-0.11965952466722912</v>
      </c>
      <c r="R537">
        <f t="array" ref="R537">+$B$2*SIN(Q537*$B$3+$B$4)+Q537+$B$9*SIN(PI()*M537+$B$10)+$B$11*SIN(2*PI()*M537+$B$12) + SUM($I$2:$I$18*SIN(2*PI()*M537*$H$2:$H$18+$J$2:$J$18))</f>
        <v>-6.2690314457126295</v>
      </c>
    </row>
    <row r="538" spans="3:18" x14ac:dyDescent="0.35">
      <c r="C538">
        <v>-0.31838</v>
      </c>
      <c r="L538">
        <f t="shared" si="43"/>
        <v>537</v>
      </c>
      <c r="M538">
        <f t="shared" si="44"/>
        <v>1924.666666666626</v>
      </c>
      <c r="N538">
        <f t="shared" si="40"/>
        <v>0</v>
      </c>
      <c r="O538">
        <f t="array" ref="O538">+SUM($F$2:$F$18*SIN(2*PI()*(M538)*$B$1/$E$2:$E$18+$G$2:$G$18))</f>
        <v>6.3296388432047768E-2</v>
      </c>
      <c r="P538">
        <f t="shared" si="41"/>
        <v>0</v>
      </c>
      <c r="Q538">
        <f t="shared" si="42"/>
        <v>-0.1193836399174641</v>
      </c>
      <c r="R538">
        <f t="array" ref="R538">+$B$2*SIN(Q538*$B$3+$B$4)+Q538+$B$9*SIN(PI()*M538+$B$10)+$B$11*SIN(2*PI()*M538+$B$12) + SUM($I$2:$I$18*SIN(2*PI()*M538*$H$2:$H$18+$J$2:$J$18))</f>
        <v>-5.2293987776189903</v>
      </c>
    </row>
    <row r="539" spans="3:18" x14ac:dyDescent="0.35">
      <c r="C539">
        <v>-0.11419</v>
      </c>
      <c r="L539">
        <f t="shared" si="43"/>
        <v>538</v>
      </c>
      <c r="M539">
        <f t="shared" si="44"/>
        <v>1924.7499999999593</v>
      </c>
      <c r="N539">
        <f t="shared" si="40"/>
        <v>0</v>
      </c>
      <c r="O539">
        <f t="array" ref="O539">+SUM($F$2:$F$18*SIN(2*PI()*(M539)*$B$1/$E$2:$E$18+$G$2:$G$18))</f>
        <v>-0.6887547119477645</v>
      </c>
      <c r="P539">
        <f t="shared" si="41"/>
        <v>0</v>
      </c>
      <c r="Q539">
        <f t="shared" si="42"/>
        <v>-0.11910839124238988</v>
      </c>
      <c r="R539">
        <f t="array" ref="R539">+$B$2*SIN(Q539*$B$3+$B$4)+Q539+$B$9*SIN(PI()*M539+$B$10)+$B$11*SIN(2*PI()*M539+$B$12) + SUM($I$2:$I$18*SIN(2*PI()*M539*$H$2:$H$18+$J$2:$J$18))</f>
        <v>-4.547015004336326</v>
      </c>
    </row>
    <row r="540" spans="3:18" x14ac:dyDescent="0.35">
      <c r="C540">
        <v>-0.23153799999999999</v>
      </c>
      <c r="L540">
        <f t="shared" si="43"/>
        <v>539</v>
      </c>
      <c r="M540">
        <f t="shared" si="44"/>
        <v>1924.8333333332926</v>
      </c>
      <c r="N540">
        <f t="shared" si="40"/>
        <v>0</v>
      </c>
      <c r="O540">
        <f t="array" ref="O540">+SUM($F$2:$F$18*SIN(2*PI()*(M540)*$B$1/$E$2:$E$18+$G$2:$G$18))</f>
        <v>-1.0012962753827288</v>
      </c>
      <c r="P540">
        <f t="shared" si="41"/>
        <v>0</v>
      </c>
      <c r="Q540">
        <f t="shared" si="42"/>
        <v>-0.1188337771754846</v>
      </c>
      <c r="R540">
        <f t="array" ref="R540">+$B$2*SIN(Q540*$B$3+$B$4)+Q540+$B$9*SIN(PI()*M540+$B$10)+$B$11*SIN(2*PI()*M540+$B$12) + SUM($I$2:$I$18*SIN(2*PI()*M540*$H$2:$H$18+$J$2:$J$18))</f>
        <v>-4.2632606016181676</v>
      </c>
    </row>
    <row r="541" spans="3:18" x14ac:dyDescent="0.35">
      <c r="C541">
        <v>-0.205814</v>
      </c>
      <c r="L541">
        <f t="shared" si="43"/>
        <v>540</v>
      </c>
      <c r="M541">
        <f t="shared" si="44"/>
        <v>1924.9166666666258</v>
      </c>
      <c r="N541">
        <f t="shared" si="40"/>
        <v>0</v>
      </c>
      <c r="O541">
        <f t="array" ref="O541">+SUM($F$2:$F$18*SIN(2*PI()*(M541)*$B$1/$E$2:$E$18+$G$2:$G$18))</f>
        <v>-0.13723165643517637</v>
      </c>
      <c r="P541">
        <f t="shared" si="41"/>
        <v>0</v>
      </c>
      <c r="Q541">
        <f t="shared" si="42"/>
        <v>-0.1185597962536076</v>
      </c>
      <c r="R541">
        <f t="array" ref="R541">+$B$2*SIN(Q541*$B$3+$B$4)+Q541+$B$9*SIN(PI()*M541+$B$10)+$B$11*SIN(2*PI()*M541+$B$12) + SUM($I$2:$I$18*SIN(2*PI()*M541*$H$2:$H$18+$J$2:$J$18))</f>
        <v>-4.3374818741382253</v>
      </c>
    </row>
    <row r="542" spans="3:18" x14ac:dyDescent="0.35">
      <c r="C542">
        <v>-0.346244</v>
      </c>
      <c r="L542">
        <f t="shared" si="43"/>
        <v>541</v>
      </c>
      <c r="M542">
        <f t="shared" si="44"/>
        <v>1924.9999999999591</v>
      </c>
      <c r="N542">
        <f t="shared" si="40"/>
        <v>200</v>
      </c>
      <c r="O542">
        <f t="array" ref="O542">+SUM($F$2:$F$18*SIN(2*PI()*(M542)*$B$1/$E$2:$E$18+$G$2:$G$18))</f>
        <v>0.74947977815183364</v>
      </c>
      <c r="P542">
        <f t="shared" si="41"/>
        <v>149.89595563036673</v>
      </c>
      <c r="Q542">
        <f t="shared" si="42"/>
        <v>0.22731084935265952</v>
      </c>
      <c r="R542">
        <f t="array" ref="R542">+$B$2*SIN(Q542*$B$3+$B$4)+Q542+$B$9*SIN(PI()*M542+$B$10)+$B$11*SIN(2*PI()*M542+$B$12) + SUM($I$2:$I$18*SIN(2*PI()*M542*$H$2:$H$18+$J$2:$J$18))</f>
        <v>10.720849059480733</v>
      </c>
    </row>
    <row r="543" spans="3:18" x14ac:dyDescent="0.35">
      <c r="C543">
        <v>-0.11436600000000001</v>
      </c>
      <c r="L543">
        <f t="shared" si="43"/>
        <v>542</v>
      </c>
      <c r="M543">
        <f t="shared" si="44"/>
        <v>1925.0833333332923</v>
      </c>
      <c r="N543">
        <f t="shared" si="40"/>
        <v>0</v>
      </c>
      <c r="O543">
        <f t="array" ref="O543">+SUM($F$2:$F$18*SIN(2*PI()*(M543)*$B$1/$E$2:$E$18+$G$2:$G$18))</f>
        <v>0.97062634621070576</v>
      </c>
      <c r="P543">
        <f t="shared" si="41"/>
        <v>0</v>
      </c>
      <c r="Q543">
        <f t="shared" si="42"/>
        <v>0.22678676573318224</v>
      </c>
      <c r="R543">
        <f t="array" ref="R543">+$B$2*SIN(Q543*$B$3+$B$4)+Q543+$B$9*SIN(PI()*M543+$B$10)+$B$11*SIN(2*PI()*M543+$B$12) + SUM($I$2:$I$18*SIN(2*PI()*M543*$H$2:$H$18+$J$2:$J$18))</f>
        <v>10.280218875510492</v>
      </c>
    </row>
    <row r="544" spans="3:18" x14ac:dyDescent="0.35">
      <c r="C544">
        <v>-0.120952</v>
      </c>
      <c r="L544">
        <f t="shared" si="43"/>
        <v>543</v>
      </c>
      <c r="M544">
        <f t="shared" si="44"/>
        <v>1925.1666666666256</v>
      </c>
      <c r="N544">
        <f t="shared" si="40"/>
        <v>0</v>
      </c>
      <c r="O544">
        <f t="array" ref="O544">+SUM($F$2:$F$18*SIN(2*PI()*(M544)*$B$1/$E$2:$E$18+$G$2:$G$18))</f>
        <v>0.81758142302679793</v>
      </c>
      <c r="P544">
        <f t="shared" si="41"/>
        <v>0</v>
      </c>
      <c r="Q544">
        <f t="shared" si="42"/>
        <v>0.22626389043104214</v>
      </c>
      <c r="R544">
        <f t="array" ref="R544">+$B$2*SIN(Q544*$B$3+$B$4)+Q544+$B$9*SIN(PI()*M544+$B$10)+$B$11*SIN(2*PI()*M544+$B$12) + SUM($I$2:$I$18*SIN(2*PI()*M544*$H$2:$H$18+$J$2:$J$18))</f>
        <v>9.8816837632105887</v>
      </c>
    </row>
    <row r="545" spans="3:18" x14ac:dyDescent="0.35">
      <c r="C545">
        <v>-0.13522999999999999</v>
      </c>
      <c r="L545">
        <f t="shared" si="43"/>
        <v>544</v>
      </c>
      <c r="M545">
        <f t="shared" si="44"/>
        <v>1925.2499999999588</v>
      </c>
      <c r="N545">
        <f t="shared" si="40"/>
        <v>0</v>
      </c>
      <c r="O545">
        <f t="array" ref="O545">+SUM($F$2:$F$18*SIN(2*PI()*(M545)*$B$1/$E$2:$E$18+$G$2:$G$18))</f>
        <v>0.26156807691329576</v>
      </c>
      <c r="P545">
        <f t="shared" si="41"/>
        <v>0</v>
      </c>
      <c r="Q545">
        <f t="shared" si="42"/>
        <v>0.22574222066036551</v>
      </c>
      <c r="R545">
        <f t="array" ref="R545">+$B$2*SIN(Q545*$B$3+$B$4)+Q545+$B$9*SIN(PI()*M545+$B$10)+$B$11*SIN(2*PI()*M545+$B$12) + SUM($I$2:$I$18*SIN(2*PI()*M545*$H$2:$H$18+$J$2:$J$18))</f>
        <v>9.6307349079931637</v>
      </c>
    </row>
    <row r="546" spans="3:18" x14ac:dyDescent="0.35">
      <c r="C546">
        <v>-1.2587999999999998E-2</v>
      </c>
      <c r="L546">
        <f t="shared" si="43"/>
        <v>545</v>
      </c>
      <c r="M546">
        <f t="shared" si="44"/>
        <v>1925.3333333332921</v>
      </c>
      <c r="N546">
        <f t="shared" si="40"/>
        <v>0</v>
      </c>
      <c r="O546">
        <f t="array" ref="O546">+SUM($F$2:$F$18*SIN(2*PI()*(M546)*$B$1/$E$2:$E$18+$G$2:$G$18))</f>
        <v>-7.6943619090175441E-2</v>
      </c>
      <c r="P546">
        <f t="shared" si="41"/>
        <v>0</v>
      </c>
      <c r="Q546">
        <f t="shared" si="42"/>
        <v>0.22522175364170166</v>
      </c>
      <c r="R546">
        <f t="array" ref="R546">+$B$2*SIN(Q546*$B$3+$B$4)+Q546+$B$9*SIN(PI()*M546+$B$10)+$B$11*SIN(2*PI()*M546+$B$12) + SUM($I$2:$I$18*SIN(2*PI()*M546*$H$2:$H$18+$J$2:$J$18))</f>
        <v>9.5675211354825969</v>
      </c>
    </row>
    <row r="547" spans="3:18" x14ac:dyDescent="0.35">
      <c r="C547">
        <v>0.26390000000000002</v>
      </c>
      <c r="L547">
        <f t="shared" si="43"/>
        <v>546</v>
      </c>
      <c r="M547">
        <f t="shared" si="44"/>
        <v>1925.4166666666254</v>
      </c>
      <c r="N547">
        <f t="shared" si="40"/>
        <v>0</v>
      </c>
      <c r="O547">
        <f t="array" ref="O547">+SUM($F$2:$F$18*SIN(2*PI()*(M547)*$B$1/$E$2:$E$18+$G$2:$G$18))</f>
        <v>-0.15537398532870467</v>
      </c>
      <c r="P547">
        <f t="shared" si="41"/>
        <v>0</v>
      </c>
      <c r="Q547">
        <f t="shared" si="42"/>
        <v>0.2247024866020082</v>
      </c>
      <c r="R547">
        <f t="array" ref="R547">+$B$2*SIN(Q547*$B$3+$B$4)+Q547+$B$9*SIN(PI()*M547+$B$10)+$B$11*SIN(2*PI()*M547+$B$12) + SUM($I$2:$I$18*SIN(2*PI()*M547*$H$2:$H$18+$J$2:$J$18))</f>
        <v>9.6592043596241197</v>
      </c>
    </row>
    <row r="548" spans="3:18" x14ac:dyDescent="0.35">
      <c r="C548">
        <v>0.42654000000000003</v>
      </c>
      <c r="L548">
        <f t="shared" si="43"/>
        <v>547</v>
      </c>
      <c r="M548">
        <f t="shared" si="44"/>
        <v>1925.4999999999586</v>
      </c>
      <c r="N548">
        <f t="shared" si="40"/>
        <v>0</v>
      </c>
      <c r="O548">
        <f t="array" ref="O548">+SUM($F$2:$F$18*SIN(2*PI()*(M548)*$B$1/$E$2:$E$18+$G$2:$G$18))</f>
        <v>-0.86016250877509137</v>
      </c>
      <c r="P548">
        <f t="shared" si="41"/>
        <v>0</v>
      </c>
      <c r="Q548">
        <f t="shared" si="42"/>
        <v>0.22418441677463616</v>
      </c>
      <c r="R548">
        <f t="array" ref="R548">+$B$2*SIN(Q548*$B$3+$B$4)+Q548+$B$9*SIN(PI()*M548+$B$10)+$B$11*SIN(2*PI()*M548+$B$12) + SUM($I$2:$I$18*SIN(2*PI()*M548*$H$2:$H$18+$J$2:$J$18))</f>
        <v>9.8124845016218245</v>
      </c>
    </row>
    <row r="549" spans="3:18" x14ac:dyDescent="0.35">
      <c r="C549">
        <v>0.51841199999999998</v>
      </c>
      <c r="L549">
        <f t="shared" si="43"/>
        <v>548</v>
      </c>
      <c r="M549">
        <f t="shared" si="44"/>
        <v>1925.5833333332919</v>
      </c>
      <c r="N549">
        <f t="shared" si="40"/>
        <v>0</v>
      </c>
      <c r="O549">
        <f t="array" ref="O549">+SUM($F$2:$F$18*SIN(2*PI()*(M549)*$B$1/$E$2:$E$18+$G$2:$G$18))</f>
        <v>-1.2097281721239517</v>
      </c>
      <c r="P549">
        <f t="shared" si="41"/>
        <v>0</v>
      </c>
      <c r="Q549">
        <f t="shared" si="42"/>
        <v>0.22366754139931533</v>
      </c>
      <c r="R549">
        <f t="array" ref="R549">+$B$2*SIN(Q549*$B$3+$B$4)+Q549+$B$9*SIN(PI()*M549+$B$10)+$B$11*SIN(2*PI()*M549+$B$12) + SUM($I$2:$I$18*SIN(2*PI()*M549*$H$2:$H$18+$J$2:$J$18))</f>
        <v>9.9026887551990637</v>
      </c>
    </row>
    <row r="550" spans="3:18" x14ac:dyDescent="0.35">
      <c r="C550">
        <v>0.70412600000000003</v>
      </c>
      <c r="L550">
        <f t="shared" si="43"/>
        <v>549</v>
      </c>
      <c r="M550">
        <f t="shared" si="44"/>
        <v>1925.6666666666251</v>
      </c>
      <c r="N550">
        <f t="shared" si="40"/>
        <v>0</v>
      </c>
      <c r="O550">
        <f t="array" ref="O550">+SUM($F$2:$F$18*SIN(2*PI()*(M550)*$B$1/$E$2:$E$18+$G$2:$G$18))</f>
        <v>-0.20796164732412098</v>
      </c>
      <c r="P550">
        <f t="shared" si="41"/>
        <v>0</v>
      </c>
      <c r="Q550">
        <f t="shared" si="42"/>
        <v>0.2231518577221395</v>
      </c>
      <c r="R550">
        <f t="array" ref="R550">+$B$2*SIN(Q550*$B$3+$B$4)+Q550+$B$9*SIN(PI()*M550+$B$10)+$B$11*SIN(2*PI()*M550+$B$12) + SUM($I$2:$I$18*SIN(2*PI()*M550*$H$2:$H$18+$J$2:$J$18))</f>
        <v>9.8113911147999051</v>
      </c>
    </row>
    <row r="551" spans="3:18" x14ac:dyDescent="0.35">
      <c r="C551">
        <v>0.54214799999999996</v>
      </c>
      <c r="L551">
        <f t="shared" si="43"/>
        <v>550</v>
      </c>
      <c r="M551">
        <f t="shared" si="44"/>
        <v>1925.7499999999584</v>
      </c>
      <c r="N551">
        <f t="shared" si="40"/>
        <v>0</v>
      </c>
      <c r="O551">
        <f t="array" ref="O551">+SUM($F$2:$F$18*SIN(2*PI()*(M551)*$B$1/$E$2:$E$18+$G$2:$G$18))</f>
        <v>0.85415068356372426</v>
      </c>
      <c r="P551">
        <f t="shared" si="41"/>
        <v>0</v>
      </c>
      <c r="Q551">
        <f t="shared" si="42"/>
        <v>0.22263736299555187</v>
      </c>
      <c r="R551">
        <f t="array" ref="R551">+$B$2*SIN(Q551*$B$3+$B$4)+Q551+$B$9*SIN(PI()*M551+$B$10)+$B$11*SIN(2*PI()*M551+$B$12) + SUM($I$2:$I$18*SIN(2*PI()*M551*$H$2:$H$18+$J$2:$J$18))</f>
        <v>9.4622656593689243</v>
      </c>
    </row>
    <row r="552" spans="3:18" x14ac:dyDescent="0.35">
      <c r="C552">
        <v>0.42017000000000004</v>
      </c>
      <c r="L552">
        <f t="shared" si="43"/>
        <v>551</v>
      </c>
      <c r="M552">
        <f t="shared" si="44"/>
        <v>1925.8333333332916</v>
      </c>
      <c r="N552">
        <f t="shared" si="40"/>
        <v>0</v>
      </c>
      <c r="O552">
        <f t="array" ref="O552">+SUM($F$2:$F$18*SIN(2*PI()*(M552)*$B$1/$E$2:$E$18+$G$2:$G$18))</f>
        <v>0.96723781606567105</v>
      </c>
      <c r="P552">
        <f t="shared" si="41"/>
        <v>0</v>
      </c>
      <c r="Q552">
        <f t="shared" si="42"/>
        <v>0.22212405447833031</v>
      </c>
      <c r="R552">
        <f t="array" ref="R552">+$B$2*SIN(Q552*$B$3+$B$4)+Q552+$B$9*SIN(PI()*M552+$B$10)+$B$11*SIN(2*PI()*M552+$B$12) + SUM($I$2:$I$18*SIN(2*PI()*M552*$H$2:$H$18+$J$2:$J$18))</f>
        <v>8.8453845672780869</v>
      </c>
    </row>
    <row r="553" spans="3:18" x14ac:dyDescent="0.35">
      <c r="C553">
        <v>0.48280400000000001</v>
      </c>
      <c r="L553">
        <f t="shared" si="43"/>
        <v>552</v>
      </c>
      <c r="M553">
        <f t="shared" si="44"/>
        <v>1925.9166666666249</v>
      </c>
      <c r="N553">
        <f t="shared" si="40"/>
        <v>0</v>
      </c>
      <c r="O553">
        <f t="array" ref="O553">+SUM($F$2:$F$18*SIN(2*PI()*(M553)*$B$1/$E$2:$E$18+$G$2:$G$18))</f>
        <v>0.12094599893891783</v>
      </c>
      <c r="P553">
        <f t="shared" si="41"/>
        <v>0</v>
      </c>
      <c r="Q553">
        <f t="shared" si="42"/>
        <v>0.22161192943557281</v>
      </c>
      <c r="R553">
        <f t="array" ref="R553">+$B$2*SIN(Q553*$B$3+$B$4)+Q553+$B$9*SIN(PI()*M553+$B$10)+$B$11*SIN(2*PI()*M553+$B$12) + SUM($I$2:$I$18*SIN(2*PI()*M553*$H$2:$H$18+$J$2:$J$18))</f>
        <v>8.0233098600505848</v>
      </c>
    </row>
    <row r="554" spans="3:18" x14ac:dyDescent="0.35">
      <c r="C554">
        <v>0.494668</v>
      </c>
      <c r="L554">
        <f t="shared" si="43"/>
        <v>553</v>
      </c>
      <c r="M554">
        <f t="shared" si="44"/>
        <v>1925.9999999999582</v>
      </c>
      <c r="N554">
        <f t="shared" si="40"/>
        <v>200</v>
      </c>
      <c r="O554">
        <f t="array" ref="O554">+SUM($F$2:$F$18*SIN(2*PI()*(M554)*$B$1/$E$2:$E$18+$G$2:$G$18))</f>
        <v>-0.94033616443908197</v>
      </c>
      <c r="P554">
        <f t="shared" si="41"/>
        <v>-188.0672328878164</v>
      </c>
      <c r="Q554">
        <f t="shared" si="42"/>
        <v>-0.21250329022966291</v>
      </c>
      <c r="R554">
        <f t="array" ref="R554">+$B$2*SIN(Q554*$B$3+$B$4)+Q554+$B$9*SIN(PI()*M554+$B$10)+$B$11*SIN(2*PI()*M554+$B$12) + SUM($I$2:$I$18*SIN(2*PI()*M554*$H$2:$H$18+$J$2:$J$18))</f>
        <v>0.17044029188618523</v>
      </c>
    </row>
    <row r="555" spans="3:18" x14ac:dyDescent="0.35">
      <c r="C555">
        <v>0.70038</v>
      </c>
      <c r="L555">
        <f t="shared" si="43"/>
        <v>554</v>
      </c>
      <c r="M555">
        <f t="shared" si="44"/>
        <v>1926.0833333332914</v>
      </c>
      <c r="N555">
        <f t="shared" si="40"/>
        <v>0</v>
      </c>
      <c r="O555">
        <f t="array" ref="O555">+SUM($F$2:$F$18*SIN(2*PI()*(M555)*$B$1/$E$2:$E$18+$G$2:$G$18))</f>
        <v>-0.78466762311924243</v>
      </c>
      <c r="P555">
        <f t="shared" si="41"/>
        <v>0</v>
      </c>
      <c r="Q555">
        <f t="shared" si="42"/>
        <v>-0.2120133466400298</v>
      </c>
      <c r="R555">
        <f t="array" ref="R555">+$B$2*SIN(Q555*$B$3+$B$4)+Q555+$B$9*SIN(PI()*M555+$B$10)+$B$11*SIN(2*PI()*M555+$B$12) + SUM($I$2:$I$18*SIN(2*PI()*M555*$H$2:$H$18+$J$2:$J$18))</f>
        <v>-0.68181867607894375</v>
      </c>
    </row>
    <row r="556" spans="3:18" x14ac:dyDescent="0.35">
      <c r="C556">
        <v>0.67377799999999999</v>
      </c>
      <c r="L556">
        <f t="shared" si="43"/>
        <v>555</v>
      </c>
      <c r="M556">
        <f t="shared" si="44"/>
        <v>1926.1666666666247</v>
      </c>
      <c r="N556">
        <f t="shared" si="40"/>
        <v>0</v>
      </c>
      <c r="O556">
        <f t="array" ref="O556">+SUM($F$2:$F$18*SIN(2*PI()*(M556)*$B$1/$E$2:$E$18+$G$2:$G$18))</f>
        <v>-0.23640973389072734</v>
      </c>
      <c r="P556">
        <f t="shared" si="41"/>
        <v>0</v>
      </c>
      <c r="Q556">
        <f t="shared" si="42"/>
        <v>-0.21152453265512311</v>
      </c>
      <c r="R556">
        <f t="array" ref="R556">+$B$2*SIN(Q556*$B$3+$B$4)+Q556+$B$9*SIN(PI()*M556+$B$10)+$B$11*SIN(2*PI()*M556+$B$12) + SUM($I$2:$I$18*SIN(2*PI()*M556*$H$2:$H$18+$J$2:$J$18))</f>
        <v>-1.328186486863308</v>
      </c>
    </row>
    <row r="557" spans="3:18" x14ac:dyDescent="0.35">
      <c r="C557">
        <v>0.8010259999999999</v>
      </c>
      <c r="L557">
        <f t="shared" si="43"/>
        <v>556</v>
      </c>
      <c r="M557">
        <f t="shared" si="44"/>
        <v>1926.2499999999579</v>
      </c>
      <c r="N557">
        <f t="shared" si="40"/>
        <v>0</v>
      </c>
      <c r="O557">
        <f t="array" ref="O557">+SUM($F$2:$F$18*SIN(2*PI()*(M557)*$B$1/$E$2:$E$18+$G$2:$G$18))</f>
        <v>-0.9500074545921694</v>
      </c>
      <c r="P557">
        <f t="shared" si="41"/>
        <v>0</v>
      </c>
      <c r="Q557">
        <f t="shared" si="42"/>
        <v>-0.21103684567054742</v>
      </c>
      <c r="R557">
        <f t="array" ref="R557">+$B$2*SIN(Q557*$B$3+$B$4)+Q557+$B$9*SIN(PI()*M557+$B$10)+$B$11*SIN(2*PI()*M557+$B$12) + SUM($I$2:$I$18*SIN(2*PI()*M557*$H$2:$H$18+$J$2:$J$18))</f>
        <v>-1.6747329453403634</v>
      </c>
    </row>
    <row r="558" spans="3:18" x14ac:dyDescent="0.35">
      <c r="C558">
        <v>0.83904000000000001</v>
      </c>
      <c r="L558">
        <f t="shared" si="43"/>
        <v>557</v>
      </c>
      <c r="M558">
        <f t="shared" si="44"/>
        <v>1926.3333333332912</v>
      </c>
      <c r="N558">
        <f t="shared" si="40"/>
        <v>0</v>
      </c>
      <c r="O558">
        <f t="array" ref="O558">+SUM($F$2:$F$18*SIN(2*PI()*(M558)*$B$1/$E$2:$E$18+$G$2:$G$18))</f>
        <v>-1.4272157913564625</v>
      </c>
      <c r="P558">
        <f t="shared" si="41"/>
        <v>0</v>
      </c>
      <c r="Q558">
        <f t="shared" si="42"/>
        <v>-0.21055028308791196</v>
      </c>
      <c r="R558">
        <f t="array" ref="R558">+$B$2*SIN(Q558*$B$3+$B$4)+Q558+$B$9*SIN(PI()*M558+$B$10)+$B$11*SIN(2*PI()*M558+$B$12) + SUM($I$2:$I$18*SIN(2*PI()*M558*$H$2:$H$18+$J$2:$J$18))</f>
        <v>-1.6979242859185799</v>
      </c>
    </row>
    <row r="559" spans="3:18" x14ac:dyDescent="0.35">
      <c r="C559">
        <v>0.74166600000000005</v>
      </c>
      <c r="L559">
        <f t="shared" si="43"/>
        <v>558</v>
      </c>
      <c r="M559">
        <f t="shared" si="44"/>
        <v>1926.4166666666245</v>
      </c>
      <c r="N559">
        <f t="shared" si="40"/>
        <v>0</v>
      </c>
      <c r="O559">
        <f t="array" ref="O559">+SUM($F$2:$F$18*SIN(2*PI()*(M559)*$B$1/$E$2:$E$18+$G$2:$G$18))</f>
        <v>-0.32638520899591833</v>
      </c>
      <c r="P559">
        <f t="shared" si="41"/>
        <v>0</v>
      </c>
      <c r="Q559">
        <f t="shared" si="42"/>
        <v>-0.21006484231481676</v>
      </c>
      <c r="R559">
        <f t="array" ref="R559">+$B$2*SIN(Q559*$B$3+$B$4)+Q559+$B$9*SIN(PI()*M559+$B$10)+$B$11*SIN(2*PI()*M559+$B$12) + SUM($I$2:$I$18*SIN(2*PI()*M559*$H$2:$H$18+$J$2:$J$18))</f>
        <v>-1.4505254711478091</v>
      </c>
    </row>
    <row r="560" spans="3:18" x14ac:dyDescent="0.35">
      <c r="C560">
        <v>0.50583199999999995</v>
      </c>
      <c r="L560">
        <f t="shared" si="43"/>
        <v>559</v>
      </c>
      <c r="M560">
        <f t="shared" si="44"/>
        <v>1926.4999999999577</v>
      </c>
      <c r="N560">
        <f t="shared" si="40"/>
        <v>0</v>
      </c>
      <c r="O560">
        <f t="array" ref="O560">+SUM($F$2:$F$18*SIN(2*PI()*(M560)*$B$1/$E$2:$E$18+$G$2:$G$18))</f>
        <v>0.86791055267349837</v>
      </c>
      <c r="P560">
        <f t="shared" si="41"/>
        <v>0</v>
      </c>
      <c r="Q560">
        <f t="shared" si="42"/>
        <v>-0.20958052076483885</v>
      </c>
      <c r="R560">
        <f t="array" ref="R560">+$B$2*SIN(Q560*$B$3+$B$4)+Q560+$B$9*SIN(PI()*M560+$B$10)+$B$11*SIN(2*PI()*M560+$B$12) + SUM($I$2:$I$18*SIN(2*PI()*M560*$H$2:$H$18+$J$2:$J$18))</f>
        <v>-1.0473601591670025</v>
      </c>
    </row>
    <row r="561" spans="3:18" x14ac:dyDescent="0.35">
      <c r="C561">
        <v>0.423844</v>
      </c>
      <c r="L561">
        <f t="shared" si="43"/>
        <v>560</v>
      </c>
      <c r="M561">
        <f t="shared" si="44"/>
        <v>1926.583333333291</v>
      </c>
      <c r="N561">
        <f t="shared" si="40"/>
        <v>0</v>
      </c>
      <c r="O561">
        <f t="array" ref="O561">+SUM($F$2:$F$18*SIN(2*PI()*(M561)*$B$1/$E$2:$E$18+$G$2:$G$18))</f>
        <v>0.71113042079431488</v>
      </c>
      <c r="P561">
        <f t="shared" si="41"/>
        <v>0</v>
      </c>
      <c r="Q561">
        <f t="shared" si="42"/>
        <v>-0.20909731585751845</v>
      </c>
      <c r="R561">
        <f t="array" ref="R561">+$B$2*SIN(Q561*$B$3+$B$4)+Q561+$B$9*SIN(PI()*M561+$B$10)+$B$11*SIN(2*PI()*M561+$B$12) + SUM($I$2:$I$18*SIN(2*PI()*M561*$H$2:$H$18+$J$2:$J$18))</f>
        <v>-0.63465394847190071</v>
      </c>
    </row>
    <row r="562" spans="3:18" x14ac:dyDescent="0.35">
      <c r="C562">
        <v>0.34338999999999997</v>
      </c>
      <c r="L562">
        <f t="shared" si="43"/>
        <v>561</v>
      </c>
      <c r="M562">
        <f t="shared" si="44"/>
        <v>1926.6666666666242</v>
      </c>
      <c r="N562">
        <f t="shared" si="40"/>
        <v>0</v>
      </c>
      <c r="O562">
        <f t="array" ref="O562">+SUM($F$2:$F$18*SIN(2*PI()*(M562)*$B$1/$E$2:$E$18+$G$2:$G$18))</f>
        <v>-0.87075586785210701</v>
      </c>
      <c r="P562">
        <f t="shared" si="41"/>
        <v>0</v>
      </c>
      <c r="Q562">
        <f t="shared" si="42"/>
        <v>-0.20861522501834526</v>
      </c>
      <c r="R562">
        <f t="array" ref="R562">+$B$2*SIN(Q562*$B$3+$B$4)+Q562+$B$9*SIN(PI()*M562+$B$10)+$B$11*SIN(2*PI()*M562+$B$12) + SUM($I$2:$I$18*SIN(2*PI()*M562*$H$2:$H$18+$J$2:$J$18))</f>
        <v>-0.35109389299933458</v>
      </c>
    </row>
    <row r="563" spans="3:18" x14ac:dyDescent="0.35">
      <c r="C563">
        <v>0.26601600000000003</v>
      </c>
      <c r="L563">
        <f t="shared" si="43"/>
        <v>562</v>
      </c>
      <c r="M563">
        <f t="shared" si="44"/>
        <v>1926.7499999999575</v>
      </c>
      <c r="N563">
        <f t="shared" si="40"/>
        <v>0</v>
      </c>
      <c r="O563">
        <f t="array" ref="O563">+SUM($F$2:$F$18*SIN(2*PI()*(M563)*$B$1/$E$2:$E$18+$G$2:$G$18))</f>
        <v>-2.0789442968002936</v>
      </c>
      <c r="P563">
        <f t="shared" si="41"/>
        <v>0</v>
      </c>
      <c r="Q563">
        <f t="shared" si="42"/>
        <v>-0.20813424567874469</v>
      </c>
      <c r="R563">
        <f t="array" ref="R563">+$B$2*SIN(Q563*$B$3+$B$4)+Q563+$B$9*SIN(PI()*M563+$B$10)+$B$11*SIN(2*PI()*M563+$B$12) + SUM($I$2:$I$18*SIN(2*PI()*M563*$H$2:$H$18+$J$2:$J$18))</f>
        <v>-0.29097244444822268</v>
      </c>
    </row>
    <row r="564" spans="3:18" x14ac:dyDescent="0.35">
      <c r="C564">
        <v>0.26863799999999999</v>
      </c>
      <c r="L564">
        <f t="shared" si="43"/>
        <v>563</v>
      </c>
      <c r="M564">
        <f t="shared" si="44"/>
        <v>1926.8333333332907</v>
      </c>
      <c r="N564">
        <f t="shared" si="40"/>
        <v>0</v>
      </c>
      <c r="O564">
        <f t="array" ref="O564">+SUM($F$2:$F$18*SIN(2*PI()*(M564)*$B$1/$E$2:$E$18+$G$2:$G$18))</f>
        <v>-1.0927268044366703</v>
      </c>
      <c r="P564">
        <f t="shared" si="41"/>
        <v>0</v>
      </c>
      <c r="Q564">
        <f t="shared" si="42"/>
        <v>-0.20765437527606426</v>
      </c>
      <c r="R564">
        <f t="array" ref="R564">+$B$2*SIN(Q564*$B$3+$B$4)+Q564+$B$9*SIN(PI()*M564+$B$10)+$B$11*SIN(2*PI()*M564+$B$12) + SUM($I$2:$I$18*SIN(2*PI()*M564*$H$2:$H$18+$J$2:$J$18))</f>
        <v>-0.47924594719853864</v>
      </c>
    </row>
    <row r="565" spans="3:18" x14ac:dyDescent="0.35">
      <c r="C565">
        <v>0.246642</v>
      </c>
      <c r="L565">
        <f t="shared" si="43"/>
        <v>564</v>
      </c>
      <c r="M565">
        <f t="shared" si="44"/>
        <v>1926.916666666624</v>
      </c>
      <c r="N565">
        <f t="shared" si="40"/>
        <v>0</v>
      </c>
      <c r="O565">
        <f t="array" ref="O565">+SUM($F$2:$F$18*SIN(2*PI()*(M565)*$B$1/$E$2:$E$18+$G$2:$G$18))</f>
        <v>6.9000775840990569E-2</v>
      </c>
      <c r="P565">
        <f t="shared" si="41"/>
        <v>0</v>
      </c>
      <c r="Q565">
        <f t="shared" si="42"/>
        <v>-0.20717561125355985</v>
      </c>
      <c r="R565">
        <f t="array" ref="R565">+$B$2*SIN(Q565*$B$3+$B$4)+Q565+$B$9*SIN(PI()*M565+$B$10)+$B$11*SIN(2*PI()*M565+$B$12) + SUM($I$2:$I$18*SIN(2*PI()*M565*$H$2:$H$18+$J$2:$J$18))</f>
        <v>-0.86516842261221605</v>
      </c>
    </row>
    <row r="566" spans="3:18" x14ac:dyDescent="0.35">
      <c r="C566">
        <v>0.42926400000000003</v>
      </c>
      <c r="L566">
        <f t="shared" si="43"/>
        <v>565</v>
      </c>
      <c r="M566">
        <f t="shared" si="44"/>
        <v>1926.9999999999573</v>
      </c>
      <c r="N566">
        <f t="shared" si="40"/>
        <v>200</v>
      </c>
      <c r="O566">
        <f t="array" ref="O566">+SUM($F$2:$F$18*SIN(2*PI()*(M566)*$B$1/$E$2:$E$18+$G$2:$G$18))</f>
        <v>-0.68088979860471432</v>
      </c>
      <c r="P566">
        <f t="shared" si="41"/>
        <v>-136.17795972094285</v>
      </c>
      <c r="Q566">
        <f t="shared" si="42"/>
        <v>-0.52066729404083323</v>
      </c>
      <c r="R566">
        <f t="array" ref="R566">+$B$2*SIN(Q566*$B$3+$B$4)+Q566+$B$9*SIN(PI()*M566+$B$10)+$B$11*SIN(2*PI()*M566+$B$12) + SUM($I$2:$I$18*SIN(2*PI()*M566*$H$2:$H$18+$J$2:$J$18))</f>
        <v>-0.11759412762288268</v>
      </c>
    </row>
    <row r="567" spans="3:18" x14ac:dyDescent="0.35">
      <c r="C567">
        <v>0.66572999999999993</v>
      </c>
      <c r="L567">
        <f t="shared" si="43"/>
        <v>566</v>
      </c>
      <c r="M567">
        <f t="shared" si="44"/>
        <v>1927.0833333332905</v>
      </c>
      <c r="N567">
        <f t="shared" si="40"/>
        <v>0</v>
      </c>
      <c r="O567">
        <f t="array" ref="O567">+SUM($F$2:$F$18*SIN(2*PI()*(M567)*$B$1/$E$2:$E$18+$G$2:$G$18))</f>
        <v>-1.2480541334203454</v>
      </c>
      <c r="P567">
        <f t="shared" si="41"/>
        <v>0</v>
      </c>
      <c r="Q567">
        <f t="shared" si="42"/>
        <v>-0.51946685331932141</v>
      </c>
      <c r="R567">
        <f t="array" ref="R567">+$B$2*SIN(Q567*$B$3+$B$4)+Q567+$B$9*SIN(PI()*M567+$B$10)+$B$11*SIN(2*PI()*M567+$B$12) + SUM($I$2:$I$18*SIN(2*PI()*M567*$H$2:$H$18+$J$2:$J$18))</f>
        <v>-0.37202086956219949</v>
      </c>
    </row>
    <row r="568" spans="3:18" x14ac:dyDescent="0.35">
      <c r="C568">
        <v>0.77757799999999999</v>
      </c>
      <c r="L568">
        <f t="shared" si="43"/>
        <v>567</v>
      </c>
      <c r="M568">
        <f t="shared" si="44"/>
        <v>1927.1666666666238</v>
      </c>
      <c r="N568">
        <f t="shared" si="40"/>
        <v>0</v>
      </c>
      <c r="O568">
        <f t="array" ref="O568">+SUM($F$2:$F$18*SIN(2*PI()*(M568)*$B$1/$E$2:$E$18+$G$2:$G$18))</f>
        <v>-0.17453241024264204</v>
      </c>
      <c r="P568">
        <f t="shared" si="41"/>
        <v>0</v>
      </c>
      <c r="Q568">
        <f t="shared" si="42"/>
        <v>-0.51826918031136171</v>
      </c>
      <c r="R568">
        <f t="array" ref="R568">+$B$2*SIN(Q568*$B$3+$B$4)+Q568+$B$9*SIN(PI()*M568+$B$10)+$B$11*SIN(2*PI()*M568+$B$12) + SUM($I$2:$I$18*SIN(2*PI()*M568*$H$2:$H$18+$J$2:$J$18))</f>
        <v>-0.43215574324925077</v>
      </c>
    </row>
    <row r="569" spans="3:18" x14ac:dyDescent="0.35">
      <c r="C569">
        <v>0.85096400000000005</v>
      </c>
      <c r="L569">
        <f t="shared" si="43"/>
        <v>568</v>
      </c>
      <c r="M569">
        <f t="shared" si="44"/>
        <v>1927.249999999957</v>
      </c>
      <c r="N569">
        <f t="shared" si="40"/>
        <v>0</v>
      </c>
      <c r="O569">
        <f t="array" ref="O569">+SUM($F$2:$F$18*SIN(2*PI()*(M569)*$B$1/$E$2:$E$18+$G$2:$G$18))</f>
        <v>0.91870007473220738</v>
      </c>
      <c r="P569">
        <f t="shared" si="41"/>
        <v>0</v>
      </c>
      <c r="Q569">
        <f t="shared" si="42"/>
        <v>-0.51707426863576589</v>
      </c>
      <c r="R569">
        <f t="array" ref="R569">+$B$2*SIN(Q569*$B$3+$B$4)+Q569+$B$9*SIN(PI()*M569+$B$10)+$B$11*SIN(2*PI()*M569+$B$12) + SUM($I$2:$I$18*SIN(2*PI()*M569*$H$2:$H$18+$J$2:$J$18))</f>
        <v>-0.20646579510932062</v>
      </c>
    </row>
    <row r="570" spans="3:18" x14ac:dyDescent="0.35">
      <c r="C570">
        <v>0.81819599999999992</v>
      </c>
      <c r="L570">
        <f t="shared" si="43"/>
        <v>569</v>
      </c>
      <c r="M570">
        <f t="shared" si="44"/>
        <v>1927.3333333332903</v>
      </c>
      <c r="N570">
        <f t="shared" si="40"/>
        <v>0</v>
      </c>
      <c r="O570">
        <f t="array" ref="O570">+SUM($F$2:$F$18*SIN(2*PI()*(M570)*$B$1/$E$2:$E$18+$G$2:$G$18))</f>
        <v>0.41861921536512137</v>
      </c>
      <c r="P570">
        <f t="shared" si="41"/>
        <v>0</v>
      </c>
      <c r="Q570">
        <f t="shared" si="42"/>
        <v>-0.51588211192605782</v>
      </c>
      <c r="R570">
        <f t="array" ref="R570">+$B$2*SIN(Q570*$B$3+$B$4)+Q570+$B$9*SIN(PI()*M570+$B$10)+$B$11*SIN(2*PI()*M570+$B$12) + SUM($I$2:$I$18*SIN(2*PI()*M570*$H$2:$H$18+$J$2:$J$18))</f>
        <v>0.32673792788780159</v>
      </c>
    </row>
    <row r="571" spans="3:18" x14ac:dyDescent="0.35">
      <c r="C571">
        <v>0.69619399999999998</v>
      </c>
      <c r="L571">
        <f t="shared" si="43"/>
        <v>570</v>
      </c>
      <c r="M571">
        <f t="shared" si="44"/>
        <v>1927.4166666666235</v>
      </c>
      <c r="N571">
        <f t="shared" si="40"/>
        <v>0</v>
      </c>
      <c r="O571">
        <f t="array" ref="O571">+SUM($F$2:$F$18*SIN(2*PI()*(M571)*$B$1/$E$2:$E$18+$G$2:$G$18))</f>
        <v>-1.5640084571678228</v>
      </c>
      <c r="P571">
        <f t="shared" si="41"/>
        <v>0</v>
      </c>
      <c r="Q571">
        <f t="shared" si="42"/>
        <v>-0.51469270383044008</v>
      </c>
      <c r="R571">
        <f t="array" ref="R571">+$B$2*SIN(Q571*$B$3+$B$4)+Q571+$B$9*SIN(PI()*M571+$B$10)+$B$11*SIN(2*PI()*M571+$B$12) + SUM($I$2:$I$18*SIN(2*PI()*M571*$H$2:$H$18+$J$2:$J$18))</f>
        <v>1.112592820423389</v>
      </c>
    </row>
    <row r="572" spans="3:18" x14ac:dyDescent="0.35">
      <c r="C572">
        <v>0.84188599999999991</v>
      </c>
      <c r="L572">
        <f t="shared" si="43"/>
        <v>571</v>
      </c>
      <c r="M572">
        <f t="shared" si="44"/>
        <v>1927.4999999999568</v>
      </c>
      <c r="N572">
        <f t="shared" si="40"/>
        <v>0</v>
      </c>
      <c r="O572">
        <f t="array" ref="O572">+SUM($F$2:$F$18*SIN(2*PI()*(M572)*$B$1/$E$2:$E$18+$G$2:$G$18))</f>
        <v>-2.4460979957903737</v>
      </c>
      <c r="P572">
        <f t="shared" si="41"/>
        <v>0</v>
      </c>
      <c r="Q572">
        <f t="shared" si="42"/>
        <v>-0.51350603801175965</v>
      </c>
      <c r="R572">
        <f t="array" ref="R572">+$B$2*SIN(Q572*$B$3+$B$4)+Q572+$B$9*SIN(PI()*M572+$B$10)+$B$11*SIN(2*PI()*M572+$B$12) + SUM($I$2:$I$18*SIN(2*PI()*M572*$H$2:$H$18+$J$2:$J$18))</f>
        <v>2.0332276087925099</v>
      </c>
    </row>
    <row r="573" spans="3:18" x14ac:dyDescent="0.35">
      <c r="C573">
        <v>0.82603599999999999</v>
      </c>
      <c r="L573">
        <f t="shared" si="43"/>
        <v>572</v>
      </c>
      <c r="M573">
        <f t="shared" si="44"/>
        <v>1927.5833333332901</v>
      </c>
      <c r="N573">
        <f t="shared" si="40"/>
        <v>0</v>
      </c>
      <c r="O573">
        <f t="array" ref="O573">+SUM($F$2:$F$18*SIN(2*PI()*(M573)*$B$1/$E$2:$E$18+$G$2:$G$18))</f>
        <v>-0.64247049314963234</v>
      </c>
      <c r="P573">
        <f t="shared" si="41"/>
        <v>0</v>
      </c>
      <c r="Q573">
        <f t="shared" si="42"/>
        <v>-0.51232210814747448</v>
      </c>
      <c r="R573">
        <f t="array" ref="R573">+$B$2*SIN(Q573*$B$3+$B$4)+Q573+$B$9*SIN(PI()*M573+$B$10)+$B$11*SIN(2*PI()*M573+$B$12) + SUM($I$2:$I$18*SIN(2*PI()*M573*$H$2:$H$18+$J$2:$J$18))</f>
        <v>2.9379006814216964</v>
      </c>
    </row>
    <row r="574" spans="3:18" x14ac:dyDescent="0.35">
      <c r="C574">
        <v>0.48557</v>
      </c>
      <c r="L574">
        <f t="shared" si="43"/>
        <v>573</v>
      </c>
      <c r="M574">
        <f t="shared" si="44"/>
        <v>1927.6666666666233</v>
      </c>
      <c r="N574">
        <f t="shared" si="40"/>
        <v>0</v>
      </c>
      <c r="O574">
        <f t="array" ref="O574">+SUM($F$2:$F$18*SIN(2*PI()*(M574)*$B$1/$E$2:$E$18+$G$2:$G$18))</f>
        <v>0.84000036018652569</v>
      </c>
      <c r="P574">
        <f t="shared" si="41"/>
        <v>0</v>
      </c>
      <c r="Q574">
        <f t="shared" si="42"/>
        <v>-0.51114090792961953</v>
      </c>
      <c r="R574">
        <f t="array" ref="R574">+$B$2*SIN(Q574*$B$3+$B$4)+Q574+$B$9*SIN(PI()*M574+$B$10)+$B$11*SIN(2*PI()*M574+$B$12) + SUM($I$2:$I$18*SIN(2*PI()*M574*$H$2:$H$18+$J$2:$J$18))</f>
        <v>3.6816542888006749</v>
      </c>
    </row>
    <row r="575" spans="3:18" x14ac:dyDescent="0.35">
      <c r="C575">
        <v>0.38202599999999998</v>
      </c>
      <c r="L575">
        <f t="shared" si="43"/>
        <v>574</v>
      </c>
      <c r="M575">
        <f t="shared" si="44"/>
        <v>1927.7499999999566</v>
      </c>
      <c r="N575">
        <f t="shared" si="40"/>
        <v>0</v>
      </c>
      <c r="O575">
        <f t="array" ref="O575">+SUM($F$2:$F$18*SIN(2*PI()*(M575)*$B$1/$E$2:$E$18+$G$2:$G$18))</f>
        <v>8.5783935176599324E-2</v>
      </c>
      <c r="P575">
        <f t="shared" si="41"/>
        <v>0</v>
      </c>
      <c r="Q575">
        <f t="shared" si="42"/>
        <v>-0.50996243106477324</v>
      </c>
      <c r="R575">
        <f t="array" ref="R575">+$B$2*SIN(Q575*$B$3+$B$4)+Q575+$B$9*SIN(PI()*M575+$B$10)+$B$11*SIN(2*PI()*M575+$B$12) + SUM($I$2:$I$18*SIN(2*PI()*M575*$H$2:$H$18+$J$2:$J$18))</f>
        <v>4.1621493108253844</v>
      </c>
    </row>
    <row r="576" spans="3:18" x14ac:dyDescent="0.35">
      <c r="C576">
        <v>9.079000000000001E-2</v>
      </c>
      <c r="L576">
        <f t="shared" si="43"/>
        <v>575</v>
      </c>
      <c r="M576">
        <f t="shared" si="44"/>
        <v>1927.8333333332898</v>
      </c>
      <c r="N576">
        <f t="shared" si="40"/>
        <v>0</v>
      </c>
      <c r="O576">
        <f t="array" ref="O576">+SUM($F$2:$F$18*SIN(2*PI()*(M576)*$B$1/$E$2:$E$18+$G$2:$G$18))</f>
        <v>-0.47440876431114865</v>
      </c>
      <c r="P576">
        <f t="shared" si="41"/>
        <v>0</v>
      </c>
      <c r="Q576">
        <f t="shared" si="42"/>
        <v>-0.50878667127402422</v>
      </c>
      <c r="R576">
        <f t="array" ref="R576">+$B$2*SIN(Q576*$B$3+$B$4)+Q576+$B$9*SIN(PI()*M576+$B$10)+$B$11*SIN(2*PI()*M576+$B$12) + SUM($I$2:$I$18*SIN(2*PI()*M576*$H$2:$H$18+$J$2:$J$18))</f>
        <v>4.3448608747884441</v>
      </c>
    </row>
    <row r="577" spans="3:18" x14ac:dyDescent="0.35">
      <c r="C577">
        <v>8.8782E-2</v>
      </c>
      <c r="L577">
        <f t="shared" si="43"/>
        <v>576</v>
      </c>
      <c r="M577">
        <f t="shared" si="44"/>
        <v>1927.9166666666231</v>
      </c>
      <c r="N577">
        <f t="shared" si="40"/>
        <v>0</v>
      </c>
      <c r="O577">
        <f t="array" ref="O577">+SUM($F$2:$F$18*SIN(2*PI()*(M577)*$B$1/$E$2:$E$18+$G$2:$G$18))</f>
        <v>0.31392170648377582</v>
      </c>
      <c r="P577">
        <f t="shared" si="41"/>
        <v>0</v>
      </c>
      <c r="Q577">
        <f t="shared" si="42"/>
        <v>-0.50761362229293749</v>
      </c>
      <c r="R577">
        <f t="array" ref="R577">+$B$2*SIN(Q577*$B$3+$B$4)+Q577+$B$9*SIN(PI()*M577+$B$10)+$B$11*SIN(2*PI()*M577+$B$12) + SUM($I$2:$I$18*SIN(2*PI()*M577*$H$2:$H$18+$J$2:$J$18))</f>
        <v>4.2699617004904944</v>
      </c>
    </row>
    <row r="578" spans="3:18" x14ac:dyDescent="0.35">
      <c r="C578">
        <v>3.7541999999999999E-2</v>
      </c>
      <c r="L578">
        <f t="shared" si="43"/>
        <v>577</v>
      </c>
      <c r="M578">
        <f t="shared" si="44"/>
        <v>1927.9999999999563</v>
      </c>
      <c r="N578">
        <f t="shared" ref="N578:N641" si="45">+IF(MOD(L578,$B$5)=1, $B$6, 0)</f>
        <v>200</v>
      </c>
      <c r="O578">
        <f t="array" ref="O578">+SUM($F$2:$F$18*SIN(2*PI()*(M578)*$B$1/$E$2:$E$18+$G$2:$G$18))</f>
        <v>0.97758028270330111</v>
      </c>
      <c r="P578">
        <f t="shared" si="41"/>
        <v>195.51605654066023</v>
      </c>
      <c r="Q578">
        <f t="shared" si="42"/>
        <v>-5.5665134771178959E-2</v>
      </c>
      <c r="R578">
        <f t="array" ref="R578">+$B$2*SIN(Q578*$B$3+$B$4)+Q578+$B$9*SIN(PI()*M578+$B$10)+$B$11*SIN(2*PI()*M578+$B$12) + SUM($I$2:$I$18*SIN(2*PI()*M578*$H$2:$H$18+$J$2:$J$18))</f>
        <v>-8.6771652261852026</v>
      </c>
    </row>
    <row r="579" spans="3:18" x14ac:dyDescent="0.35">
      <c r="C579">
        <v>-5.2157999999999996E-2</v>
      </c>
      <c r="L579">
        <f t="shared" si="43"/>
        <v>578</v>
      </c>
      <c r="M579">
        <f t="shared" si="44"/>
        <v>1928.0833333332896</v>
      </c>
      <c r="N579">
        <f t="shared" si="45"/>
        <v>0</v>
      </c>
      <c r="O579">
        <f t="array" ref="O579">+SUM($F$2:$F$18*SIN(2*PI()*(M579)*$B$1/$E$2:$E$18+$G$2:$G$18))</f>
        <v>0.2317321617642972</v>
      </c>
      <c r="P579">
        <f t="shared" ref="P579:P642" si="46">+N579*O579</f>
        <v>0</v>
      </c>
      <c r="Q579">
        <f t="shared" ref="Q579:Q642" si="47">+(1-$B$7)*Q578+($B$7)*P579</f>
        <v>-5.5536794283284736E-2</v>
      </c>
      <c r="R579">
        <f t="array" ref="R579">+$B$2*SIN(Q579*$B$3+$B$4)+Q579+$B$9*SIN(PI()*M579+$B$10)+$B$11*SIN(2*PI()*M579+$B$12) + SUM($I$2:$I$18*SIN(2*PI()*M579*$H$2:$H$18+$J$2:$J$18))</f>
        <v>-9.0388129291503851</v>
      </c>
    </row>
    <row r="580" spans="3:18" x14ac:dyDescent="0.35">
      <c r="C580">
        <v>4.4290000000000003E-2</v>
      </c>
      <c r="L580">
        <f t="shared" ref="L580:L643" si="48">+L579+1</f>
        <v>579</v>
      </c>
      <c r="M580">
        <f t="shared" ref="M580:M643" si="49">+M579+1/12</f>
        <v>1928.1666666666229</v>
      </c>
      <c r="N580">
        <f t="shared" si="45"/>
        <v>0</v>
      </c>
      <c r="O580">
        <f t="array" ref="O580">+SUM($F$2:$F$18*SIN(2*PI()*(M580)*$B$1/$E$2:$E$18+$G$2:$G$18))</f>
        <v>-1.5908776628667174</v>
      </c>
      <c r="P580">
        <f t="shared" si="46"/>
        <v>0</v>
      </c>
      <c r="Q580">
        <f t="shared" si="47"/>
        <v>-5.5408749694805845E-2</v>
      </c>
      <c r="R580">
        <f t="array" ref="R580">+$B$2*SIN(Q580*$B$3+$B$4)+Q580+$B$9*SIN(PI()*M580+$B$10)+$B$11*SIN(2*PI()*M580+$B$12) + SUM($I$2:$I$18*SIN(2*PI()*M580*$H$2:$H$18+$J$2:$J$18))</f>
        <v>-9.2943527720836503</v>
      </c>
    </row>
    <row r="581" spans="3:18" x14ac:dyDescent="0.35">
      <c r="C581">
        <v>0.18843199999999999</v>
      </c>
      <c r="L581">
        <f t="shared" si="48"/>
        <v>580</v>
      </c>
      <c r="M581">
        <f t="shared" si="49"/>
        <v>1928.2499999999561</v>
      </c>
      <c r="N581">
        <f t="shared" si="45"/>
        <v>0</v>
      </c>
      <c r="O581">
        <f t="array" ref="O581">+SUM($F$2:$F$18*SIN(2*PI()*(M581)*$B$1/$E$2:$E$18+$G$2:$G$18))</f>
        <v>-1.820961701600001</v>
      </c>
      <c r="P581">
        <f t="shared" si="46"/>
        <v>0</v>
      </c>
      <c r="Q581">
        <f t="shared" si="47"/>
        <v>-5.528100032352215E-2</v>
      </c>
      <c r="R581">
        <f t="array" ref="R581">+$B$2*SIN(Q581*$B$3+$B$4)+Q581+$B$9*SIN(PI()*M581+$B$10)+$B$11*SIN(2*PI()*M581+$B$12) + SUM($I$2:$I$18*SIN(2*PI()*M581*$H$2:$H$18+$J$2:$J$18))</f>
        <v>-9.357961018019159</v>
      </c>
    </row>
    <row r="582" spans="3:18" x14ac:dyDescent="0.35">
      <c r="C582">
        <v>0.25719000000000003</v>
      </c>
      <c r="L582">
        <f t="shared" si="48"/>
        <v>581</v>
      </c>
      <c r="M582">
        <f t="shared" si="49"/>
        <v>1928.3333333332894</v>
      </c>
      <c r="N582">
        <f t="shared" si="45"/>
        <v>0</v>
      </c>
      <c r="O582">
        <f t="array" ref="O582">+SUM($F$2:$F$18*SIN(2*PI()*(M582)*$B$1/$E$2:$E$18+$G$2:$G$18))</f>
        <v>0.4007381848605987</v>
      </c>
      <c r="P582">
        <f t="shared" si="46"/>
        <v>0</v>
      </c>
      <c r="Q582">
        <f t="shared" si="47"/>
        <v>-5.5153545488786447E-2</v>
      </c>
      <c r="R582">
        <f t="array" ref="R582">+$B$2*SIN(Q582*$B$3+$B$4)+Q582+$B$9*SIN(PI()*M582+$B$10)+$B$11*SIN(2*PI()*M582+$B$12) + SUM($I$2:$I$18*SIN(2*PI()*M582*$H$2:$H$18+$J$2:$J$18))</f>
        <v>-9.2099155520206875</v>
      </c>
    </row>
    <row r="583" spans="3:18" x14ac:dyDescent="0.35">
      <c r="C583">
        <v>0.32902000000000003</v>
      </c>
      <c r="L583">
        <f t="shared" si="48"/>
        <v>582</v>
      </c>
      <c r="M583">
        <f t="shared" si="49"/>
        <v>1928.4166666666226</v>
      </c>
      <c r="N583">
        <f t="shared" si="45"/>
        <v>0</v>
      </c>
      <c r="O583">
        <f t="array" ref="O583">+SUM($F$2:$F$18*SIN(2*PI()*(M583)*$B$1/$E$2:$E$18+$G$2:$G$18))</f>
        <v>1.7655608947303212</v>
      </c>
      <c r="P583">
        <f t="shared" si="46"/>
        <v>0</v>
      </c>
      <c r="Q583">
        <f t="shared" si="47"/>
        <v>-5.5026384511520803E-2</v>
      </c>
      <c r="R583">
        <f t="array" ref="R583">+$B$2*SIN(Q583*$B$3+$B$4)+Q583+$B$9*SIN(PI()*M583+$B$10)+$B$11*SIN(2*PI()*M583+$B$12) + SUM($I$2:$I$18*SIN(2*PI()*M583*$H$2:$H$18+$J$2:$J$18))</f>
        <v>-8.9024530937170478</v>
      </c>
    </row>
    <row r="584" spans="3:18" x14ac:dyDescent="0.35">
      <c r="C584">
        <v>0.317774</v>
      </c>
      <c r="L584">
        <f t="shared" si="48"/>
        <v>583</v>
      </c>
      <c r="M584">
        <f t="shared" si="49"/>
        <v>1928.4999999999559</v>
      </c>
      <c r="N584">
        <f t="shared" si="45"/>
        <v>0</v>
      </c>
      <c r="O584">
        <f t="array" ref="O584">+SUM($F$2:$F$18*SIN(2*PI()*(M584)*$B$1/$E$2:$E$18+$G$2:$G$18))</f>
        <v>1.0856741158076577</v>
      </c>
      <c r="P584">
        <f t="shared" si="46"/>
        <v>0</v>
      </c>
      <c r="Q584">
        <f t="shared" si="47"/>
        <v>-5.4899516714212962E-2</v>
      </c>
      <c r="R584">
        <f t="array" ref="R584">+$B$2*SIN(Q584*$B$3+$B$4)+Q584+$B$9*SIN(PI()*M584+$B$10)+$B$11*SIN(2*PI()*M584+$B$12) + SUM($I$2:$I$18*SIN(2*PI()*M584*$H$2:$H$18+$J$2:$J$18))</f>
        <v>-8.5456026606723974</v>
      </c>
    </row>
    <row r="585" spans="3:18" x14ac:dyDescent="0.35">
      <c r="C585">
        <v>0.25268200000000002</v>
      </c>
      <c r="L585">
        <f t="shared" si="48"/>
        <v>584</v>
      </c>
      <c r="M585">
        <f t="shared" si="49"/>
        <v>1928.5833333332891</v>
      </c>
      <c r="N585">
        <f t="shared" si="45"/>
        <v>0</v>
      </c>
      <c r="O585">
        <f t="array" ref="O585">+SUM($F$2:$F$18*SIN(2*PI()*(M585)*$B$1/$E$2:$E$18+$G$2:$G$18))</f>
        <v>0.57947482663572702</v>
      </c>
      <c r="P585">
        <f t="shared" si="46"/>
        <v>0</v>
      </c>
      <c r="Q585">
        <f t="shared" si="47"/>
        <v>-5.4772941420912727E-2</v>
      </c>
      <c r="R585">
        <f t="array" ref="R585">+$B$2*SIN(Q585*$B$3+$B$4)+Q585+$B$9*SIN(PI()*M585+$B$10)+$B$11*SIN(2*PI()*M585+$B$12) + SUM($I$2:$I$18*SIN(2*PI()*M585*$H$2:$H$18+$J$2:$J$18))</f>
        <v>-8.2767205599742102</v>
      </c>
    </row>
    <row r="586" spans="3:18" x14ac:dyDescent="0.35">
      <c r="C586">
        <v>0.24143200000000001</v>
      </c>
      <c r="L586">
        <f t="shared" si="48"/>
        <v>585</v>
      </c>
      <c r="M586">
        <f t="shared" si="49"/>
        <v>1928.6666666666224</v>
      </c>
      <c r="N586">
        <f t="shared" si="45"/>
        <v>0</v>
      </c>
      <c r="O586">
        <f t="array" ref="O586">+SUM($F$2:$F$18*SIN(2*PI()*(M586)*$B$1/$E$2:$E$18+$G$2:$G$18))</f>
        <v>0.76519658326413587</v>
      </c>
      <c r="P586">
        <f t="shared" si="46"/>
        <v>0</v>
      </c>
      <c r="Q586">
        <f t="shared" si="47"/>
        <v>-5.464665795722836E-2</v>
      </c>
      <c r="R586">
        <f t="array" ref="R586">+$B$2*SIN(Q586*$B$3+$B$4)+Q586+$B$9*SIN(PI()*M586+$B$10)+$B$11*SIN(2*PI()*M586+$B$12) + SUM($I$2:$I$18*SIN(2*PI()*M586*$H$2:$H$18+$J$2:$J$18))</f>
        <v>-8.2218608707308505</v>
      </c>
    </row>
    <row r="587" spans="3:18" x14ac:dyDescent="0.35">
      <c r="C587">
        <v>0.22248999999999999</v>
      </c>
      <c r="L587">
        <f t="shared" si="48"/>
        <v>586</v>
      </c>
      <c r="M587">
        <f t="shared" si="49"/>
        <v>1928.7499999999557</v>
      </c>
      <c r="N587">
        <f t="shared" si="45"/>
        <v>0</v>
      </c>
      <c r="O587">
        <f t="array" ref="O587">+SUM($F$2:$F$18*SIN(2*PI()*(M587)*$B$1/$E$2:$E$18+$G$2:$G$18))</f>
        <v>0.77965355400745562</v>
      </c>
      <c r="P587">
        <f t="shared" si="46"/>
        <v>0</v>
      </c>
      <c r="Q587">
        <f t="shared" si="47"/>
        <v>-5.4520665650322986E-2</v>
      </c>
      <c r="R587">
        <f t="array" ref="R587">+$B$2*SIN(Q587*$B$3+$B$4)+Q587+$B$9*SIN(PI()*M587+$B$10)+$B$11*SIN(2*PI()*M587+$B$12) + SUM($I$2:$I$18*SIN(2*PI()*M587*$H$2:$H$18+$J$2:$J$18))</f>
        <v>-8.4593508660887409</v>
      </c>
    </row>
    <row r="588" spans="3:18" x14ac:dyDescent="0.35">
      <c r="C588">
        <v>0.14662600000000001</v>
      </c>
      <c r="L588">
        <f t="shared" si="48"/>
        <v>587</v>
      </c>
      <c r="M588">
        <f t="shared" si="49"/>
        <v>1928.8333333332889</v>
      </c>
      <c r="N588">
        <f t="shared" si="45"/>
        <v>0</v>
      </c>
      <c r="O588">
        <f t="array" ref="O588">+SUM($F$2:$F$18*SIN(2*PI()*(M588)*$B$1/$E$2:$E$18+$G$2:$G$18))</f>
        <v>6.4855079576577324E-2</v>
      </c>
      <c r="P588">
        <f t="shared" si="46"/>
        <v>0</v>
      </c>
      <c r="Q588">
        <f t="shared" si="47"/>
        <v>-5.4394963828911014E-2</v>
      </c>
      <c r="R588">
        <f t="array" ref="R588">+$B$2*SIN(Q588*$B$3+$B$4)+Q588+$B$9*SIN(PI()*M588+$B$10)+$B$11*SIN(2*PI()*M588+$B$12) + SUM($I$2:$I$18*SIN(2*PI()*M588*$H$2:$H$18+$J$2:$J$18))</f>
        <v>-8.9954015907985294</v>
      </c>
    </row>
    <row r="589" spans="3:18" x14ac:dyDescent="0.35">
      <c r="C589">
        <v>0.48460199999999998</v>
      </c>
      <c r="L589">
        <f t="shared" si="48"/>
        <v>588</v>
      </c>
      <c r="M589">
        <f t="shared" si="49"/>
        <v>1928.9166666666222</v>
      </c>
      <c r="N589">
        <f t="shared" si="45"/>
        <v>0</v>
      </c>
      <c r="O589">
        <f t="array" ref="O589">+SUM($F$2:$F$18*SIN(2*PI()*(M589)*$B$1/$E$2:$E$18+$G$2:$G$18))</f>
        <v>-1.0777563327694581</v>
      </c>
      <c r="P589">
        <f t="shared" si="46"/>
        <v>0</v>
      </c>
      <c r="Q589">
        <f t="shared" si="47"/>
        <v>-5.4269551823254547E-2</v>
      </c>
      <c r="R589">
        <f t="array" ref="R589">+$B$2*SIN(Q589*$B$3+$B$4)+Q589+$B$9*SIN(PI()*M589+$B$10)+$B$11*SIN(2*PI()*M589+$B$12) + SUM($I$2:$I$18*SIN(2*PI()*M589*$H$2:$H$18+$J$2:$J$18))</f>
        <v>-9.7584113644654611</v>
      </c>
    </row>
    <row r="590" spans="3:18" x14ac:dyDescent="0.35">
      <c r="C590">
        <v>0.54565799999999998</v>
      </c>
      <c r="L590">
        <f t="shared" si="48"/>
        <v>589</v>
      </c>
      <c r="M590">
        <f t="shared" si="49"/>
        <v>1928.9999999999554</v>
      </c>
      <c r="N590">
        <f t="shared" si="45"/>
        <v>200</v>
      </c>
      <c r="O590">
        <f t="array" ref="O590">+SUM($F$2:$F$18*SIN(2*PI()*(M590)*$B$1/$E$2:$E$18+$G$2:$G$18))</f>
        <v>-0.64596720666694507</v>
      </c>
      <c r="P590">
        <f t="shared" si="46"/>
        <v>-129.19344133338902</v>
      </c>
      <c r="Q590">
        <f t="shared" si="47"/>
        <v>-0.35201039770157827</v>
      </c>
      <c r="R590">
        <f t="array" ref="R590">+$B$2*SIN(Q590*$B$3+$B$4)+Q590+$B$9*SIN(PI()*M590+$B$10)+$B$11*SIN(2*PI()*M590+$B$12) + SUM($I$2:$I$18*SIN(2*PI()*M590*$H$2:$H$18+$J$2:$J$18))</f>
        <v>9.1303273222190722</v>
      </c>
    </row>
    <row r="591" spans="3:18" x14ac:dyDescent="0.35">
      <c r="C591">
        <v>0.68825199999999997</v>
      </c>
      <c r="L591">
        <f t="shared" si="48"/>
        <v>590</v>
      </c>
      <c r="M591">
        <f t="shared" si="49"/>
        <v>1929.0833333332887</v>
      </c>
      <c r="N591">
        <f t="shared" si="45"/>
        <v>0</v>
      </c>
      <c r="O591">
        <f t="array" ref="O591">+SUM($F$2:$F$18*SIN(2*PI()*(M591)*$B$1/$E$2:$E$18+$G$2:$G$18))</f>
        <v>1.3916784598409353</v>
      </c>
      <c r="P591">
        <f t="shared" si="46"/>
        <v>0</v>
      </c>
      <c r="Q591">
        <f t="shared" si="47"/>
        <v>-0.35119880914851775</v>
      </c>
      <c r="R591">
        <f t="array" ref="R591">+$B$2*SIN(Q591*$B$3+$B$4)+Q591+$B$9*SIN(PI()*M591+$B$10)+$B$11*SIN(2*PI()*M591+$B$12) + SUM($I$2:$I$18*SIN(2*PI()*M591*$H$2:$H$18+$J$2:$J$18))</f>
        <v>8.3377117805091174</v>
      </c>
    </row>
    <row r="592" spans="3:18" x14ac:dyDescent="0.35">
      <c r="C592">
        <v>0.77391799999999999</v>
      </c>
      <c r="L592">
        <f t="shared" si="48"/>
        <v>591</v>
      </c>
      <c r="M592">
        <f t="shared" si="49"/>
        <v>1929.1666666666219</v>
      </c>
      <c r="N592">
        <f t="shared" si="45"/>
        <v>0</v>
      </c>
      <c r="O592">
        <f t="array" ref="O592">+SUM($F$2:$F$18*SIN(2*PI()*(M592)*$B$1/$E$2:$E$18+$G$2:$G$18))</f>
        <v>2.275245229627143</v>
      </c>
      <c r="P592">
        <f t="shared" si="46"/>
        <v>0</v>
      </c>
      <c r="Q592">
        <f t="shared" si="47"/>
        <v>-0.35038909177876248</v>
      </c>
      <c r="R592">
        <f t="array" ref="R592">+$B$2*SIN(Q592*$B$3+$B$4)+Q592+$B$9*SIN(PI()*M592+$B$10)+$B$11*SIN(2*PI()*M592+$B$12) + SUM($I$2:$I$18*SIN(2*PI()*M592*$H$2:$H$18+$J$2:$J$18))</f>
        <v>7.7771086850391065</v>
      </c>
    </row>
    <row r="593" spans="3:18" x14ac:dyDescent="0.35">
      <c r="C593">
        <v>0.60727799999999998</v>
      </c>
      <c r="L593">
        <f t="shared" si="48"/>
        <v>592</v>
      </c>
      <c r="M593">
        <f t="shared" si="49"/>
        <v>1929.2499999999552</v>
      </c>
      <c r="N593">
        <f t="shared" si="45"/>
        <v>0</v>
      </c>
      <c r="O593">
        <f t="array" ref="O593">+SUM($F$2:$F$18*SIN(2*PI()*(M593)*$B$1/$E$2:$E$18+$G$2:$G$18))</f>
        <v>1.7567111519552834</v>
      </c>
      <c r="P593">
        <f t="shared" si="46"/>
        <v>0</v>
      </c>
      <c r="Q593">
        <f t="shared" si="47"/>
        <v>-0.34958124127814744</v>
      </c>
      <c r="R593">
        <f t="array" ref="R593">+$B$2*SIN(Q593*$B$3+$B$4)+Q593+$B$9*SIN(PI()*M593+$B$10)+$B$11*SIN(2*PI()*M593+$B$12) + SUM($I$2:$I$18*SIN(2*PI()*M593*$H$2:$H$18+$J$2:$J$18))</f>
        <v>7.5607419931288744</v>
      </c>
    </row>
    <row r="594" spans="3:18" x14ac:dyDescent="0.35">
      <c r="C594">
        <v>0.50063599999999997</v>
      </c>
      <c r="L594">
        <f t="shared" si="48"/>
        <v>593</v>
      </c>
      <c r="M594">
        <f t="shared" si="49"/>
        <v>1929.3333333332885</v>
      </c>
      <c r="N594">
        <f t="shared" si="45"/>
        <v>0</v>
      </c>
      <c r="O594">
        <f t="array" ref="O594">+SUM($F$2:$F$18*SIN(2*PI()*(M594)*$B$1/$E$2:$E$18+$G$2:$G$18))</f>
        <v>1.2456312928902706</v>
      </c>
      <c r="P594">
        <f t="shared" si="46"/>
        <v>0</v>
      </c>
      <c r="Q594">
        <f t="shared" si="47"/>
        <v>-0.34877525334245424</v>
      </c>
      <c r="R594">
        <f t="array" ref="R594">+$B$2*SIN(Q594*$B$3+$B$4)+Q594+$B$9*SIN(PI()*M594+$B$10)+$B$11*SIN(2*PI()*M594+$B$12) + SUM($I$2:$I$18*SIN(2*PI()*M594*$H$2:$H$18+$J$2:$J$18))</f>
        <v>7.7285214561775852</v>
      </c>
    </row>
    <row r="595" spans="3:18" x14ac:dyDescent="0.35">
      <c r="C595">
        <v>0.48475999999999997</v>
      </c>
      <c r="L595">
        <f t="shared" si="48"/>
        <v>594</v>
      </c>
      <c r="M595">
        <f t="shared" si="49"/>
        <v>1929.4166666666217</v>
      </c>
      <c r="N595">
        <f t="shared" si="45"/>
        <v>0</v>
      </c>
      <c r="O595">
        <f t="array" ref="O595">+SUM($F$2:$F$18*SIN(2*PI()*(M595)*$B$1/$E$2:$E$18+$G$2:$G$18))</f>
        <v>0.62655498555212963</v>
      </c>
      <c r="P595">
        <f t="shared" si="46"/>
        <v>0</v>
      </c>
      <c r="Q595">
        <f t="shared" si="47"/>
        <v>-0.34797112367738825</v>
      </c>
      <c r="R595">
        <f t="array" ref="R595">+$B$2*SIN(Q595*$B$3+$B$4)+Q595+$B$9*SIN(PI()*M595+$B$10)+$B$11*SIN(2*PI()*M595+$B$12) + SUM($I$2:$I$18*SIN(2*PI()*M595*$H$2:$H$18+$J$2:$J$18))</f>
        <v>8.2403869095231048</v>
      </c>
    </row>
    <row r="596" spans="3:18" x14ac:dyDescent="0.35">
      <c r="C596">
        <v>0.37042400000000003</v>
      </c>
      <c r="L596">
        <f t="shared" si="48"/>
        <v>595</v>
      </c>
      <c r="M596">
        <f t="shared" si="49"/>
        <v>1929.499999999955</v>
      </c>
      <c r="N596">
        <f t="shared" si="45"/>
        <v>0</v>
      </c>
      <c r="O596">
        <f t="array" ref="O596">+SUM($F$2:$F$18*SIN(2*PI()*(M596)*$B$1/$E$2:$E$18+$G$2:$G$18))</f>
        <v>7.4592715137270255E-2</v>
      </c>
      <c r="P596">
        <f t="shared" si="46"/>
        <v>0</v>
      </c>
      <c r="Q596">
        <f t="shared" si="47"/>
        <v>-0.34716884799855563</v>
      </c>
      <c r="R596">
        <f t="array" ref="R596">+$B$2*SIN(Q596*$B$3+$B$4)+Q596+$B$9*SIN(PI()*M596+$B$10)+$B$11*SIN(2*PI()*M596+$B$12) + SUM($I$2:$I$18*SIN(2*PI()*M596*$H$2:$H$18+$J$2:$J$18))</f>
        <v>8.9889958527537406</v>
      </c>
    </row>
    <row r="597" spans="3:18" x14ac:dyDescent="0.35">
      <c r="C597">
        <v>0.19300999999999999</v>
      </c>
      <c r="L597">
        <f t="shared" si="48"/>
        <v>596</v>
      </c>
      <c r="M597">
        <f t="shared" si="49"/>
        <v>1929.5833333332882</v>
      </c>
      <c r="N597">
        <f t="shared" si="45"/>
        <v>0</v>
      </c>
      <c r="O597">
        <f t="array" ref="O597">+SUM($F$2:$F$18*SIN(2*PI()*(M597)*$B$1/$E$2:$E$18+$G$2:$G$18))</f>
        <v>-0.23733827390418477</v>
      </c>
      <c r="P597">
        <f t="shared" si="46"/>
        <v>0</v>
      </c>
      <c r="Q597">
        <f t="shared" si="47"/>
        <v>-0.34636842203144058</v>
      </c>
      <c r="R597">
        <f t="array" ref="R597">+$B$2*SIN(Q597*$B$3+$B$4)+Q597+$B$9*SIN(PI()*M597+$B$10)+$B$11*SIN(2*PI()*M597+$B$12) + SUM($I$2:$I$18*SIN(2*PI()*M597*$H$2:$H$18+$J$2:$J$18))</f>
        <v>9.8291504644216978</v>
      </c>
    </row>
    <row r="598" spans="3:18" x14ac:dyDescent="0.35">
      <c r="C598">
        <v>-1.0562E-2</v>
      </c>
      <c r="L598">
        <f t="shared" si="48"/>
        <v>597</v>
      </c>
      <c r="M598">
        <f t="shared" si="49"/>
        <v>1929.6666666666215</v>
      </c>
      <c r="N598">
        <f t="shared" si="45"/>
        <v>0</v>
      </c>
      <c r="O598">
        <f t="array" ref="O598">+SUM($F$2:$F$18*SIN(2*PI()*(M598)*$B$1/$E$2:$E$18+$G$2:$G$18))</f>
        <v>-0.45738841148536158</v>
      </c>
      <c r="P598">
        <f t="shared" si="46"/>
        <v>0</v>
      </c>
      <c r="Q598">
        <f t="shared" si="47"/>
        <v>-0.34556984151138259</v>
      </c>
      <c r="R598">
        <f t="array" ref="R598">+$B$2*SIN(Q598*$B$3+$B$4)+Q598+$B$9*SIN(PI()*M598+$B$10)+$B$11*SIN(2*PI()*M598+$B$12) + SUM($I$2:$I$18*SIN(2*PI()*M598*$H$2:$H$18+$J$2:$J$18))</f>
        <v>10.615933257665064</v>
      </c>
    </row>
    <row r="599" spans="3:18" x14ac:dyDescent="0.35">
      <c r="C599">
        <v>-8.1823999999999994E-2</v>
      </c>
      <c r="L599">
        <f t="shared" si="48"/>
        <v>598</v>
      </c>
      <c r="M599">
        <f t="shared" si="49"/>
        <v>1929.7499999999548</v>
      </c>
      <c r="N599">
        <f t="shared" si="45"/>
        <v>0</v>
      </c>
      <c r="O599">
        <f t="array" ref="O599">+SUM($F$2:$F$18*SIN(2*PI()*(M599)*$B$1/$E$2:$E$18+$G$2:$G$18))</f>
        <v>0.3440131139019037</v>
      </c>
      <c r="P599">
        <f t="shared" si="46"/>
        <v>0</v>
      </c>
      <c r="Q599">
        <f t="shared" si="47"/>
        <v>-0.34477310218355361</v>
      </c>
      <c r="R599">
        <f t="array" ref="R599">+$B$2*SIN(Q599*$B$3+$B$4)+Q599+$B$9*SIN(PI()*M599+$B$10)+$B$11*SIN(2*PI()*M599+$B$12) + SUM($I$2:$I$18*SIN(2*PI()*M599*$H$2:$H$18+$J$2:$J$18))</f>
        <v>11.241258604252273</v>
      </c>
    </row>
    <row r="600" spans="3:18" x14ac:dyDescent="0.35">
      <c r="C600">
        <v>-2.3180000000000002E-3</v>
      </c>
      <c r="L600">
        <f t="shared" si="48"/>
        <v>599</v>
      </c>
      <c r="M600">
        <f t="shared" si="49"/>
        <v>1929.833333333288</v>
      </c>
      <c r="N600">
        <f t="shared" si="45"/>
        <v>0</v>
      </c>
      <c r="O600">
        <f t="array" ref="O600">+SUM($F$2:$F$18*SIN(2*PI()*(M600)*$B$1/$E$2:$E$18+$G$2:$G$18))</f>
        <v>1.6880142439684904</v>
      </c>
      <c r="P600">
        <f t="shared" si="46"/>
        <v>0</v>
      </c>
      <c r="Q600">
        <f t="shared" si="47"/>
        <v>-0.34397819980293542</v>
      </c>
      <c r="R600">
        <f t="array" ref="R600">+$B$2*SIN(Q600*$B$3+$B$4)+Q600+$B$9*SIN(PI()*M600+$B$10)+$B$11*SIN(2*PI()*M600+$B$12) + SUM($I$2:$I$18*SIN(2*PI()*M600*$H$2:$H$18+$J$2:$J$18))</f>
        <v>11.659052924020667</v>
      </c>
    </row>
    <row r="601" spans="3:18" x14ac:dyDescent="0.35">
      <c r="C601">
        <v>0.115646</v>
      </c>
      <c r="L601">
        <f t="shared" si="48"/>
        <v>600</v>
      </c>
      <c r="M601">
        <f t="shared" si="49"/>
        <v>1929.9166666666213</v>
      </c>
      <c r="N601">
        <f t="shared" si="45"/>
        <v>0</v>
      </c>
      <c r="O601">
        <f t="array" ref="O601">+SUM($F$2:$F$18*SIN(2*PI()*(M601)*$B$1/$E$2:$E$18+$G$2:$G$18))</f>
        <v>1.9806737082278287</v>
      </c>
      <c r="P601">
        <f t="shared" si="46"/>
        <v>0</v>
      </c>
      <c r="Q601">
        <f t="shared" si="47"/>
        <v>-0.34318513013429713</v>
      </c>
      <c r="R601">
        <f t="array" ref="R601">+$B$2*SIN(Q601*$B$3+$B$4)+Q601+$B$9*SIN(PI()*M601+$B$10)+$B$11*SIN(2*PI()*M601+$B$12) + SUM($I$2:$I$18*SIN(2*PI()*M601*$H$2:$H$18+$J$2:$J$18))</f>
        <v>11.892409615312262</v>
      </c>
    </row>
    <row r="602" spans="3:18" x14ac:dyDescent="0.35">
      <c r="C602">
        <v>-1.7158E-2</v>
      </c>
      <c r="L602">
        <f t="shared" si="48"/>
        <v>601</v>
      </c>
      <c r="M602">
        <f t="shared" si="49"/>
        <v>1929.9999999999545</v>
      </c>
      <c r="N602">
        <f t="shared" si="45"/>
        <v>200</v>
      </c>
      <c r="O602">
        <f t="array" ref="O602">+SUM($F$2:$F$18*SIN(2*PI()*(M602)*$B$1/$E$2:$E$18+$G$2:$G$18))</f>
        <v>1.6782630205215685</v>
      </c>
      <c r="P602">
        <f t="shared" si="46"/>
        <v>335.6526041043137</v>
      </c>
      <c r="Q602">
        <f t="shared" si="47"/>
        <v>0.4314804428138786</v>
      </c>
      <c r="R602">
        <f t="array" ref="R602">+$B$2*SIN(Q602*$B$3+$B$4)+Q602+$B$9*SIN(PI()*M602+$B$10)+$B$11*SIN(2*PI()*M602+$B$12) + SUM($I$2:$I$18*SIN(2*PI()*M602*$H$2:$H$18+$J$2:$J$18))</f>
        <v>6.6660799894601794</v>
      </c>
    </row>
    <row r="603" spans="3:18" x14ac:dyDescent="0.35">
      <c r="C603">
        <v>-7.4577999999999992E-2</v>
      </c>
      <c r="L603">
        <f t="shared" si="48"/>
        <v>602</v>
      </c>
      <c r="M603">
        <f t="shared" si="49"/>
        <v>1930.0833333332878</v>
      </c>
      <c r="N603">
        <f t="shared" si="45"/>
        <v>0</v>
      </c>
      <c r="O603">
        <f t="array" ref="O603">+SUM($F$2:$F$18*SIN(2*PI()*(M603)*$B$1/$E$2:$E$18+$G$2:$G$18))</f>
        <v>1.0331679106623881</v>
      </c>
      <c r="P603">
        <f t="shared" si="46"/>
        <v>0</v>
      </c>
      <c r="Q603">
        <f t="shared" si="47"/>
        <v>0.43048562961931469</v>
      </c>
      <c r="R603">
        <f t="array" ref="R603">+$B$2*SIN(Q603*$B$3+$B$4)+Q603+$B$9*SIN(PI()*M603+$B$10)+$B$11*SIN(2*PI()*M603+$B$12) + SUM($I$2:$I$18*SIN(2*PI()*M603*$H$2:$H$18+$J$2:$J$18))</f>
        <v>6.9040353365380849</v>
      </c>
    </row>
    <row r="604" spans="3:18" x14ac:dyDescent="0.35">
      <c r="C604">
        <v>3.382E-3</v>
      </c>
      <c r="L604">
        <f t="shared" si="48"/>
        <v>603</v>
      </c>
      <c r="M604">
        <f t="shared" si="49"/>
        <v>1930.166666666621</v>
      </c>
      <c r="N604">
        <f t="shared" si="45"/>
        <v>0</v>
      </c>
      <c r="O604">
        <f t="array" ref="O604">+SUM($F$2:$F$18*SIN(2*PI()*(M604)*$B$1/$E$2:$E$18+$G$2:$G$18))</f>
        <v>-0.31220144828709567</v>
      </c>
      <c r="P604">
        <f t="shared" si="46"/>
        <v>0</v>
      </c>
      <c r="Q604">
        <f t="shared" si="47"/>
        <v>0.42949311004734375</v>
      </c>
      <c r="R604">
        <f t="array" ref="R604">+$B$2*SIN(Q604*$B$3+$B$4)+Q604+$B$9*SIN(PI()*M604+$B$10)+$B$11*SIN(2*PI()*M604+$B$12) + SUM($I$2:$I$18*SIN(2*PI()*M604*$H$2:$H$18+$J$2:$J$18))</f>
        <v>7.2431295509510889</v>
      </c>
    </row>
    <row r="605" spans="3:18" x14ac:dyDescent="0.35">
      <c r="C605">
        <v>7.4960000000000001E-3</v>
      </c>
      <c r="L605">
        <f t="shared" si="48"/>
        <v>604</v>
      </c>
      <c r="M605">
        <f t="shared" si="49"/>
        <v>1930.2499999999543</v>
      </c>
      <c r="N605">
        <f t="shared" si="45"/>
        <v>0</v>
      </c>
      <c r="O605">
        <f t="array" ref="O605">+SUM($F$2:$F$18*SIN(2*PI()*(M605)*$B$1/$E$2:$E$18+$G$2:$G$18))</f>
        <v>-1.0063305236870141</v>
      </c>
      <c r="P605">
        <f t="shared" si="46"/>
        <v>0</v>
      </c>
      <c r="Q605">
        <f t="shared" si="47"/>
        <v>0.42850287880983273</v>
      </c>
      <c r="R605">
        <f t="array" ref="R605">+$B$2*SIN(Q605*$B$3+$B$4)+Q605+$B$9*SIN(PI()*M605+$B$10)+$B$11*SIN(2*PI()*M605+$B$12) + SUM($I$2:$I$18*SIN(2*PI()*M605*$H$2:$H$18+$J$2:$J$18))</f>
        <v>7.7381794236768755</v>
      </c>
    </row>
    <row r="606" spans="3:18" x14ac:dyDescent="0.35">
      <c r="C606">
        <v>-3.6082000000000003E-2</v>
      </c>
      <c r="L606">
        <f t="shared" si="48"/>
        <v>605</v>
      </c>
      <c r="M606">
        <f t="shared" si="49"/>
        <v>1930.3333333332876</v>
      </c>
      <c r="N606">
        <f t="shared" si="45"/>
        <v>0</v>
      </c>
      <c r="O606">
        <f t="array" ref="O606">+SUM($F$2:$F$18*SIN(2*PI()*(M606)*$B$1/$E$2:$E$18+$G$2:$G$18))</f>
        <v>-0.60452302750080555</v>
      </c>
      <c r="P606">
        <f t="shared" si="46"/>
        <v>0</v>
      </c>
      <c r="Q606">
        <f t="shared" si="47"/>
        <v>0.42751493063084067</v>
      </c>
      <c r="R606">
        <f t="array" ref="R606">+$B$2*SIN(Q606*$B$3+$B$4)+Q606+$B$9*SIN(PI()*M606+$B$10)+$B$11*SIN(2*PI()*M606+$B$12) + SUM($I$2:$I$18*SIN(2*PI()*M606*$H$2:$H$18+$J$2:$J$18))</f>
        <v>8.3775545805390479</v>
      </c>
    </row>
    <row r="607" spans="3:18" x14ac:dyDescent="0.35">
      <c r="C607">
        <v>-0.23350799999999999</v>
      </c>
      <c r="L607">
        <f t="shared" si="48"/>
        <v>606</v>
      </c>
      <c r="M607">
        <f t="shared" si="49"/>
        <v>1930.4166666666208</v>
      </c>
      <c r="N607">
        <f t="shared" si="45"/>
        <v>0</v>
      </c>
      <c r="O607">
        <f t="array" ref="O607">+SUM($F$2:$F$18*SIN(2*PI()*(M607)*$B$1/$E$2:$E$18+$G$2:$G$18))</f>
        <v>-3.2261161002629213E-2</v>
      </c>
      <c r="P607">
        <f t="shared" si="46"/>
        <v>0</v>
      </c>
      <c r="Q607">
        <f t="shared" si="47"/>
        <v>0.42652926024659082</v>
      </c>
      <c r="R607">
        <f t="array" ref="R607">+$B$2*SIN(Q607*$B$3+$B$4)+Q607+$B$9*SIN(PI()*M607+$B$10)+$B$11*SIN(2*PI()*M607+$B$12) + SUM($I$2:$I$18*SIN(2*PI()*M607*$H$2:$H$18+$J$2:$J$18))</f>
        <v>9.0788041695821065</v>
      </c>
    </row>
    <row r="608" spans="3:18" x14ac:dyDescent="0.35">
      <c r="C608">
        <v>-0.18785799999999997</v>
      </c>
      <c r="L608">
        <f t="shared" si="48"/>
        <v>607</v>
      </c>
      <c r="M608">
        <f t="shared" si="49"/>
        <v>1930.4999999999541</v>
      </c>
      <c r="N608">
        <f t="shared" si="45"/>
        <v>0</v>
      </c>
      <c r="O608">
        <f t="array" ref="O608">+SUM($F$2:$F$18*SIN(2*PI()*(M608)*$B$1/$E$2:$E$18+$G$2:$G$18))</f>
        <v>0.70598491407055641</v>
      </c>
      <c r="P608">
        <f t="shared" si="46"/>
        <v>0</v>
      </c>
      <c r="Q608">
        <f t="shared" si="47"/>
        <v>0.42554586240544251</v>
      </c>
      <c r="R608">
        <f t="array" ref="R608">+$B$2*SIN(Q608*$B$3+$B$4)+Q608+$B$9*SIN(PI()*M608+$B$10)+$B$11*SIN(2*PI()*M608+$B$12) + SUM($I$2:$I$18*SIN(2*PI()*M608*$H$2:$H$18+$J$2:$J$18))</f>
        <v>9.7042956219934382</v>
      </c>
    </row>
    <row r="609" spans="3:18" x14ac:dyDescent="0.35">
      <c r="C609">
        <v>-0.26990200000000003</v>
      </c>
      <c r="L609">
        <f t="shared" si="48"/>
        <v>608</v>
      </c>
      <c r="M609">
        <f t="shared" si="49"/>
        <v>1930.5833333332873</v>
      </c>
      <c r="N609">
        <f t="shared" si="45"/>
        <v>0</v>
      </c>
      <c r="O609">
        <f t="array" ref="O609">+SUM($F$2:$F$18*SIN(2*PI()*(M609)*$B$1/$E$2:$E$18+$G$2:$G$18))</f>
        <v>1.1625026817114352</v>
      </c>
      <c r="P609">
        <f t="shared" si="46"/>
        <v>0</v>
      </c>
      <c r="Q609">
        <f t="shared" si="47"/>
        <v>0.42456473186786303</v>
      </c>
      <c r="R609">
        <f t="array" ref="R609">+$B$2*SIN(Q609*$B$3+$B$4)+Q609+$B$9*SIN(PI()*M609+$B$10)+$B$11*SIN(2*PI()*M609+$B$12) + SUM($I$2:$I$18*SIN(2*PI()*M609*$H$2:$H$18+$J$2:$J$18))</f>
        <v>10.093062380674265</v>
      </c>
    </row>
    <row r="610" spans="3:18" x14ac:dyDescent="0.35">
      <c r="C610">
        <v>-0.15656400000000001</v>
      </c>
      <c r="L610">
        <f t="shared" si="48"/>
        <v>609</v>
      </c>
      <c r="M610">
        <f t="shared" si="49"/>
        <v>1930.6666666666206</v>
      </c>
      <c r="N610">
        <f t="shared" si="45"/>
        <v>0</v>
      </c>
      <c r="O610">
        <f t="array" ref="O610">+SUM($F$2:$F$18*SIN(2*PI()*(M610)*$B$1/$E$2:$E$18+$G$2:$G$18))</f>
        <v>1.0385154053861831</v>
      </c>
      <c r="P610">
        <f t="shared" si="46"/>
        <v>0</v>
      </c>
      <c r="Q610">
        <f t="shared" si="47"/>
        <v>0.42358586340639992</v>
      </c>
      <c r="R610">
        <f t="array" ref="R610">+$B$2*SIN(Q610*$B$3+$B$4)+Q610+$B$9*SIN(PI()*M610+$B$10)+$B$11*SIN(2*PI()*M610+$B$12) + SUM($I$2:$I$18*SIN(2*PI()*M610*$H$2:$H$18+$J$2:$J$18))</f>
        <v>10.100653094385521</v>
      </c>
    </row>
    <row r="611" spans="3:18" x14ac:dyDescent="0.35">
      <c r="C611">
        <v>-0.36322399999999999</v>
      </c>
      <c r="L611">
        <f t="shared" si="48"/>
        <v>610</v>
      </c>
      <c r="M611">
        <f t="shared" si="49"/>
        <v>1930.7499999999538</v>
      </c>
      <c r="N611">
        <f t="shared" si="45"/>
        <v>0</v>
      </c>
      <c r="O611">
        <f t="array" ref="O611">+SUM($F$2:$F$18*SIN(2*PI()*(M611)*$B$1/$E$2:$E$18+$G$2:$G$18))</f>
        <v>0.94905335611174224</v>
      </c>
      <c r="P611">
        <f t="shared" si="46"/>
        <v>0</v>
      </c>
      <c r="Q611">
        <f t="shared" si="47"/>
        <v>0.42260925180565301</v>
      </c>
      <c r="R611">
        <f t="array" ref="R611">+$B$2*SIN(Q611*$B$3+$B$4)+Q611+$B$9*SIN(PI()*M611+$B$10)+$B$11*SIN(2*PI()*M611+$B$12) + SUM($I$2:$I$18*SIN(2*PI()*M611*$H$2:$H$18+$J$2:$J$18))</f>
        <v>9.6365483420313609</v>
      </c>
    </row>
    <row r="612" spans="3:18" x14ac:dyDescent="0.35">
      <c r="C612">
        <v>-0.303732</v>
      </c>
      <c r="L612">
        <f t="shared" si="48"/>
        <v>611</v>
      </c>
      <c r="M612">
        <f t="shared" si="49"/>
        <v>1930.8333333332871</v>
      </c>
      <c r="N612">
        <f t="shared" si="45"/>
        <v>0</v>
      </c>
      <c r="O612">
        <f t="array" ref="O612">+SUM($F$2:$F$18*SIN(2*PI()*(M612)*$B$1/$E$2:$E$18+$G$2:$G$18))</f>
        <v>6.1532960579386842E-2</v>
      </c>
      <c r="P612">
        <f t="shared" si="46"/>
        <v>0</v>
      </c>
      <c r="Q612">
        <f t="shared" si="47"/>
        <v>0.42163489186224673</v>
      </c>
      <c r="R612">
        <f t="array" ref="R612">+$B$2*SIN(Q612*$B$3+$B$4)+Q612+$B$9*SIN(PI()*M612+$B$10)+$B$11*SIN(2*PI()*M612+$B$12) + SUM($I$2:$I$18*SIN(2*PI()*M612*$H$2:$H$18+$J$2:$J$18))</f>
        <v>8.6892633243211925</v>
      </c>
    </row>
    <row r="613" spans="3:18" x14ac:dyDescent="0.35">
      <c r="C613">
        <v>-0.188858</v>
      </c>
      <c r="L613">
        <f t="shared" si="48"/>
        <v>612</v>
      </c>
      <c r="M613">
        <f t="shared" si="49"/>
        <v>1930.9166666666204</v>
      </c>
      <c r="N613">
        <f t="shared" si="45"/>
        <v>0</v>
      </c>
      <c r="O613">
        <f t="array" ref="O613">+SUM($F$2:$F$18*SIN(2*PI()*(M613)*$B$1/$E$2:$E$18+$G$2:$G$18))</f>
        <v>-1.6268109858069417</v>
      </c>
      <c r="P613">
        <f t="shared" si="46"/>
        <v>0</v>
      </c>
      <c r="Q613">
        <f t="shared" si="47"/>
        <v>0.42066277838480221</v>
      </c>
      <c r="R613">
        <f t="array" ref="R613">+$B$2*SIN(Q613*$B$3+$B$4)+Q613+$B$9*SIN(PI()*M613+$B$10)+$B$11*SIN(2*PI()*M613+$B$12) + SUM($I$2:$I$18*SIN(2*PI()*M613*$H$2:$H$18+$J$2:$J$18))</f>
        <v>7.3324436397100818</v>
      </c>
    </row>
    <row r="614" spans="3:18" x14ac:dyDescent="0.35">
      <c r="C614">
        <v>-0.160138</v>
      </c>
      <c r="L614">
        <f t="shared" si="48"/>
        <v>613</v>
      </c>
      <c r="M614">
        <f t="shared" si="49"/>
        <v>1930.9999999999536</v>
      </c>
      <c r="N614">
        <f t="shared" si="45"/>
        <v>200</v>
      </c>
      <c r="O614">
        <f t="array" ref="O614">+SUM($F$2:$F$18*SIN(2*PI()*(M614)*$B$1/$E$2:$E$18+$G$2:$G$18))</f>
        <v>-1.874220517530705</v>
      </c>
      <c r="P614">
        <f t="shared" si="46"/>
        <v>-374.84410350614098</v>
      </c>
      <c r="Q614">
        <f t="shared" si="47"/>
        <v>-0.44454060956069436</v>
      </c>
      <c r="R614">
        <f t="array" ref="R614">+$B$2*SIN(Q614*$B$3+$B$4)+Q614+$B$9*SIN(PI()*M614+$B$10)+$B$11*SIN(2*PI()*M614+$B$12) + SUM($I$2:$I$18*SIN(2*PI()*M614*$H$2:$H$18+$J$2:$J$18))</f>
        <v>8.0838660070251045</v>
      </c>
    </row>
    <row r="615" spans="3:18" x14ac:dyDescent="0.35">
      <c r="C615">
        <v>8.5819999999999994E-3</v>
      </c>
      <c r="L615">
        <f t="shared" si="48"/>
        <v>614</v>
      </c>
      <c r="M615">
        <f t="shared" si="49"/>
        <v>1931.0833333332869</v>
      </c>
      <c r="N615">
        <f t="shared" si="45"/>
        <v>0</v>
      </c>
      <c r="O615">
        <f t="array" ref="O615">+SUM($F$2:$F$18*SIN(2*PI()*(M615)*$B$1/$E$2:$E$18+$G$2:$G$18))</f>
        <v>-0.66924290569332767</v>
      </c>
      <c r="P615">
        <f t="shared" si="46"/>
        <v>0</v>
      </c>
      <c r="Q615">
        <f t="shared" si="47"/>
        <v>-0.44351568509128747</v>
      </c>
      <c r="R615">
        <f t="array" ref="R615">+$B$2*SIN(Q615*$B$3+$B$4)+Q615+$B$9*SIN(PI()*M615+$B$10)+$B$11*SIN(2*PI()*M615+$B$12) + SUM($I$2:$I$18*SIN(2*PI()*M615*$H$2:$H$18+$J$2:$J$18))</f>
        <v>6.3606200932114669</v>
      </c>
    </row>
    <row r="616" spans="3:18" x14ac:dyDescent="0.35">
      <c r="C616">
        <v>0.26191400000000004</v>
      </c>
      <c r="L616">
        <f t="shared" si="48"/>
        <v>615</v>
      </c>
      <c r="M616">
        <f t="shared" si="49"/>
        <v>1931.1666666666201</v>
      </c>
      <c r="N616">
        <f t="shared" si="45"/>
        <v>0</v>
      </c>
      <c r="O616">
        <f t="array" ref="O616">+SUM($F$2:$F$18*SIN(2*PI()*(M616)*$B$1/$E$2:$E$18+$G$2:$G$18))</f>
        <v>0.26905505721672962</v>
      </c>
      <c r="P616">
        <f t="shared" si="46"/>
        <v>0</v>
      </c>
      <c r="Q616">
        <f t="shared" si="47"/>
        <v>-0.44249312366846261</v>
      </c>
      <c r="R616">
        <f t="array" ref="R616">+$B$2*SIN(Q616*$B$3+$B$4)+Q616+$B$9*SIN(PI()*M616+$B$10)+$B$11*SIN(2*PI()*M616+$B$12) + SUM($I$2:$I$18*SIN(2*PI()*M616*$H$2:$H$18+$J$2:$J$18))</f>
        <v>4.7361645435058817</v>
      </c>
    </row>
    <row r="617" spans="3:18" x14ac:dyDescent="0.35">
      <c r="C617">
        <v>0.28601599999999999</v>
      </c>
      <c r="L617">
        <f t="shared" si="48"/>
        <v>616</v>
      </c>
      <c r="M617">
        <f t="shared" si="49"/>
        <v>1931.2499999999534</v>
      </c>
      <c r="N617">
        <f t="shared" si="45"/>
        <v>0</v>
      </c>
      <c r="O617">
        <f t="array" ref="O617">+SUM($F$2:$F$18*SIN(2*PI()*(M617)*$B$1/$E$2:$E$18+$G$2:$G$18))</f>
        <v>0.56492476474475883</v>
      </c>
      <c r="P617">
        <f t="shared" si="46"/>
        <v>0</v>
      </c>
      <c r="Q617">
        <f t="shared" si="47"/>
        <v>-0.44147291984402398</v>
      </c>
      <c r="R617">
        <f t="array" ref="R617">+$B$2*SIN(Q617*$B$3+$B$4)+Q617+$B$9*SIN(PI()*M617+$B$10)+$B$11*SIN(2*PI()*M617+$B$12) + SUM($I$2:$I$18*SIN(2*PI()*M617*$H$2:$H$18+$J$2:$J$18))</f>
        <v>3.3515387318912064</v>
      </c>
    </row>
    <row r="618" spans="3:18" x14ac:dyDescent="0.35">
      <c r="C618">
        <v>0.391654</v>
      </c>
      <c r="L618">
        <f t="shared" si="48"/>
        <v>617</v>
      </c>
      <c r="M618">
        <f t="shared" si="49"/>
        <v>1931.3333333332866</v>
      </c>
      <c r="N618">
        <f t="shared" si="45"/>
        <v>0</v>
      </c>
      <c r="O618">
        <f t="array" ref="O618">+SUM($F$2:$F$18*SIN(2*PI()*(M618)*$B$1/$E$2:$E$18+$G$2:$G$18))</f>
        <v>0.27730133103930982</v>
      </c>
      <c r="P618">
        <f t="shared" si="46"/>
        <v>0</v>
      </c>
      <c r="Q618">
        <f t="shared" si="47"/>
        <v>-0.4404550681823371</v>
      </c>
      <c r="R618">
        <f t="array" ref="R618">+$B$2*SIN(Q618*$B$3+$B$4)+Q618+$B$9*SIN(PI()*M618+$B$10)+$B$11*SIN(2*PI()*M618+$B$12) + SUM($I$2:$I$18*SIN(2*PI()*M618*$H$2:$H$18+$J$2:$J$18))</f>
        <v>2.2801038955342232</v>
      </c>
    </row>
    <row r="619" spans="3:18" x14ac:dyDescent="0.35">
      <c r="C619">
        <v>0.55728999999999995</v>
      </c>
      <c r="L619">
        <f t="shared" si="48"/>
        <v>618</v>
      </c>
      <c r="M619">
        <f t="shared" si="49"/>
        <v>1931.4166666666199</v>
      </c>
      <c r="N619">
        <f t="shared" si="45"/>
        <v>0</v>
      </c>
      <c r="O619">
        <f t="array" ref="O619">+SUM($F$2:$F$18*SIN(2*PI()*(M619)*$B$1/$E$2:$E$18+$G$2:$G$18))</f>
        <v>6.5222357968886729E-2</v>
      </c>
      <c r="P619">
        <f t="shared" si="46"/>
        <v>0</v>
      </c>
      <c r="Q619">
        <f t="shared" si="47"/>
        <v>-0.43943956326029976</v>
      </c>
      <c r="R619">
        <f t="array" ref="R619">+$B$2*SIN(Q619*$B$3+$B$4)+Q619+$B$9*SIN(PI()*M619+$B$10)+$B$11*SIN(2*PI()*M619+$B$12) + SUM($I$2:$I$18*SIN(2*PI()*M619*$H$2:$H$18+$J$2:$J$18))</f>
        <v>1.5186457531234971</v>
      </c>
    </row>
    <row r="620" spans="3:18" x14ac:dyDescent="0.35">
      <c r="C620">
        <v>0.59061999999999992</v>
      </c>
      <c r="L620">
        <f t="shared" si="48"/>
        <v>619</v>
      </c>
      <c r="M620">
        <f t="shared" si="49"/>
        <v>1931.4999999999532</v>
      </c>
      <c r="N620">
        <f t="shared" si="45"/>
        <v>0</v>
      </c>
      <c r="O620">
        <f t="array" ref="O620">+SUM($F$2:$F$18*SIN(2*PI()*(M620)*$B$1/$E$2:$E$18+$G$2:$G$18))</f>
        <v>0.12987471244394011</v>
      </c>
      <c r="P620">
        <f t="shared" si="46"/>
        <v>0</v>
      </c>
      <c r="Q620">
        <f t="shared" si="47"/>
        <v>-0.43842639966731317</v>
      </c>
      <c r="R620">
        <f t="array" ref="R620">+$B$2*SIN(Q620*$B$3+$B$4)+Q620+$B$9*SIN(PI()*M620+$B$10)+$B$11*SIN(2*PI()*M620+$B$12) + SUM($I$2:$I$18*SIN(2*PI()*M620*$H$2:$H$18+$J$2:$J$18))</f>
        <v>0.9987130163784137</v>
      </c>
    </row>
    <row r="621" spans="3:18" x14ac:dyDescent="0.35">
      <c r="C621">
        <v>0.31779399999999997</v>
      </c>
      <c r="L621">
        <f t="shared" si="48"/>
        <v>620</v>
      </c>
      <c r="M621">
        <f t="shared" si="49"/>
        <v>1931.5833333332864</v>
      </c>
      <c r="N621">
        <f t="shared" si="45"/>
        <v>0</v>
      </c>
      <c r="O621">
        <f t="array" ref="O621">+SUM($F$2:$F$18*SIN(2*PI()*(M621)*$B$1/$E$2:$E$18+$G$2:$G$18))</f>
        <v>-1.0111356602504951</v>
      </c>
      <c r="P621">
        <f t="shared" si="46"/>
        <v>0</v>
      </c>
      <c r="Q621">
        <f t="shared" si="47"/>
        <v>-0.43741557200525311</v>
      </c>
      <c r="R621">
        <f t="array" ref="R621">+$B$2*SIN(Q621*$B$3+$B$4)+Q621+$B$9*SIN(PI()*M621+$B$10)+$B$11*SIN(2*PI()*M621+$B$12) + SUM($I$2:$I$18*SIN(2*PI()*M621*$H$2:$H$18+$J$2:$J$18))</f>
        <v>0.61465089573459153</v>
      </c>
    </row>
    <row r="622" spans="3:18" x14ac:dyDescent="0.35">
      <c r="C622">
        <v>0.41881000000000002</v>
      </c>
      <c r="L622">
        <f t="shared" si="48"/>
        <v>621</v>
      </c>
      <c r="M622">
        <f t="shared" si="49"/>
        <v>1931.6666666666197</v>
      </c>
      <c r="N622">
        <f t="shared" si="45"/>
        <v>0</v>
      </c>
      <c r="O622">
        <f t="array" ref="O622">+SUM($F$2:$F$18*SIN(2*PI()*(M622)*$B$1/$E$2:$E$18+$G$2:$G$18))</f>
        <v>-2.5160633824640048</v>
      </c>
      <c r="P622">
        <f t="shared" si="46"/>
        <v>0</v>
      </c>
      <c r="Q622">
        <f t="shared" si="47"/>
        <v>-0.4364070748884411</v>
      </c>
      <c r="R622">
        <f t="array" ref="R622">+$B$2*SIN(Q622*$B$3+$B$4)+Q622+$B$9*SIN(PI()*M622+$B$10)+$B$11*SIN(2*PI()*M622+$B$12) + SUM($I$2:$I$18*SIN(2*PI()*M622*$H$2:$H$18+$J$2:$J$18))</f>
        <v>0.26035889624586073</v>
      </c>
    </row>
    <row r="623" spans="3:18" x14ac:dyDescent="0.35">
      <c r="C623">
        <v>0.68444400000000005</v>
      </c>
      <c r="L623">
        <f t="shared" si="48"/>
        <v>622</v>
      </c>
      <c r="M623">
        <f t="shared" si="49"/>
        <v>1931.7499999999529</v>
      </c>
      <c r="N623">
        <f t="shared" si="45"/>
        <v>0</v>
      </c>
      <c r="O623">
        <f t="array" ref="O623">+SUM($F$2:$F$18*SIN(2*PI()*(M623)*$B$1/$E$2:$E$18+$G$2:$G$18))</f>
        <v>-1.8718278381744575</v>
      </c>
      <c r="P623">
        <f t="shared" si="46"/>
        <v>0</v>
      </c>
      <c r="Q623">
        <f t="shared" si="47"/>
        <v>-0.43540090294361594</v>
      </c>
      <c r="R623">
        <f t="array" ref="R623">+$B$2*SIN(Q623*$B$3+$B$4)+Q623+$B$9*SIN(PI()*M623+$B$10)+$B$11*SIN(2*PI()*M623+$B$12) + SUM($I$2:$I$18*SIN(2*PI()*M623*$H$2:$H$18+$J$2:$J$18))</f>
        <v>-0.13546578035567691</v>
      </c>
    </row>
    <row r="624" spans="3:18" x14ac:dyDescent="0.35">
      <c r="C624">
        <v>0.82084599999999996</v>
      </c>
      <c r="L624">
        <f t="shared" si="48"/>
        <v>623</v>
      </c>
      <c r="M624">
        <f t="shared" si="49"/>
        <v>1931.8333333332862</v>
      </c>
      <c r="N624">
        <f t="shared" si="45"/>
        <v>0</v>
      </c>
      <c r="O624">
        <f t="array" ref="O624">+SUM($F$2:$F$18*SIN(2*PI()*(M624)*$B$1/$E$2:$E$18+$G$2:$G$18))</f>
        <v>-6.8544050849045274E-2</v>
      </c>
      <c r="P624">
        <f t="shared" si="46"/>
        <v>0</v>
      </c>
      <c r="Q624">
        <f t="shared" si="47"/>
        <v>-0.43439705080990476</v>
      </c>
      <c r="R624">
        <f t="array" ref="R624">+$B$2*SIN(Q624*$B$3+$B$4)+Q624+$B$9*SIN(PI()*M624+$B$10)+$B$11*SIN(2*PI()*M624+$B$12) + SUM($I$2:$I$18*SIN(2*PI()*M624*$H$2:$H$18+$J$2:$J$18))</f>
        <v>-0.58534065726505524</v>
      </c>
    </row>
    <row r="625" spans="3:18" x14ac:dyDescent="0.35">
      <c r="C625">
        <v>0.85262799999999994</v>
      </c>
      <c r="L625">
        <f t="shared" si="48"/>
        <v>624</v>
      </c>
      <c r="M625">
        <f t="shared" si="49"/>
        <v>1931.9166666666194</v>
      </c>
      <c r="N625">
        <f t="shared" si="45"/>
        <v>0</v>
      </c>
      <c r="O625">
        <f t="array" ref="O625">+SUM($F$2:$F$18*SIN(2*PI()*(M625)*$B$1/$E$2:$E$18+$G$2:$G$18))</f>
        <v>0.71545161536533808</v>
      </c>
      <c r="P625">
        <f t="shared" si="46"/>
        <v>0</v>
      </c>
      <c r="Q625">
        <f t="shared" si="47"/>
        <v>-0.43339551313879471</v>
      </c>
      <c r="R625">
        <f t="array" ref="R625">+$B$2*SIN(Q625*$B$3+$B$4)+Q625+$B$9*SIN(PI()*M625+$B$10)+$B$11*SIN(2*PI()*M625+$B$12) + SUM($I$2:$I$18*SIN(2*PI()*M625*$H$2:$H$18+$J$2:$J$18))</f>
        <v>-1.0368840810705251</v>
      </c>
    </row>
    <row r="626" spans="3:18" x14ac:dyDescent="0.35">
      <c r="C626">
        <v>0.92133600000000004</v>
      </c>
      <c r="L626">
        <f t="shared" si="48"/>
        <v>625</v>
      </c>
      <c r="M626">
        <f t="shared" si="49"/>
        <v>1931.9999999999527</v>
      </c>
      <c r="N626">
        <f t="shared" si="45"/>
        <v>200</v>
      </c>
      <c r="O626">
        <f t="array" ref="O626">+SUM($F$2:$F$18*SIN(2*PI()*(M626)*$B$1/$E$2:$E$18+$G$2:$G$18))</f>
        <v>0.36545153118518348</v>
      </c>
      <c r="P626">
        <f t="shared" si="46"/>
        <v>73.0903062370367</v>
      </c>
      <c r="Q626">
        <f t="shared" si="47"/>
        <v>-0.26388064906462605</v>
      </c>
      <c r="R626">
        <f t="array" ref="R626">+$B$2*SIN(Q626*$B$3+$B$4)+Q626+$B$9*SIN(PI()*M626+$B$10)+$B$11*SIN(2*PI()*M626+$B$12) + SUM($I$2:$I$18*SIN(2*PI()*M626*$H$2:$H$18+$J$2:$J$18))</f>
        <v>-4.3694019709182488</v>
      </c>
    </row>
    <row r="627" spans="3:18" x14ac:dyDescent="0.35">
      <c r="C627">
        <v>1.039272</v>
      </c>
      <c r="L627">
        <f t="shared" si="48"/>
        <v>626</v>
      </c>
      <c r="M627">
        <f t="shared" si="49"/>
        <v>1932.083333333286</v>
      </c>
      <c r="N627">
        <f t="shared" si="45"/>
        <v>0</v>
      </c>
      <c r="O627">
        <f t="array" ref="O627">+SUM($F$2:$F$18*SIN(2*PI()*(M627)*$B$1/$E$2:$E$18+$G$2:$G$18))</f>
        <v>-0.35170068377625324</v>
      </c>
      <c r="P627">
        <f t="shared" si="46"/>
        <v>0</v>
      </c>
      <c r="Q627">
        <f t="shared" si="47"/>
        <v>-0.2632722508026617</v>
      </c>
      <c r="R627">
        <f t="array" ref="R627">+$B$2*SIN(Q627*$B$3+$B$4)+Q627+$B$9*SIN(PI()*M627+$B$10)+$B$11*SIN(2*PI()*M627+$B$12) + SUM($I$2:$I$18*SIN(2*PI()*M627*$H$2:$H$18+$J$2:$J$18))</f>
        <v>-4.5903603731015536</v>
      </c>
    </row>
    <row r="628" spans="3:18" x14ac:dyDescent="0.35">
      <c r="C628">
        <v>1.164898</v>
      </c>
      <c r="L628">
        <f t="shared" si="48"/>
        <v>627</v>
      </c>
      <c r="M628">
        <f t="shared" si="49"/>
        <v>1932.1666666666192</v>
      </c>
      <c r="N628">
        <f t="shared" si="45"/>
        <v>0</v>
      </c>
      <c r="O628">
        <f t="array" ref="O628">+SUM($F$2:$F$18*SIN(2*PI()*(M628)*$B$1/$E$2:$E$18+$G$2:$G$18))</f>
        <v>-0.36159776572050911</v>
      </c>
      <c r="P628">
        <f t="shared" si="46"/>
        <v>0</v>
      </c>
      <c r="Q628">
        <f t="shared" si="47"/>
        <v>-0.26266525525228862</v>
      </c>
      <c r="R628">
        <f t="array" ref="R628">+$B$2*SIN(Q628*$B$3+$B$4)+Q628+$B$9*SIN(PI()*M628+$B$10)+$B$11*SIN(2*PI()*M628+$B$12) + SUM($I$2:$I$18*SIN(2*PI()*M628*$H$2:$H$18+$J$2:$J$18))</f>
        <v>-4.4719706813925235</v>
      </c>
    </row>
    <row r="629" spans="3:18" x14ac:dyDescent="0.35">
      <c r="C629">
        <v>1.2074480000000001</v>
      </c>
      <c r="L629">
        <f t="shared" si="48"/>
        <v>628</v>
      </c>
      <c r="M629">
        <f t="shared" si="49"/>
        <v>1932.2499999999525</v>
      </c>
      <c r="N629">
        <f t="shared" si="45"/>
        <v>0</v>
      </c>
      <c r="O629">
        <f t="array" ref="O629">+SUM($F$2:$F$18*SIN(2*PI()*(M629)*$B$1/$E$2:$E$18+$G$2:$G$18))</f>
        <v>-0.22043168700793808</v>
      </c>
      <c r="P629">
        <f t="shared" si="46"/>
        <v>0</v>
      </c>
      <c r="Q629">
        <f t="shared" si="47"/>
        <v>-0.26205965917944135</v>
      </c>
      <c r="R629">
        <f t="array" ref="R629">+$B$2*SIN(Q629*$B$3+$B$4)+Q629+$B$9*SIN(PI()*M629+$B$10)+$B$11*SIN(2*PI()*M629+$B$12) + SUM($I$2:$I$18*SIN(2*PI()*M629*$H$2:$H$18+$J$2:$J$18))</f>
        <v>-3.9538570113629028</v>
      </c>
    </row>
    <row r="630" spans="3:18" x14ac:dyDescent="0.35">
      <c r="C630">
        <v>1.143842</v>
      </c>
      <c r="L630">
        <f t="shared" si="48"/>
        <v>629</v>
      </c>
      <c r="M630">
        <f t="shared" si="49"/>
        <v>1932.3333333332857</v>
      </c>
      <c r="N630">
        <f t="shared" si="45"/>
        <v>0</v>
      </c>
      <c r="O630">
        <f t="array" ref="O630">+SUM($F$2:$F$18*SIN(2*PI()*(M630)*$B$1/$E$2:$E$18+$G$2:$G$18))</f>
        <v>-1.5129286547032978</v>
      </c>
      <c r="P630">
        <f t="shared" si="46"/>
        <v>0</v>
      </c>
      <c r="Q630">
        <f t="shared" si="47"/>
        <v>-0.26145545935751086</v>
      </c>
      <c r="R630">
        <f t="array" ref="R630">+$B$2*SIN(Q630*$B$3+$B$4)+Q630+$B$9*SIN(PI()*M630+$B$10)+$B$11*SIN(2*PI()*M630+$B$12) + SUM($I$2:$I$18*SIN(2*PI()*M630*$H$2:$H$18+$J$2:$J$18))</f>
        <v>-3.0486993801550915</v>
      </c>
    </row>
    <row r="631" spans="3:18" x14ac:dyDescent="0.35">
      <c r="C631">
        <v>1.120234</v>
      </c>
      <c r="L631">
        <f t="shared" si="48"/>
        <v>630</v>
      </c>
      <c r="M631">
        <f t="shared" si="49"/>
        <v>1932.416666666619</v>
      </c>
      <c r="N631">
        <f t="shared" si="45"/>
        <v>0</v>
      </c>
      <c r="O631">
        <f t="array" ref="O631">+SUM($F$2:$F$18*SIN(2*PI()*(M631)*$B$1/$E$2:$E$18+$G$2:$G$18))</f>
        <v>-2.4244977834672192</v>
      </c>
      <c r="P631">
        <f t="shared" si="46"/>
        <v>0</v>
      </c>
      <c r="Q631">
        <f t="shared" si="47"/>
        <v>-0.26085265256732726</v>
      </c>
      <c r="R631">
        <f t="array" ref="R631">+$B$2*SIN(Q631*$B$3+$B$4)+Q631+$B$9*SIN(PI()*M631+$B$10)+$B$11*SIN(2*PI()*M631+$B$12) + SUM($I$2:$I$18*SIN(2*PI()*M631*$H$2:$H$18+$J$2:$J$18))</f>
        <v>-1.8464908442165733</v>
      </c>
    </row>
    <row r="632" spans="3:18" x14ac:dyDescent="0.35">
      <c r="C632">
        <v>0.85816400000000004</v>
      </c>
      <c r="L632">
        <f t="shared" si="48"/>
        <v>631</v>
      </c>
      <c r="M632">
        <f t="shared" si="49"/>
        <v>1932.4999999999523</v>
      </c>
      <c r="N632">
        <f t="shared" si="45"/>
        <v>0</v>
      </c>
      <c r="O632">
        <f t="array" ref="O632">+SUM($F$2:$F$18*SIN(2*PI()*(M632)*$B$1/$E$2:$E$18+$G$2:$G$18))</f>
        <v>-0.83978940794769119</v>
      </c>
      <c r="P632">
        <f t="shared" si="46"/>
        <v>0</v>
      </c>
      <c r="Q632">
        <f t="shared" si="47"/>
        <v>-0.2602512355971428</v>
      </c>
      <c r="R632">
        <f t="array" ref="R632">+$B$2*SIN(Q632*$B$3+$B$4)+Q632+$B$9*SIN(PI()*M632+$B$10)+$B$11*SIN(2*PI()*M632+$B$12) + SUM($I$2:$I$18*SIN(2*PI()*M632*$H$2:$H$18+$J$2:$J$18))</f>
        <v>-0.49860656110788693</v>
      </c>
    </row>
    <row r="633" spans="3:18" x14ac:dyDescent="0.35">
      <c r="C633">
        <v>0.79455600000000004</v>
      </c>
      <c r="L633">
        <f t="shared" si="48"/>
        <v>632</v>
      </c>
      <c r="M633">
        <f t="shared" si="49"/>
        <v>1932.5833333332855</v>
      </c>
      <c r="N633">
        <f t="shared" si="45"/>
        <v>0</v>
      </c>
      <c r="O633">
        <f t="array" ref="O633">+SUM($F$2:$F$18*SIN(2*PI()*(M633)*$B$1/$E$2:$E$18+$G$2:$G$18))</f>
        <v>1.1396717947391379</v>
      </c>
      <c r="P633">
        <f t="shared" si="46"/>
        <v>0</v>
      </c>
      <c r="Q633">
        <f t="shared" si="47"/>
        <v>-0.25965120524261459</v>
      </c>
      <c r="R633">
        <f t="array" ref="R633">+$B$2*SIN(Q633*$B$3+$B$4)+Q633+$B$9*SIN(PI()*M633+$B$10)+$B$11*SIN(2*PI()*M633+$B$12) + SUM($I$2:$I$18*SIN(2*PI()*M633*$H$2:$H$18+$J$2:$J$18))</f>
        <v>0.81449941614465526</v>
      </c>
    </row>
    <row r="634" spans="3:18" x14ac:dyDescent="0.35">
      <c r="C634">
        <v>0.73094399999999993</v>
      </c>
      <c r="L634">
        <f t="shared" si="48"/>
        <v>633</v>
      </c>
      <c r="M634">
        <f t="shared" si="49"/>
        <v>1932.6666666666188</v>
      </c>
      <c r="N634">
        <f t="shared" si="45"/>
        <v>0</v>
      </c>
      <c r="O634">
        <f t="array" ref="O634">+SUM($F$2:$F$18*SIN(2*PI()*(M634)*$B$1/$E$2:$E$18+$G$2:$G$18))</f>
        <v>1.3868742927978455</v>
      </c>
      <c r="P634">
        <f t="shared" si="46"/>
        <v>0</v>
      </c>
      <c r="Q634">
        <f t="shared" si="47"/>
        <v>-0.25905255830678764</v>
      </c>
      <c r="R634">
        <f t="array" ref="R634">+$B$2*SIN(Q634*$B$3+$B$4)+Q634+$B$9*SIN(PI()*M634+$B$10)+$B$11*SIN(2*PI()*M634+$B$12) + SUM($I$2:$I$18*SIN(2*PI()*M634*$H$2:$H$18+$J$2:$J$18))</f>
        <v>1.9237484665361313</v>
      </c>
    </row>
    <row r="635" spans="3:18" x14ac:dyDescent="0.35">
      <c r="C635">
        <v>0.73194800000000004</v>
      </c>
      <c r="L635">
        <f t="shared" si="48"/>
        <v>634</v>
      </c>
      <c r="M635">
        <f t="shared" si="49"/>
        <v>1932.749999999952</v>
      </c>
      <c r="N635">
        <f t="shared" si="45"/>
        <v>0</v>
      </c>
      <c r="O635">
        <f t="array" ref="O635">+SUM($F$2:$F$18*SIN(2*PI()*(M635)*$B$1/$E$2:$E$18+$G$2:$G$18))</f>
        <v>0.38110785717464274</v>
      </c>
      <c r="P635">
        <f t="shared" si="46"/>
        <v>0</v>
      </c>
      <c r="Q635">
        <f t="shared" si="47"/>
        <v>-0.25845529160007785</v>
      </c>
      <c r="R635">
        <f t="array" ref="R635">+$B$2*SIN(Q635*$B$3+$B$4)+Q635+$B$9*SIN(PI()*M635+$B$10)+$B$11*SIN(2*PI()*M635+$B$12) + SUM($I$2:$I$18*SIN(2*PI()*M635*$H$2:$H$18+$J$2:$J$18))</f>
        <v>2.7095942657063814</v>
      </c>
    </row>
    <row r="636" spans="3:18" x14ac:dyDescent="0.35">
      <c r="C636">
        <v>0.18526000000000001</v>
      </c>
      <c r="L636">
        <f t="shared" si="48"/>
        <v>635</v>
      </c>
      <c r="M636">
        <f t="shared" si="49"/>
        <v>1932.8333333332853</v>
      </c>
      <c r="N636">
        <f t="shared" si="45"/>
        <v>0</v>
      </c>
      <c r="O636">
        <f t="array" ref="O636">+SUM($F$2:$F$18*SIN(2*PI()*(M636)*$B$1/$E$2:$E$18+$G$2:$G$18))</f>
        <v>-0.4950225547464277</v>
      </c>
      <c r="P636">
        <f t="shared" si="46"/>
        <v>0</v>
      </c>
      <c r="Q636">
        <f t="shared" si="47"/>
        <v>-0.25785940194025486</v>
      </c>
      <c r="R636">
        <f t="array" ref="R636">+$B$2*SIN(Q636*$B$3+$B$4)+Q636+$B$9*SIN(PI()*M636+$B$10)+$B$11*SIN(2*PI()*M636+$B$12) + SUM($I$2:$I$18*SIN(2*PI()*M636*$H$2:$H$18+$J$2:$J$18))</f>
        <v>3.127984461991077</v>
      </c>
    </row>
    <row r="637" spans="3:18" x14ac:dyDescent="0.35">
      <c r="C637">
        <v>0.40779799999999999</v>
      </c>
      <c r="L637">
        <f t="shared" si="48"/>
        <v>636</v>
      </c>
      <c r="M637">
        <f t="shared" si="49"/>
        <v>1932.9166666666185</v>
      </c>
      <c r="N637">
        <f t="shared" si="45"/>
        <v>0</v>
      </c>
      <c r="O637">
        <f t="array" ref="O637">+SUM($F$2:$F$18*SIN(2*PI()*(M637)*$B$1/$E$2:$E$18+$G$2:$G$18))</f>
        <v>-0.17571485892121308</v>
      </c>
      <c r="P637">
        <f t="shared" si="46"/>
        <v>0</v>
      </c>
      <c r="Q637">
        <f t="shared" si="47"/>
        <v>-0.25726488615242532</v>
      </c>
      <c r="R637">
        <f t="array" ref="R637">+$B$2*SIN(Q637*$B$3+$B$4)+Q637+$B$9*SIN(PI()*M637+$B$10)+$B$11*SIN(2*PI()*M637+$B$12) + SUM($I$2:$I$18*SIN(2*PI()*M637*$H$2:$H$18+$J$2:$J$18))</f>
        <v>3.217415798099827</v>
      </c>
    </row>
    <row r="638" spans="3:18" x14ac:dyDescent="0.35">
      <c r="C638">
        <v>0.39341399999999999</v>
      </c>
      <c r="L638">
        <f t="shared" si="48"/>
        <v>637</v>
      </c>
      <c r="M638">
        <f t="shared" si="49"/>
        <v>1932.9999999999518</v>
      </c>
      <c r="N638">
        <f t="shared" si="45"/>
        <v>200</v>
      </c>
      <c r="O638">
        <f t="array" ref="O638">+SUM($F$2:$F$18*SIN(2*PI()*(M638)*$B$1/$E$2:$E$18+$G$2:$G$18))</f>
        <v>3.9542090949773456E-3</v>
      </c>
      <c r="P638">
        <f t="shared" si="46"/>
        <v>0.79084181899546913</v>
      </c>
      <c r="Q638">
        <f t="shared" si="47"/>
        <v>-0.25484839104364981</v>
      </c>
      <c r="R638">
        <f t="array" ref="R638">+$B$2*SIN(Q638*$B$3+$B$4)+Q638+$B$9*SIN(PI()*M638+$B$10)+$B$11*SIN(2*PI()*M638+$B$12) + SUM($I$2:$I$18*SIN(2*PI()*M638*$H$2:$H$18+$J$2:$J$18))</f>
        <v>2.9343723460045377</v>
      </c>
    </row>
    <row r="639" spans="3:18" x14ac:dyDescent="0.35">
      <c r="C639">
        <v>0.371338</v>
      </c>
      <c r="L639">
        <f t="shared" si="48"/>
        <v>638</v>
      </c>
      <c r="M639">
        <f t="shared" si="49"/>
        <v>1933.0833333332851</v>
      </c>
      <c r="N639">
        <f t="shared" si="45"/>
        <v>0</v>
      </c>
      <c r="O639">
        <f t="array" ref="O639">+SUM($F$2:$F$18*SIN(2*PI()*(M639)*$B$1/$E$2:$E$18+$G$2:$G$18))</f>
        <v>-1.2691970814825597</v>
      </c>
      <c r="P639">
        <f t="shared" si="46"/>
        <v>0</v>
      </c>
      <c r="Q639">
        <f t="shared" si="47"/>
        <v>-0.25426081738591866</v>
      </c>
      <c r="R639">
        <f t="array" ref="R639">+$B$2*SIN(Q639*$B$3+$B$4)+Q639+$B$9*SIN(PI()*M639+$B$10)+$B$11*SIN(2*PI()*M639+$B$12) + SUM($I$2:$I$18*SIN(2*PI()*M639*$H$2:$H$18+$J$2:$J$18))</f>
        <v>2.7265844359930465</v>
      </c>
    </row>
    <row r="640" spans="3:18" x14ac:dyDescent="0.35">
      <c r="C640">
        <v>0.37541200000000002</v>
      </c>
      <c r="L640">
        <f t="shared" si="48"/>
        <v>639</v>
      </c>
      <c r="M640">
        <f t="shared" si="49"/>
        <v>1933.1666666666183</v>
      </c>
      <c r="N640">
        <f t="shared" si="45"/>
        <v>0</v>
      </c>
      <c r="O640">
        <f t="array" ref="O640">+SUM($F$2:$F$18*SIN(2*PI()*(M640)*$B$1/$E$2:$E$18+$G$2:$G$18))</f>
        <v>-1.4888364972157753</v>
      </c>
      <c r="P640">
        <f t="shared" si="46"/>
        <v>0</v>
      </c>
      <c r="Q640">
        <f t="shared" si="47"/>
        <v>-0.25367459842696288</v>
      </c>
      <c r="R640">
        <f t="array" ref="R640">+$B$2*SIN(Q640*$B$3+$B$4)+Q640+$B$9*SIN(PI()*M640+$B$10)+$B$11*SIN(2*PI()*M640+$B$12) + SUM($I$2:$I$18*SIN(2*PI()*M640*$H$2:$H$18+$J$2:$J$18))</f>
        <v>2.5881461093042586</v>
      </c>
    </row>
    <row r="641" spans="3:18" x14ac:dyDescent="0.35">
      <c r="C641">
        <v>0.508718</v>
      </c>
      <c r="L641">
        <f t="shared" si="48"/>
        <v>640</v>
      </c>
      <c r="M641">
        <f t="shared" si="49"/>
        <v>1933.2499999999516</v>
      </c>
      <c r="N641">
        <f t="shared" si="45"/>
        <v>0</v>
      </c>
      <c r="O641">
        <f t="array" ref="O641">+SUM($F$2:$F$18*SIN(2*PI()*(M641)*$B$1/$E$2:$E$18+$G$2:$G$18))</f>
        <v>0.65838583535143269</v>
      </c>
      <c r="P641">
        <f t="shared" si="46"/>
        <v>0</v>
      </c>
      <c r="Q641">
        <f t="shared" si="47"/>
        <v>-0.25308973104341453</v>
      </c>
      <c r="R641">
        <f t="array" ref="R641">+$B$2*SIN(Q641*$B$3+$B$4)+Q641+$B$9*SIN(PI()*M641+$B$10)+$B$11*SIN(2*PI()*M641+$B$12) + SUM($I$2:$I$18*SIN(2*PI()*M641*$H$2:$H$18+$J$2:$J$18))</f>
        <v>2.6253731501706397</v>
      </c>
    </row>
    <row r="642" spans="3:18" x14ac:dyDescent="0.35">
      <c r="C642">
        <v>0.48509799999999997</v>
      </c>
      <c r="L642">
        <f t="shared" si="48"/>
        <v>641</v>
      </c>
      <c r="M642">
        <f t="shared" si="49"/>
        <v>1933.3333333332848</v>
      </c>
      <c r="N642">
        <f t="shared" ref="N642:N705" si="50">+IF(MOD(L642,$B$5)=1, $B$6, 0)</f>
        <v>0</v>
      </c>
      <c r="O642">
        <f t="array" ref="O642">+SUM($F$2:$F$18*SIN(2*PI()*(M642)*$B$1/$E$2:$E$18+$G$2:$G$18))</f>
        <v>2.3776335594534066</v>
      </c>
      <c r="P642">
        <f t="shared" si="46"/>
        <v>0</v>
      </c>
      <c r="Q642">
        <f t="shared" si="47"/>
        <v>-0.25250621211910668</v>
      </c>
      <c r="R642">
        <f t="array" ref="R642">+$B$2*SIN(Q642*$B$3+$B$4)+Q642+$B$9*SIN(PI()*M642+$B$10)+$B$11*SIN(2*PI()*M642+$B$12) + SUM($I$2:$I$18*SIN(2*PI()*M642*$H$2:$H$18+$J$2:$J$18))</f>
        <v>2.8797179257186412</v>
      </c>
    </row>
    <row r="643" spans="3:18" x14ac:dyDescent="0.35">
      <c r="C643">
        <v>0.270706</v>
      </c>
      <c r="L643">
        <f t="shared" si="48"/>
        <v>642</v>
      </c>
      <c r="M643">
        <f t="shared" si="49"/>
        <v>1933.4166666666181</v>
      </c>
      <c r="N643">
        <f t="shared" si="50"/>
        <v>0</v>
      </c>
      <c r="O643">
        <f t="array" ref="O643">+SUM($F$2:$F$18*SIN(2*PI()*(M643)*$B$1/$E$2:$E$18+$G$2:$G$18))</f>
        <v>1.9996599905347849</v>
      </c>
      <c r="P643">
        <f t="shared" ref="P643:P706" si="51">+N643*O643</f>
        <v>0</v>
      </c>
      <c r="Q643">
        <f t="shared" ref="Q643:Q706" si="52">+(1-$B$7)*Q642+($B$7)*P643</f>
        <v>-0.25192403854505713</v>
      </c>
      <c r="R643">
        <f t="array" ref="R643">+$B$2*SIN(Q643*$B$3+$B$4)+Q643+$B$9*SIN(PI()*M643+$B$10)+$B$11*SIN(2*PI()*M643+$B$12) + SUM($I$2:$I$18*SIN(2*PI()*M643*$H$2:$H$18+$J$2:$J$18))</f>
        <v>3.3198328618498185</v>
      </c>
    </row>
    <row r="644" spans="3:18" x14ac:dyDescent="0.35">
      <c r="C644">
        <v>7.9394000000000006E-2</v>
      </c>
      <c r="L644">
        <f t="shared" ref="L644:L707" si="53">+L643+1</f>
        <v>643</v>
      </c>
      <c r="M644">
        <f t="shared" ref="M644:M707" si="54">+M643+1/12</f>
        <v>1933.4999999999513</v>
      </c>
      <c r="N644">
        <f t="shared" si="50"/>
        <v>0</v>
      </c>
      <c r="O644">
        <f t="array" ref="O644">+SUM($F$2:$F$18*SIN(2*PI()*(M644)*$B$1/$E$2:$E$18+$G$2:$G$18))</f>
        <v>0.46900334838670105</v>
      </c>
      <c r="P644">
        <f t="shared" si="51"/>
        <v>0</v>
      </c>
      <c r="Q644">
        <f t="shared" si="52"/>
        <v>-0.25134320721945158</v>
      </c>
      <c r="R644">
        <f t="array" ref="R644">+$B$2*SIN(Q644*$B$3+$B$4)+Q644+$B$9*SIN(PI()*M644+$B$10)+$B$11*SIN(2*PI()*M644+$B$12) + SUM($I$2:$I$18*SIN(2*PI()*M644*$H$2:$H$18+$J$2:$J$18))</f>
        <v>3.8537381052336293</v>
      </c>
    </row>
    <row r="645" spans="3:18" x14ac:dyDescent="0.35">
      <c r="C645">
        <v>3.4234000000000001E-2</v>
      </c>
      <c r="L645">
        <f t="shared" si="53"/>
        <v>644</v>
      </c>
      <c r="M645">
        <f t="shared" si="54"/>
        <v>1933.5833333332846</v>
      </c>
      <c r="N645">
        <f t="shared" si="50"/>
        <v>0</v>
      </c>
      <c r="O645">
        <f t="array" ref="O645">+SUM($F$2:$F$18*SIN(2*PI()*(M645)*$B$1/$E$2:$E$18+$G$2:$G$18))</f>
        <v>-0.45405078589527448</v>
      </c>
      <c r="P645">
        <f t="shared" si="51"/>
        <v>0</v>
      </c>
      <c r="Q645">
        <f t="shared" si="52"/>
        <v>-0.25076371504762729</v>
      </c>
      <c r="R645">
        <f t="array" ref="R645">+$B$2*SIN(Q645*$B$3+$B$4)+Q645+$B$9*SIN(PI()*M645+$B$10)+$B$11*SIN(2*PI()*M645+$B$12) + SUM($I$2:$I$18*SIN(2*PI()*M645*$H$2:$H$18+$J$2:$J$18))</f>
        <v>4.357513781205042</v>
      </c>
    </row>
    <row r="646" spans="3:18" x14ac:dyDescent="0.35">
      <c r="C646">
        <v>-0.20323799999999997</v>
      </c>
      <c r="L646">
        <f t="shared" si="53"/>
        <v>645</v>
      </c>
      <c r="M646">
        <f t="shared" si="54"/>
        <v>1933.6666666666179</v>
      </c>
      <c r="N646">
        <f t="shared" si="50"/>
        <v>0</v>
      </c>
      <c r="O646">
        <f t="array" ref="O646">+SUM($F$2:$F$18*SIN(2*PI()*(M646)*$B$1/$E$2:$E$18+$G$2:$G$18))</f>
        <v>0.16613067836795214</v>
      </c>
      <c r="P646">
        <f t="shared" si="51"/>
        <v>0</v>
      </c>
      <c r="Q646">
        <f t="shared" si="52"/>
        <v>-0.25018555894205646</v>
      </c>
      <c r="R646">
        <f t="array" ref="R646">+$B$2*SIN(Q646*$B$3+$B$4)+Q646+$B$9*SIN(PI()*M646+$B$10)+$B$11*SIN(2*PI()*M646+$B$12) + SUM($I$2:$I$18*SIN(2*PI()*M646*$H$2:$H$18+$J$2:$J$18))</f>
        <v>4.7125125151786396</v>
      </c>
    </row>
    <row r="647" spans="3:18" x14ac:dyDescent="0.35">
      <c r="C647">
        <v>-9.3016000000000001E-2</v>
      </c>
      <c r="L647">
        <f t="shared" si="53"/>
        <v>646</v>
      </c>
      <c r="M647">
        <f t="shared" si="54"/>
        <v>1933.7499999999511</v>
      </c>
      <c r="N647">
        <f t="shared" si="50"/>
        <v>0</v>
      </c>
      <c r="O647">
        <f t="array" ref="O647">+SUM($F$2:$F$18*SIN(2*PI()*(M647)*$B$1/$E$2:$E$18+$G$2:$G$18))</f>
        <v>0.42608560700458192</v>
      </c>
      <c r="P647">
        <f t="shared" si="51"/>
        <v>0</v>
      </c>
      <c r="Q647">
        <f t="shared" si="52"/>
        <v>-0.24960873582232987</v>
      </c>
      <c r="R647">
        <f t="array" ref="R647">+$B$2*SIN(Q647*$B$3+$B$4)+Q647+$B$9*SIN(PI()*M647+$B$10)+$B$11*SIN(2*PI()*M647+$B$12) + SUM($I$2:$I$18*SIN(2*PI()*M647*$H$2:$H$18+$J$2:$J$18))</f>
        <v>4.8408278355723215</v>
      </c>
    </row>
    <row r="648" spans="3:18" x14ac:dyDescent="0.35">
      <c r="C648">
        <v>-0.15972</v>
      </c>
      <c r="L648">
        <f t="shared" si="53"/>
        <v>647</v>
      </c>
      <c r="M648">
        <f t="shared" si="54"/>
        <v>1933.8333333332844</v>
      </c>
      <c r="N648">
        <f t="shared" si="50"/>
        <v>0</v>
      </c>
      <c r="O648">
        <f t="array" ref="O648">+SUM($F$2:$F$18*SIN(2*PI()*(M648)*$B$1/$E$2:$E$18+$G$2:$G$18))</f>
        <v>-0.65978024061478679</v>
      </c>
      <c r="P648">
        <f t="shared" si="51"/>
        <v>0</v>
      </c>
      <c r="Q648">
        <f t="shared" si="52"/>
        <v>-0.24903324261514043</v>
      </c>
      <c r="R648">
        <f t="array" ref="R648">+$B$2*SIN(Q648*$B$3+$B$4)+Q648+$B$9*SIN(PI()*M648+$B$10)+$B$11*SIN(2*PI()*M648+$B$12) + SUM($I$2:$I$18*SIN(2*PI()*M648*$H$2:$H$18+$J$2:$J$18))</f>
        <v>4.7292618688730554</v>
      </c>
    </row>
    <row r="649" spans="3:18" x14ac:dyDescent="0.35">
      <c r="C649">
        <v>-0.23257999999999998</v>
      </c>
      <c r="L649">
        <f t="shared" si="53"/>
        <v>648</v>
      </c>
      <c r="M649">
        <f t="shared" si="54"/>
        <v>1933.9166666666176</v>
      </c>
      <c r="N649">
        <f t="shared" si="50"/>
        <v>0</v>
      </c>
      <c r="O649">
        <f t="array" ref="O649">+SUM($F$2:$F$18*SIN(2*PI()*(M649)*$B$1/$E$2:$E$18+$G$2:$G$18))</f>
        <v>-0.41032961085368702</v>
      </c>
      <c r="P649">
        <f t="shared" si="51"/>
        <v>0</v>
      </c>
      <c r="Q649">
        <f t="shared" si="52"/>
        <v>-0.2484590762542668</v>
      </c>
      <c r="R649">
        <f t="array" ref="R649">+$B$2*SIN(Q649*$B$3+$B$4)+Q649+$B$9*SIN(PI()*M649+$B$10)+$B$11*SIN(2*PI()*M649+$B$12) + SUM($I$2:$I$18*SIN(2*PI()*M649*$H$2:$H$18+$J$2:$J$18))</f>
        <v>4.4351719057670653</v>
      </c>
    </row>
    <row r="650" spans="3:18" x14ac:dyDescent="0.35">
      <c r="C650">
        <v>-0.45620600000000006</v>
      </c>
      <c r="L650">
        <f t="shared" si="53"/>
        <v>649</v>
      </c>
      <c r="M650">
        <f t="shared" si="54"/>
        <v>1933.9999999999509</v>
      </c>
      <c r="N650">
        <f t="shared" si="50"/>
        <v>200</v>
      </c>
      <c r="O650">
        <f t="array" ref="O650">+SUM($F$2:$F$18*SIN(2*PI()*(M650)*$B$1/$E$2:$E$18+$G$2:$G$18))</f>
        <v>1.7074310348134503</v>
      </c>
      <c r="P650">
        <f t="shared" si="51"/>
        <v>341.48620696269006</v>
      </c>
      <c r="Q650">
        <f t="shared" si="52"/>
        <v>0.53943794312948334</v>
      </c>
      <c r="R650">
        <f t="array" ref="R650">+$B$2*SIN(Q650*$B$3+$B$4)+Q650+$B$9*SIN(PI()*M650+$B$10)+$B$11*SIN(2*PI()*M650+$B$12) + SUM($I$2:$I$18*SIN(2*PI()*M650*$H$2:$H$18+$J$2:$J$18))</f>
        <v>-5.3154477814359407</v>
      </c>
    </row>
    <row r="651" spans="3:18" x14ac:dyDescent="0.35">
      <c r="C651">
        <v>-0.38906599999999997</v>
      </c>
      <c r="L651">
        <f t="shared" si="53"/>
        <v>650</v>
      </c>
      <c r="M651">
        <f t="shared" si="54"/>
        <v>1934.0833333332841</v>
      </c>
      <c r="N651">
        <f t="shared" si="50"/>
        <v>0</v>
      </c>
      <c r="O651">
        <f t="array" ref="O651">+SUM($F$2:$F$18*SIN(2*PI()*(M651)*$B$1/$E$2:$E$18+$G$2:$G$18))</f>
        <v>2.9297990395719595</v>
      </c>
      <c r="P651">
        <f t="shared" si="51"/>
        <v>0</v>
      </c>
      <c r="Q651">
        <f t="shared" si="52"/>
        <v>0.53819422515243209</v>
      </c>
      <c r="R651">
        <f t="array" ref="R651">+$B$2*SIN(Q651*$B$3+$B$4)+Q651+$B$9*SIN(PI()*M651+$B$10)+$B$11*SIN(2*PI()*M651+$B$12) + SUM($I$2:$I$18*SIN(2*PI()*M651*$H$2:$H$18+$J$2:$J$18))</f>
        <v>-5.4630311417829871</v>
      </c>
    </row>
    <row r="652" spans="3:18" x14ac:dyDescent="0.35">
      <c r="C652">
        <v>-0.237314</v>
      </c>
      <c r="L652">
        <f t="shared" si="53"/>
        <v>651</v>
      </c>
      <c r="M652">
        <f t="shared" si="54"/>
        <v>1934.1666666666174</v>
      </c>
      <c r="N652">
        <f t="shared" si="50"/>
        <v>0</v>
      </c>
      <c r="O652">
        <f t="array" ref="O652">+SUM($F$2:$F$18*SIN(2*PI()*(M652)*$B$1/$E$2:$E$18+$G$2:$G$18))</f>
        <v>2.1383628155160359</v>
      </c>
      <c r="P652">
        <f t="shared" si="51"/>
        <v>0</v>
      </c>
      <c r="Q652">
        <f t="shared" si="52"/>
        <v>0.53695337466815951</v>
      </c>
      <c r="R652">
        <f t="array" ref="R652">+$B$2*SIN(Q652*$B$3+$B$4)+Q652+$B$9*SIN(PI()*M652+$B$10)+$B$11*SIN(2*PI()*M652+$B$12) + SUM($I$2:$I$18*SIN(2*PI()*M652*$H$2:$H$18+$J$2:$J$18))</f>
        <v>-5.4095287785735975</v>
      </c>
    </row>
    <row r="653" spans="3:18" x14ac:dyDescent="0.35">
      <c r="C653">
        <v>-0.13786799999999999</v>
      </c>
      <c r="L653">
        <f t="shared" si="53"/>
        <v>652</v>
      </c>
      <c r="M653">
        <f t="shared" si="54"/>
        <v>1934.2499999999507</v>
      </c>
      <c r="N653">
        <f t="shared" si="50"/>
        <v>0</v>
      </c>
      <c r="O653">
        <f t="array" ref="O653">+SUM($F$2:$F$18*SIN(2*PI()*(M653)*$B$1/$E$2:$E$18+$G$2:$G$18))</f>
        <v>0.28306430918836883</v>
      </c>
      <c r="P653">
        <f t="shared" si="51"/>
        <v>0</v>
      </c>
      <c r="Q653">
        <f t="shared" si="52"/>
        <v>0.53571538506542815</v>
      </c>
      <c r="R653">
        <f t="array" ref="R653">+$B$2*SIN(Q653*$B$3+$B$4)+Q653+$B$9*SIN(PI()*M653+$B$10)+$B$11*SIN(2*PI()*M653+$B$12) + SUM($I$2:$I$18*SIN(2*PI()*M653*$H$2:$H$18+$J$2:$J$18))</f>
        <v>-5.0739264931285293</v>
      </c>
    </row>
    <row r="654" spans="3:18" x14ac:dyDescent="0.35">
      <c r="C654">
        <v>-0.41688600000000003</v>
      </c>
      <c r="L654">
        <f t="shared" si="53"/>
        <v>653</v>
      </c>
      <c r="M654">
        <f t="shared" si="54"/>
        <v>1934.3333333332839</v>
      </c>
      <c r="N654">
        <f t="shared" si="50"/>
        <v>0</v>
      </c>
      <c r="O654">
        <f t="array" ref="O654">+SUM($F$2:$F$18*SIN(2*PI()*(M654)*$B$1/$E$2:$E$18+$G$2:$G$18))</f>
        <v>-0.69379879399318545</v>
      </c>
      <c r="P654">
        <f t="shared" si="51"/>
        <v>0</v>
      </c>
      <c r="Q654">
        <f t="shared" si="52"/>
        <v>0.53448024974824326</v>
      </c>
      <c r="R654">
        <f t="array" ref="R654">+$B$2*SIN(Q654*$B$3+$B$4)+Q654+$B$9*SIN(PI()*M654+$B$10)+$B$11*SIN(2*PI()*M654+$B$12) + SUM($I$2:$I$18*SIN(2*PI()*M654*$H$2:$H$18+$J$2:$J$18))</f>
        <v>-4.4467982914847815</v>
      </c>
    </row>
    <row r="655" spans="3:18" x14ac:dyDescent="0.35">
      <c r="C655">
        <v>-0.54205999999999999</v>
      </c>
      <c r="L655">
        <f t="shared" si="53"/>
        <v>654</v>
      </c>
      <c r="M655">
        <f t="shared" si="54"/>
        <v>1934.4166666666172</v>
      </c>
      <c r="N655">
        <f t="shared" si="50"/>
        <v>0</v>
      </c>
      <c r="O655">
        <f t="array" ref="O655">+SUM($F$2:$F$18*SIN(2*PI()*(M655)*$B$1/$E$2:$E$18+$G$2:$G$18))</f>
        <v>0.1409326426488266</v>
      </c>
      <c r="P655">
        <f t="shared" si="51"/>
        <v>0</v>
      </c>
      <c r="Q655">
        <f t="shared" si="52"/>
        <v>0.53324796213581782</v>
      </c>
      <c r="R655">
        <f t="array" ref="R655">+$B$2*SIN(Q655*$B$3+$B$4)+Q655+$B$9*SIN(PI()*M655+$B$10)+$B$11*SIN(2*PI()*M655+$B$12) + SUM($I$2:$I$18*SIN(2*PI()*M655*$H$2:$H$18+$J$2:$J$18))</f>
        <v>-3.5956407425090333</v>
      </c>
    </row>
    <row r="656" spans="3:18" x14ac:dyDescent="0.35">
      <c r="C656">
        <v>-0.27954000000000001</v>
      </c>
      <c r="L656">
        <f t="shared" si="53"/>
        <v>655</v>
      </c>
      <c r="M656">
        <f t="shared" si="54"/>
        <v>1934.4999999999504</v>
      </c>
      <c r="N656">
        <f t="shared" si="50"/>
        <v>0</v>
      </c>
      <c r="O656">
        <f t="array" ref="O656">+SUM($F$2:$F$18*SIN(2*PI()*(M656)*$B$1/$E$2:$E$18+$G$2:$G$18))</f>
        <v>0.58056615646925203</v>
      </c>
      <c r="P656">
        <f t="shared" si="51"/>
        <v>0</v>
      </c>
      <c r="Q656">
        <f t="shared" si="52"/>
        <v>0.53201851566253733</v>
      </c>
      <c r="R656">
        <f t="array" ref="R656">+$B$2*SIN(Q656*$B$3+$B$4)+Q656+$B$9*SIN(PI()*M656+$B$10)+$B$11*SIN(2*PI()*M656+$B$12) + SUM($I$2:$I$18*SIN(2*PI()*M656*$H$2:$H$18+$J$2:$J$18))</f>
        <v>-2.6499600274098993</v>
      </c>
    </row>
    <row r="657" spans="3:18" x14ac:dyDescent="0.35">
      <c r="C657">
        <v>-0.39702199999999999</v>
      </c>
      <c r="L657">
        <f t="shared" si="53"/>
        <v>656</v>
      </c>
      <c r="M657">
        <f t="shared" si="54"/>
        <v>1934.5833333332837</v>
      </c>
      <c r="N657">
        <f t="shared" si="50"/>
        <v>0</v>
      </c>
      <c r="O657">
        <f t="array" ref="O657">+SUM($F$2:$F$18*SIN(2*PI()*(M657)*$B$1/$E$2:$E$18+$G$2:$G$18))</f>
        <v>-0.21651333314603211</v>
      </c>
      <c r="P657">
        <f t="shared" si="51"/>
        <v>0</v>
      </c>
      <c r="Q657">
        <f t="shared" si="52"/>
        <v>0.53079190377792473</v>
      </c>
      <c r="R657">
        <f t="array" ref="R657">+$B$2*SIN(Q657*$B$3+$B$4)+Q657+$B$9*SIN(PI()*M657+$B$10)+$B$11*SIN(2*PI()*M657+$B$12) + SUM($I$2:$I$18*SIN(2*PI()*M657*$H$2:$H$18+$J$2:$J$18))</f>
        <v>-1.769869944008815</v>
      </c>
    </row>
    <row r="658" spans="3:18" x14ac:dyDescent="0.35">
      <c r="C658">
        <v>-0.50835399999999997</v>
      </c>
      <c r="L658">
        <f t="shared" si="53"/>
        <v>657</v>
      </c>
      <c r="M658">
        <f t="shared" si="54"/>
        <v>1934.6666666666169</v>
      </c>
      <c r="N658">
        <f t="shared" si="50"/>
        <v>0</v>
      </c>
      <c r="O658">
        <f t="array" ref="O658">+SUM($F$2:$F$18*SIN(2*PI()*(M658)*$B$1/$E$2:$E$18+$G$2:$G$18))</f>
        <v>0.12810845639493496</v>
      </c>
      <c r="P658">
        <f t="shared" si="51"/>
        <v>0</v>
      </c>
      <c r="Q658">
        <f t="shared" si="52"/>
        <v>0.52956811994660569</v>
      </c>
      <c r="R658">
        <f t="array" ref="R658">+$B$2*SIN(Q658*$B$3+$B$4)+Q658+$B$9*SIN(PI()*M658+$B$10)+$B$11*SIN(2*PI()*M658+$B$12) + SUM($I$2:$I$18*SIN(2*PI()*M658*$H$2:$H$18+$J$2:$J$18))</f>
        <v>-1.1063732291289341</v>
      </c>
    </row>
    <row r="659" spans="3:18" x14ac:dyDescent="0.35">
      <c r="C659">
        <v>-0.23045400000000002</v>
      </c>
      <c r="L659">
        <f t="shared" si="53"/>
        <v>658</v>
      </c>
      <c r="M659">
        <f t="shared" si="54"/>
        <v>1934.7499999999502</v>
      </c>
      <c r="N659">
        <f t="shared" si="50"/>
        <v>0</v>
      </c>
      <c r="O659">
        <f t="array" ref="O659">+SUM($F$2:$F$18*SIN(2*PI()*(M659)*$B$1/$E$2:$E$18+$G$2:$G$18))</f>
        <v>1.7277199475436982</v>
      </c>
      <c r="P659">
        <f t="shared" si="51"/>
        <v>0</v>
      </c>
      <c r="Q659">
        <f t="shared" si="52"/>
        <v>0.52834715764827378</v>
      </c>
      <c r="R659">
        <f t="array" ref="R659">+$B$2*SIN(Q659*$B$3+$B$4)+Q659+$B$9*SIN(PI()*M659+$B$10)+$B$11*SIN(2*PI()*M659+$B$12) + SUM($I$2:$I$18*SIN(2*PI()*M659*$H$2:$H$18+$J$2:$J$18))</f>
        <v>-0.76373839485961836</v>
      </c>
    </row>
    <row r="660" spans="3:18" x14ac:dyDescent="0.35">
      <c r="C660">
        <v>-0.28947600000000001</v>
      </c>
      <c r="L660">
        <f t="shared" si="53"/>
        <v>659</v>
      </c>
      <c r="M660">
        <f t="shared" si="54"/>
        <v>1934.8333333332835</v>
      </c>
      <c r="N660">
        <f t="shared" si="50"/>
        <v>0</v>
      </c>
      <c r="O660">
        <f t="array" ref="O660">+SUM($F$2:$F$18*SIN(2*PI()*(M660)*$B$1/$E$2:$E$18+$G$2:$G$18))</f>
        <v>2.5037076395520015</v>
      </c>
      <c r="P660">
        <f t="shared" si="51"/>
        <v>0</v>
      </c>
      <c r="Q660">
        <f t="shared" si="52"/>
        <v>0.52712901037765558</v>
      </c>
      <c r="R660">
        <f t="array" ref="R660">+$B$2*SIN(Q660*$B$3+$B$4)+Q660+$B$9*SIN(PI()*M660+$B$10)+$B$11*SIN(2*PI()*M660+$B$12) + SUM($I$2:$I$18*SIN(2*PI()*M660*$H$2:$H$18+$J$2:$J$18))</f>
        <v>-0.773848493575374</v>
      </c>
    </row>
    <row r="661" spans="3:18" x14ac:dyDescent="0.35">
      <c r="C661">
        <v>-0.25312000000000001</v>
      </c>
      <c r="L661">
        <f t="shared" si="53"/>
        <v>660</v>
      </c>
      <c r="M661">
        <f t="shared" si="54"/>
        <v>1934.9166666666167</v>
      </c>
      <c r="N661">
        <f t="shared" si="50"/>
        <v>0</v>
      </c>
      <c r="O661">
        <f t="array" ref="O661">+SUM($F$2:$F$18*SIN(2*PI()*(M661)*$B$1/$E$2:$E$18+$G$2:$G$18))</f>
        <v>1.6618598004296612</v>
      </c>
      <c r="P661">
        <f t="shared" si="51"/>
        <v>0</v>
      </c>
      <c r="Q661">
        <f t="shared" si="52"/>
        <v>0.52591367164447611</v>
      </c>
      <c r="R661">
        <f t="array" ref="R661">+$B$2*SIN(Q661*$B$3+$B$4)+Q661+$B$9*SIN(PI()*M661+$B$10)+$B$11*SIN(2*PI()*M661+$B$12) + SUM($I$2:$I$18*SIN(2*PI()*M661*$H$2:$H$18+$J$2:$J$18))</f>
        <v>-1.0892284315548375</v>
      </c>
    </row>
    <row r="662" spans="3:18" x14ac:dyDescent="0.35">
      <c r="C662">
        <v>-4.9067999999999994E-2</v>
      </c>
      <c r="L662">
        <f t="shared" si="53"/>
        <v>661</v>
      </c>
      <c r="M662">
        <f t="shared" si="54"/>
        <v>1934.99999999995</v>
      </c>
      <c r="N662">
        <f t="shared" si="50"/>
        <v>200</v>
      </c>
      <c r="O662">
        <f t="array" ref="O662">+SUM($F$2:$F$18*SIN(2*PI()*(M662)*$B$1/$E$2:$E$18+$G$2:$G$18))</f>
        <v>-0.30645639624042553</v>
      </c>
      <c r="P662">
        <f t="shared" si="51"/>
        <v>-61.291279248085104</v>
      </c>
      <c r="Q662">
        <f t="shared" si="52"/>
        <v>0.38338911417808585</v>
      </c>
      <c r="R662">
        <f t="array" ref="R662">+$B$2*SIN(Q662*$B$3+$B$4)+Q662+$B$9*SIN(PI()*M662+$B$10)+$B$11*SIN(2*PI()*M662+$B$12) + SUM($I$2:$I$18*SIN(2*PI()*M662*$H$2:$H$18+$J$2:$J$18))</f>
        <v>10.573834568152675</v>
      </c>
    </row>
    <row r="663" spans="3:18" x14ac:dyDescent="0.35">
      <c r="C663">
        <v>1.1360000000000001E-3</v>
      </c>
      <c r="L663">
        <f t="shared" si="53"/>
        <v>662</v>
      </c>
      <c r="M663">
        <f t="shared" si="54"/>
        <v>1935.0833333332832</v>
      </c>
      <c r="N663">
        <f t="shared" si="50"/>
        <v>0</v>
      </c>
      <c r="O663">
        <f t="array" ref="O663">+SUM($F$2:$F$18*SIN(2*PI()*(M663)*$B$1/$E$2:$E$18+$G$2:$G$18))</f>
        <v>-1.3372263268156199</v>
      </c>
      <c r="P663">
        <f t="shared" si="51"/>
        <v>0</v>
      </c>
      <c r="Q663">
        <f t="shared" si="52"/>
        <v>0.38250517944642282</v>
      </c>
      <c r="R663">
        <f t="array" ref="R663">+$B$2*SIN(Q663*$B$3+$B$4)+Q663+$B$9*SIN(PI()*M663+$B$10)+$B$11*SIN(2*PI()*M663+$B$12) + SUM($I$2:$I$18*SIN(2*PI()*M663*$H$2:$H$18+$J$2:$J$18))</f>
        <v>9.980031180842122</v>
      </c>
    </row>
    <row r="664" spans="3:18" x14ac:dyDescent="0.35">
      <c r="C664">
        <v>0.13749</v>
      </c>
      <c r="L664">
        <f t="shared" si="53"/>
        <v>663</v>
      </c>
      <c r="M664">
        <f t="shared" si="54"/>
        <v>1935.1666666666165</v>
      </c>
      <c r="N664">
        <f t="shared" si="50"/>
        <v>0</v>
      </c>
      <c r="O664">
        <f t="array" ref="O664">+SUM($F$2:$F$18*SIN(2*PI()*(M664)*$B$1/$E$2:$E$18+$G$2:$G$18))</f>
        <v>-0.34932998817180672</v>
      </c>
      <c r="P664">
        <f t="shared" si="51"/>
        <v>0</v>
      </c>
      <c r="Q664">
        <f t="shared" si="52"/>
        <v>0.3816232826980539</v>
      </c>
      <c r="R664">
        <f t="array" ref="R664">+$B$2*SIN(Q664*$B$3+$B$4)+Q664+$B$9*SIN(PI()*M664+$B$10)+$B$11*SIN(2*PI()*M664+$B$12) + SUM($I$2:$I$18*SIN(2*PI()*M664*$H$2:$H$18+$J$2:$J$18))</f>
        <v>9.4882774170928013</v>
      </c>
    </row>
    <row r="665" spans="3:18" x14ac:dyDescent="0.35">
      <c r="C665">
        <v>0.23076799999999997</v>
      </c>
      <c r="L665">
        <f t="shared" si="53"/>
        <v>664</v>
      </c>
      <c r="M665">
        <f t="shared" si="54"/>
        <v>1935.2499999999498</v>
      </c>
      <c r="N665">
        <f t="shared" si="50"/>
        <v>0</v>
      </c>
      <c r="O665">
        <f t="array" ref="O665">+SUM($F$2:$F$18*SIN(2*PI()*(M665)*$B$1/$E$2:$E$18+$G$2:$G$18))</f>
        <v>0.33684678862201684</v>
      </c>
      <c r="P665">
        <f t="shared" si="51"/>
        <v>0</v>
      </c>
      <c r="Q665">
        <f t="shared" si="52"/>
        <v>0.38074341923424315</v>
      </c>
      <c r="R665">
        <f t="array" ref="R665">+$B$2*SIN(Q665*$B$3+$B$4)+Q665+$B$9*SIN(PI()*M665+$B$10)+$B$11*SIN(2*PI()*M665+$B$12) + SUM($I$2:$I$18*SIN(2*PI()*M665*$H$2:$H$18+$J$2:$J$18))</f>
        <v>9.2041307309687284</v>
      </c>
    </row>
    <row r="666" spans="3:18" x14ac:dyDescent="0.35">
      <c r="C666">
        <v>4.8659999999999995E-2</v>
      </c>
      <c r="L666">
        <f t="shared" si="53"/>
        <v>665</v>
      </c>
      <c r="M666">
        <f t="shared" si="54"/>
        <v>1935.333333333283</v>
      </c>
      <c r="N666">
        <f t="shared" si="50"/>
        <v>0</v>
      </c>
      <c r="O666">
        <f t="array" ref="O666">+SUM($F$2:$F$18*SIN(2*PI()*(M666)*$B$1/$E$2:$E$18+$G$2:$G$18))</f>
        <v>-0.16717666401585912</v>
      </c>
      <c r="P666">
        <f t="shared" si="51"/>
        <v>0</v>
      </c>
      <c r="Q666">
        <f t="shared" si="52"/>
        <v>0.37986558436708789</v>
      </c>
      <c r="R666">
        <f t="array" ref="R666">+$B$2*SIN(Q666*$B$3+$B$4)+Q666+$B$9*SIN(PI()*M666+$B$10)+$B$11*SIN(2*PI()*M666+$B$12) + SUM($I$2:$I$18*SIN(2*PI()*M666*$H$2:$H$18+$J$2:$J$18))</f>
        <v>9.1672012196396704</v>
      </c>
    </row>
    <row r="667" spans="3:18" x14ac:dyDescent="0.35">
      <c r="C667">
        <v>0.16808800000000002</v>
      </c>
      <c r="L667">
        <f t="shared" si="53"/>
        <v>666</v>
      </c>
      <c r="M667">
        <f t="shared" si="54"/>
        <v>1935.4166666666163</v>
      </c>
      <c r="N667">
        <f t="shared" si="50"/>
        <v>0</v>
      </c>
      <c r="O667">
        <f t="array" ref="O667">+SUM($F$2:$F$18*SIN(2*PI()*(M667)*$B$1/$E$2:$E$18+$G$2:$G$18))</f>
        <v>-1.9748702654823258E-2</v>
      </c>
      <c r="P667">
        <f t="shared" si="51"/>
        <v>0</v>
      </c>
      <c r="Q667">
        <f t="shared" si="52"/>
        <v>0.37898977341949386</v>
      </c>
      <c r="R667">
        <f t="array" ref="R667">+$B$2*SIN(Q667*$B$3+$B$4)+Q667+$B$9*SIN(PI()*M667+$B$10)+$B$11*SIN(2*PI()*M667+$B$12) + SUM($I$2:$I$18*SIN(2*PI()*M667*$H$2:$H$18+$J$2:$J$18))</f>
        <v>9.3438151476216991</v>
      </c>
    </row>
    <row r="668" spans="3:18" x14ac:dyDescent="0.35">
      <c r="C668">
        <v>0.14751600000000001</v>
      </c>
      <c r="L668">
        <f t="shared" si="53"/>
        <v>667</v>
      </c>
      <c r="M668">
        <f t="shared" si="54"/>
        <v>1935.4999999999495</v>
      </c>
      <c r="N668">
        <f t="shared" si="50"/>
        <v>0</v>
      </c>
      <c r="O668">
        <f t="array" ref="O668">+SUM($F$2:$F$18*SIN(2*PI()*(M668)*$B$1/$E$2:$E$18+$G$2:$G$18))</f>
        <v>0.89780908091031586</v>
      </c>
      <c r="P668">
        <f t="shared" si="51"/>
        <v>0</v>
      </c>
      <c r="Q668">
        <f t="shared" si="52"/>
        <v>0.37811598172515015</v>
      </c>
      <c r="R668">
        <f t="array" ref="R668">+$B$2*SIN(Q668*$B$3+$B$4)+Q668+$B$9*SIN(PI()*M668+$B$10)+$B$11*SIN(2*PI()*M668+$B$12) + SUM($I$2:$I$18*SIN(2*PI()*M668*$H$2:$H$18+$J$2:$J$18))</f>
        <v>9.6397193130539041</v>
      </c>
    </row>
    <row r="669" spans="3:18" x14ac:dyDescent="0.35">
      <c r="C669">
        <v>3.4636E-2</v>
      </c>
      <c r="L669">
        <f t="shared" si="53"/>
        <v>668</v>
      </c>
      <c r="M669">
        <f t="shared" si="54"/>
        <v>1935.5833333332828</v>
      </c>
      <c r="N669">
        <f t="shared" si="50"/>
        <v>0</v>
      </c>
      <c r="O669">
        <f t="array" ref="O669">+SUM($F$2:$F$18*SIN(2*PI()*(M669)*$B$1/$E$2:$E$18+$G$2:$G$18))</f>
        <v>1.4664892799656915</v>
      </c>
      <c r="P669">
        <f t="shared" si="51"/>
        <v>0</v>
      </c>
      <c r="Q669">
        <f t="shared" si="52"/>
        <v>0.3772442046285045</v>
      </c>
      <c r="R669">
        <f t="array" ref="R669">+$B$2*SIN(Q669*$B$3+$B$4)+Q669+$B$9*SIN(PI()*M669+$B$10)+$B$11*SIN(2*PI()*M669+$B$12) + SUM($I$2:$I$18*SIN(2*PI()*M669*$H$2:$H$18+$J$2:$J$18))</f>
        <v>9.9292036787574496</v>
      </c>
    </row>
    <row r="670" spans="3:18" x14ac:dyDescent="0.35">
      <c r="C670">
        <v>6.0213999999999997E-2</v>
      </c>
      <c r="L670">
        <f t="shared" si="53"/>
        <v>669</v>
      </c>
      <c r="M670">
        <f t="shared" si="54"/>
        <v>1935.666666666616</v>
      </c>
      <c r="N670">
        <f t="shared" si="50"/>
        <v>0</v>
      </c>
      <c r="O670">
        <f t="array" ref="O670">+SUM($F$2:$F$18*SIN(2*PI()*(M670)*$B$1/$E$2:$E$18+$G$2:$G$18))</f>
        <v>0.86582339628414395</v>
      </c>
      <c r="P670">
        <f t="shared" si="51"/>
        <v>0</v>
      </c>
      <c r="Q670">
        <f t="shared" si="52"/>
        <v>0.37637443748473826</v>
      </c>
      <c r="R670">
        <f t="array" ref="R670">+$B$2*SIN(Q670*$B$3+$B$4)+Q670+$B$9*SIN(PI()*M670+$B$10)+$B$11*SIN(2*PI()*M670+$B$12) + SUM($I$2:$I$18*SIN(2*PI()*M670*$H$2:$H$18+$J$2:$J$18))</f>
        <v>10.092606580177744</v>
      </c>
    </row>
    <row r="671" spans="3:18" x14ac:dyDescent="0.35">
      <c r="C671">
        <v>0.42117800000000005</v>
      </c>
      <c r="L671">
        <f t="shared" si="53"/>
        <v>670</v>
      </c>
      <c r="M671">
        <f t="shared" si="54"/>
        <v>1935.7499999999493</v>
      </c>
      <c r="N671">
        <f t="shared" si="50"/>
        <v>0</v>
      </c>
      <c r="O671">
        <f t="array" ref="O671">+SUM($F$2:$F$18*SIN(2*PI()*(M671)*$B$1/$E$2:$E$18+$G$2:$G$18))</f>
        <v>-1.0293310287005135</v>
      </c>
      <c r="P671">
        <f t="shared" si="51"/>
        <v>0</v>
      </c>
      <c r="Q671">
        <f t="shared" si="52"/>
        <v>0.37550667565974194</v>
      </c>
      <c r="R671">
        <f t="array" ref="R671">+$B$2*SIN(Q671*$B$3+$B$4)+Q671+$B$9*SIN(PI()*M671+$B$10)+$B$11*SIN(2*PI()*M671+$B$12) + SUM($I$2:$I$18*SIN(2*PI()*M671*$H$2:$H$18+$J$2:$J$18))</f>
        <v>10.051920636798643</v>
      </c>
    </row>
    <row r="672" spans="3:18" x14ac:dyDescent="0.35">
      <c r="C672">
        <v>0.24521799999999999</v>
      </c>
      <c r="L672">
        <f t="shared" si="53"/>
        <v>671</v>
      </c>
      <c r="M672">
        <f t="shared" si="54"/>
        <v>1935.8333333332826</v>
      </c>
      <c r="N672">
        <f t="shared" si="50"/>
        <v>0</v>
      </c>
      <c r="O672">
        <f t="array" ref="O672">+SUM($F$2:$F$18*SIN(2*PI()*(M672)*$B$1/$E$2:$E$18+$G$2:$G$18))</f>
        <v>-2.0138047667987133</v>
      </c>
      <c r="P672">
        <f t="shared" si="51"/>
        <v>0</v>
      </c>
      <c r="Q672">
        <f t="shared" si="52"/>
        <v>0.37464091453009024</v>
      </c>
      <c r="R672">
        <f t="array" ref="R672">+$B$2*SIN(Q672*$B$3+$B$4)+Q672+$B$9*SIN(PI()*M672+$B$10)+$B$11*SIN(2*PI()*M672+$B$12) + SUM($I$2:$I$18*SIN(2*PI()*M672*$H$2:$H$18+$J$2:$J$18))</f>
        <v>9.7947401059513375</v>
      </c>
    </row>
    <row r="673" spans="3:18" x14ac:dyDescent="0.35">
      <c r="C673">
        <v>0.27540799999999999</v>
      </c>
      <c r="L673">
        <f t="shared" si="53"/>
        <v>672</v>
      </c>
      <c r="M673">
        <f t="shared" si="54"/>
        <v>1935.9166666666158</v>
      </c>
      <c r="N673">
        <f t="shared" si="50"/>
        <v>0</v>
      </c>
      <c r="O673">
        <f t="array" ref="O673">+SUM($F$2:$F$18*SIN(2*PI()*(M673)*$B$1/$E$2:$E$18+$G$2:$G$18))</f>
        <v>-0.90978535825692286</v>
      </c>
      <c r="P673">
        <f t="shared" si="51"/>
        <v>0</v>
      </c>
      <c r="Q673">
        <f t="shared" si="52"/>
        <v>0.37377714948301766</v>
      </c>
      <c r="R673">
        <f t="array" ref="R673">+$B$2*SIN(Q673*$B$3+$B$4)+Q673+$B$9*SIN(PI()*M673+$B$10)+$B$11*SIN(2*PI()*M673+$B$12) + SUM($I$2:$I$18*SIN(2*PI()*M673*$H$2:$H$18+$J$2:$J$18))</f>
        <v>9.3799410295900643</v>
      </c>
    </row>
    <row r="674" spans="3:18" x14ac:dyDescent="0.35">
      <c r="C674">
        <v>0.187138</v>
      </c>
      <c r="L674">
        <f t="shared" si="53"/>
        <v>673</v>
      </c>
      <c r="M674">
        <f t="shared" si="54"/>
        <v>1935.9999999999491</v>
      </c>
      <c r="N674">
        <f t="shared" si="50"/>
        <v>200</v>
      </c>
      <c r="O674">
        <f t="array" ref="O674">+SUM($F$2:$F$18*SIN(2*PI()*(M674)*$B$1/$E$2:$E$18+$G$2:$G$18))</f>
        <v>-4.3433030524655858E-2</v>
      </c>
      <c r="P674">
        <f t="shared" si="51"/>
        <v>-8.6866061049311725</v>
      </c>
      <c r="Q674">
        <f t="shared" si="52"/>
        <v>0.35288770024050542</v>
      </c>
      <c r="R674">
        <f t="array" ref="R674">+$B$2*SIN(Q674*$B$3+$B$4)+Q674+$B$9*SIN(PI()*M674+$B$10)+$B$11*SIN(2*PI()*M674+$B$12) + SUM($I$2:$I$18*SIN(2*PI()*M674*$H$2:$H$18+$J$2:$J$18))</f>
        <v>9.9155667343837628</v>
      </c>
    </row>
    <row r="675" spans="3:18" x14ac:dyDescent="0.35">
      <c r="C675">
        <v>0.27117400000000003</v>
      </c>
      <c r="L675">
        <f t="shared" si="53"/>
        <v>674</v>
      </c>
      <c r="M675">
        <f t="shared" si="54"/>
        <v>1936.0833333332823</v>
      </c>
      <c r="N675">
        <f t="shared" si="50"/>
        <v>0</v>
      </c>
      <c r="O675">
        <f t="array" ref="O675">+SUM($F$2:$F$18*SIN(2*PI()*(M675)*$B$1/$E$2:$E$18+$G$2:$G$18))</f>
        <v>-0.33249987672184023</v>
      </c>
      <c r="P675">
        <f t="shared" si="51"/>
        <v>0</v>
      </c>
      <c r="Q675">
        <f t="shared" si="52"/>
        <v>0.35207408899520964</v>
      </c>
      <c r="R675">
        <f t="array" ref="R675">+$B$2*SIN(Q675*$B$3+$B$4)+Q675+$B$9*SIN(PI()*M675+$B$10)+$B$11*SIN(2*PI()*M675+$B$12) + SUM($I$2:$I$18*SIN(2*PI()*M675*$H$2:$H$18+$J$2:$J$18))</f>
        <v>9.5449365392024959</v>
      </c>
    </row>
    <row r="676" spans="3:18" x14ac:dyDescent="0.35">
      <c r="C676">
        <v>0.30443799999999999</v>
      </c>
      <c r="L676">
        <f t="shared" si="53"/>
        <v>675</v>
      </c>
      <c r="M676">
        <f t="shared" si="54"/>
        <v>1936.1666666666156</v>
      </c>
      <c r="N676">
        <f t="shared" si="50"/>
        <v>0</v>
      </c>
      <c r="O676">
        <f t="array" ref="O676">+SUM($F$2:$F$18*SIN(2*PI()*(M676)*$B$1/$E$2:$E$18+$G$2:$G$18))</f>
        <v>-0.44187851711789955</v>
      </c>
      <c r="P676">
        <f t="shared" si="51"/>
        <v>0</v>
      </c>
      <c r="Q676">
        <f t="shared" si="52"/>
        <v>0.35126235359670033</v>
      </c>
      <c r="R676">
        <f t="array" ref="R676">+$B$2*SIN(Q676*$B$3+$B$4)+Q676+$B$9*SIN(PI()*M676+$B$10)+$B$11*SIN(2*PI()*M676+$B$12) + SUM($I$2:$I$18*SIN(2*PI()*M676*$H$2:$H$18+$J$2:$J$18))</f>
        <v>9.4053905001569866</v>
      </c>
    </row>
    <row r="677" spans="3:18" x14ac:dyDescent="0.35">
      <c r="C677">
        <v>0.20385600000000001</v>
      </c>
      <c r="L677">
        <f t="shared" si="53"/>
        <v>676</v>
      </c>
      <c r="M677">
        <f t="shared" si="54"/>
        <v>1936.2499999999488</v>
      </c>
      <c r="N677">
        <f t="shared" si="50"/>
        <v>0</v>
      </c>
      <c r="O677">
        <f t="array" ref="O677">+SUM($F$2:$F$18*SIN(2*PI()*(M677)*$B$1/$E$2:$E$18+$G$2:$G$18))</f>
        <v>-4.1841885040848792E-2</v>
      </c>
      <c r="P677">
        <f t="shared" si="51"/>
        <v>0</v>
      </c>
      <c r="Q677">
        <f t="shared" si="52"/>
        <v>0.35045248972006038</v>
      </c>
      <c r="R677">
        <f t="array" ref="R677">+$B$2*SIN(Q677*$B$3+$B$4)+Q677+$B$9*SIN(PI()*M677+$B$10)+$B$11*SIN(2*PI()*M677+$B$12) + SUM($I$2:$I$18*SIN(2*PI()*M677*$H$2:$H$18+$J$2:$J$18))</f>
        <v>9.5788500106809931</v>
      </c>
    </row>
    <row r="678" spans="3:18" x14ac:dyDescent="0.35">
      <c r="C678">
        <v>0.10173600000000001</v>
      </c>
      <c r="L678">
        <f t="shared" si="53"/>
        <v>677</v>
      </c>
      <c r="M678">
        <f t="shared" si="54"/>
        <v>1936.3333333332821</v>
      </c>
      <c r="N678">
        <f t="shared" si="50"/>
        <v>0</v>
      </c>
      <c r="O678">
        <f t="array" ref="O678">+SUM($F$2:$F$18*SIN(2*PI()*(M678)*$B$1/$E$2:$E$18+$G$2:$G$18))</f>
        <v>0.53358067914413709</v>
      </c>
      <c r="P678">
        <f t="shared" si="51"/>
        <v>0</v>
      </c>
      <c r="Q678">
        <f t="shared" si="52"/>
        <v>0.34964449305034417</v>
      </c>
      <c r="R678">
        <f t="array" ref="R678">+$B$2*SIN(Q678*$B$3+$B$4)+Q678+$B$9*SIN(PI()*M678+$B$10)+$B$11*SIN(2*PI()*M678+$B$12) + SUM($I$2:$I$18*SIN(2*PI()*M678*$H$2:$H$18+$J$2:$J$18))</f>
        <v>10.07448806821229</v>
      </c>
    </row>
    <row r="679" spans="3:18" x14ac:dyDescent="0.35">
      <c r="C679">
        <v>0.20268799999999998</v>
      </c>
      <c r="L679">
        <f t="shared" si="53"/>
        <v>678</v>
      </c>
      <c r="M679">
        <f t="shared" si="54"/>
        <v>1936.4166666666154</v>
      </c>
      <c r="N679">
        <f t="shared" si="50"/>
        <v>0</v>
      </c>
      <c r="O679">
        <f t="array" ref="O679">+SUM($F$2:$F$18*SIN(2*PI()*(M679)*$B$1/$E$2:$E$18+$G$2:$G$18))</f>
        <v>0.22895962544198262</v>
      </c>
      <c r="P679">
        <f t="shared" si="51"/>
        <v>0</v>
      </c>
      <c r="Q679">
        <f t="shared" si="52"/>
        <v>0.34883835928255452</v>
      </c>
      <c r="R679">
        <f t="array" ref="R679">+$B$2*SIN(Q679*$B$3+$B$4)+Q679+$B$9*SIN(PI()*M679+$B$10)+$B$11*SIN(2*PI()*M679+$B$12) + SUM($I$2:$I$18*SIN(2*PI()*M679*$H$2:$H$18+$J$2:$J$18))</f>
        <v>10.823091417308705</v>
      </c>
    </row>
    <row r="680" spans="3:18" x14ac:dyDescent="0.35">
      <c r="C680">
        <v>0.137488</v>
      </c>
      <c r="L680">
        <f t="shared" si="53"/>
        <v>679</v>
      </c>
      <c r="M680">
        <f t="shared" si="54"/>
        <v>1936.4999999999486</v>
      </c>
      <c r="N680">
        <f t="shared" si="50"/>
        <v>0</v>
      </c>
      <c r="O680">
        <f t="array" ref="O680">+SUM($F$2:$F$18*SIN(2*PI()*(M680)*$B$1/$E$2:$E$18+$G$2:$G$18))</f>
        <v>-1.4487337349453184</v>
      </c>
      <c r="P680">
        <f t="shared" si="51"/>
        <v>0</v>
      </c>
      <c r="Q680">
        <f t="shared" si="52"/>
        <v>0.34803408412161979</v>
      </c>
      <c r="R680">
        <f t="array" ref="R680">+$B$2*SIN(Q680*$B$3+$B$4)+Q680+$B$9*SIN(PI()*M680+$B$10)+$B$11*SIN(2*PI()*M680+$B$12) + SUM($I$2:$I$18*SIN(2*PI()*M680*$H$2:$H$18+$J$2:$J$18))</f>
        <v>11.691777078159959</v>
      </c>
    </row>
    <row r="681" spans="3:18" x14ac:dyDescent="0.35">
      <c r="C681">
        <v>5.0747999999999995E-2</v>
      </c>
      <c r="L681">
        <f t="shared" si="53"/>
        <v>680</v>
      </c>
      <c r="M681">
        <f t="shared" si="54"/>
        <v>1936.5833333332819</v>
      </c>
      <c r="N681">
        <f t="shared" si="50"/>
        <v>0</v>
      </c>
      <c r="O681">
        <f t="array" ref="O681">+SUM($F$2:$F$18*SIN(2*PI()*(M681)*$B$1/$E$2:$E$18+$G$2:$G$18))</f>
        <v>-2.1971898596947028</v>
      </c>
      <c r="P681">
        <f t="shared" si="51"/>
        <v>0</v>
      </c>
      <c r="Q681">
        <f t="shared" si="52"/>
        <v>0.34723166328237098</v>
      </c>
      <c r="R681">
        <f t="array" ref="R681">+$B$2*SIN(Q681*$B$3+$B$4)+Q681+$B$9*SIN(PI()*M681+$B$10)+$B$11*SIN(2*PI()*M681+$B$12) + SUM($I$2:$I$18*SIN(2*PI()*M681*$H$2:$H$18+$J$2:$J$18))</f>
        <v>12.515323732205864</v>
      </c>
    </row>
    <row r="682" spans="3:18" x14ac:dyDescent="0.35">
      <c r="C682">
        <v>2.862E-2</v>
      </c>
      <c r="L682">
        <f t="shared" si="53"/>
        <v>681</v>
      </c>
      <c r="M682">
        <f t="shared" si="54"/>
        <v>1936.6666666666151</v>
      </c>
      <c r="N682">
        <f t="shared" si="50"/>
        <v>0</v>
      </c>
      <c r="O682">
        <f t="array" ref="O682">+SUM($F$2:$F$18*SIN(2*PI()*(M682)*$B$1/$E$2:$E$18+$G$2:$G$18))</f>
        <v>-1.0510712811154863</v>
      </c>
      <c r="P682">
        <f t="shared" si="51"/>
        <v>0</v>
      </c>
      <c r="Q682">
        <f t="shared" si="52"/>
        <v>0.34643109248951887</v>
      </c>
      <c r="R682">
        <f t="array" ref="R682">+$B$2*SIN(Q682*$B$3+$B$4)+Q682+$B$9*SIN(PI()*M682+$B$10)+$B$11*SIN(2*PI()*M682+$B$12) + SUM($I$2:$I$18*SIN(2*PI()*M682*$H$2:$H$18+$J$2:$J$18))</f>
        <v>13.135952865286221</v>
      </c>
    </row>
    <row r="683" spans="3:18" x14ac:dyDescent="0.35">
      <c r="C683">
        <v>-0.22889199999999998</v>
      </c>
      <c r="L683">
        <f t="shared" si="53"/>
        <v>682</v>
      </c>
      <c r="M683">
        <f t="shared" si="54"/>
        <v>1936.7499999999484</v>
      </c>
      <c r="N683">
        <f t="shared" si="50"/>
        <v>0</v>
      </c>
      <c r="O683">
        <f t="array" ref="O683">+SUM($F$2:$F$18*SIN(2*PI()*(M683)*$B$1/$E$2:$E$18+$G$2:$G$18))</f>
        <v>-0.22608789922512063</v>
      </c>
      <c r="P683">
        <f t="shared" si="51"/>
        <v>0</v>
      </c>
      <c r="Q683">
        <f t="shared" si="52"/>
        <v>0.34563236747763132</v>
      </c>
      <c r="R683">
        <f t="array" ref="R683">+$B$2*SIN(Q683*$B$3+$B$4)+Q683+$B$9*SIN(PI()*M683+$B$10)+$B$11*SIN(2*PI()*M683+$B$12) + SUM($I$2:$I$18*SIN(2*PI()*M683*$H$2:$H$18+$J$2:$J$18))</f>
        <v>13.441143280162473</v>
      </c>
    </row>
    <row r="684" spans="3:18" x14ac:dyDescent="0.35">
      <c r="C684">
        <v>-0.49871200000000004</v>
      </c>
      <c r="L684">
        <f t="shared" si="53"/>
        <v>683</v>
      </c>
      <c r="M684">
        <f t="shared" si="54"/>
        <v>1936.8333333332816</v>
      </c>
      <c r="N684">
        <f t="shared" si="50"/>
        <v>0</v>
      </c>
      <c r="O684">
        <f t="array" ref="O684">+SUM($F$2:$F$18*SIN(2*PI()*(M684)*$B$1/$E$2:$E$18+$G$2:$G$18))</f>
        <v>-0.40242162222379785</v>
      </c>
      <c r="P684">
        <f t="shared" si="51"/>
        <v>0</v>
      </c>
      <c r="Q684">
        <f t="shared" si="52"/>
        <v>0.34483548399111041</v>
      </c>
      <c r="R684">
        <f t="array" ref="R684">+$B$2*SIN(Q684*$B$3+$B$4)+Q684+$B$9*SIN(PI()*M684+$B$10)+$B$11*SIN(2*PI()*M684+$B$12) + SUM($I$2:$I$18*SIN(2*PI()*M684*$H$2:$H$18+$J$2:$J$18))</f>
        <v>13.389587987793881</v>
      </c>
    </row>
    <row r="685" spans="3:18" x14ac:dyDescent="0.35">
      <c r="C685">
        <v>-0.43469000000000002</v>
      </c>
      <c r="L685">
        <f t="shared" si="53"/>
        <v>684</v>
      </c>
      <c r="M685">
        <f t="shared" si="54"/>
        <v>1936.9166666666149</v>
      </c>
      <c r="N685">
        <f t="shared" si="50"/>
        <v>0</v>
      </c>
      <c r="O685">
        <f t="array" ref="O685">+SUM($F$2:$F$18*SIN(2*PI()*(M685)*$B$1/$E$2:$E$18+$G$2:$G$18))</f>
        <v>-0.60256289943347408</v>
      </c>
      <c r="P685">
        <f t="shared" si="51"/>
        <v>0</v>
      </c>
      <c r="Q685">
        <f t="shared" si="52"/>
        <v>0.34404043778416987</v>
      </c>
      <c r="R685">
        <f t="array" ref="R685">+$B$2*SIN(Q685*$B$3+$B$4)+Q685+$B$9*SIN(PI()*M685+$B$10)+$B$11*SIN(2*PI()*M685+$B$12) + SUM($I$2:$I$18*SIN(2*PI()*M685*$H$2:$H$18+$J$2:$J$18))</f>
        <v>13.018563866004838</v>
      </c>
    </row>
    <row r="686" spans="3:18" x14ac:dyDescent="0.35">
      <c r="C686">
        <v>-0.60604999999999998</v>
      </c>
      <c r="L686">
        <f t="shared" si="53"/>
        <v>685</v>
      </c>
      <c r="M686">
        <f t="shared" si="54"/>
        <v>1936.9999999999482</v>
      </c>
      <c r="N686">
        <f t="shared" si="50"/>
        <v>200</v>
      </c>
      <c r="O686">
        <f t="array" ref="O686">+SUM($F$2:$F$18*SIN(2*PI()*(M686)*$B$1/$E$2:$E$18+$G$2:$G$18))</f>
        <v>-0.41078778693320023</v>
      </c>
      <c r="P686">
        <f t="shared" si="51"/>
        <v>-82.15755738664005</v>
      </c>
      <c r="Q686">
        <f t="shared" si="52"/>
        <v>0.15382630535883093</v>
      </c>
      <c r="R686">
        <f t="array" ref="R686">+$B$2*SIN(Q686*$B$3+$B$4)+Q686+$B$9*SIN(PI()*M686+$B$10)+$B$11*SIN(2*PI()*M686+$B$12) + SUM($I$2:$I$18*SIN(2*PI()*M686*$H$2:$H$18+$J$2:$J$18))</f>
        <v>4.6480170679658483</v>
      </c>
    </row>
    <row r="687" spans="3:18" x14ac:dyDescent="0.35">
      <c r="C687">
        <v>-0.61587400000000003</v>
      </c>
      <c r="L687">
        <f t="shared" si="53"/>
        <v>686</v>
      </c>
      <c r="M687">
        <f t="shared" si="54"/>
        <v>1937.0833333332814</v>
      </c>
      <c r="N687">
        <f t="shared" si="50"/>
        <v>0</v>
      </c>
      <c r="O687">
        <f t="array" ref="O687">+SUM($F$2:$F$18*SIN(2*PI()*(M687)*$B$1/$E$2:$E$18+$G$2:$G$18))</f>
        <v>0.18706171819533324</v>
      </c>
      <c r="P687">
        <f t="shared" si="51"/>
        <v>0</v>
      </c>
      <c r="Q687">
        <f t="shared" si="52"/>
        <v>0.15347164632204119</v>
      </c>
      <c r="R687">
        <f t="array" ref="R687">+$B$2*SIN(Q687*$B$3+$B$4)+Q687+$B$9*SIN(PI()*M687+$B$10)+$B$11*SIN(2*PI()*M687+$B$12) + SUM($I$2:$I$18*SIN(2*PI()*M687*$H$2:$H$18+$J$2:$J$18))</f>
        <v>3.922290470869771</v>
      </c>
    </row>
    <row r="688" spans="3:18" x14ac:dyDescent="0.35">
      <c r="C688">
        <v>-0.42877799999999999</v>
      </c>
      <c r="L688">
        <f t="shared" si="53"/>
        <v>687</v>
      </c>
      <c r="M688">
        <f t="shared" si="54"/>
        <v>1937.1666666666147</v>
      </c>
      <c r="N688">
        <f t="shared" si="50"/>
        <v>0</v>
      </c>
      <c r="O688">
        <f t="array" ref="O688">+SUM($F$2:$F$18*SIN(2*PI()*(M688)*$B$1/$E$2:$E$18+$G$2:$G$18))</f>
        <v>-7.6382790960377034E-3</v>
      </c>
      <c r="P688">
        <f t="shared" si="51"/>
        <v>0</v>
      </c>
      <c r="Q688">
        <f t="shared" si="52"/>
        <v>0.15311780498045696</v>
      </c>
      <c r="R688">
        <f t="array" ref="R688">+$B$2*SIN(Q688*$B$3+$B$4)+Q688+$B$9*SIN(PI()*M688+$B$10)+$B$11*SIN(2*PI()*M688+$B$12) + SUM($I$2:$I$18*SIN(2*PI()*M688*$H$2:$H$18+$J$2:$J$18))</f>
        <v>3.2555357172357096</v>
      </c>
    </row>
    <row r="689" spans="3:18" x14ac:dyDescent="0.35">
      <c r="C689">
        <v>-0.30321799999999999</v>
      </c>
      <c r="L689">
        <f t="shared" si="53"/>
        <v>688</v>
      </c>
      <c r="M689">
        <f t="shared" si="54"/>
        <v>1937.2499999999479</v>
      </c>
      <c r="N689">
        <f t="shared" si="50"/>
        <v>0</v>
      </c>
      <c r="O689">
        <f t="array" ref="O689">+SUM($F$2:$F$18*SIN(2*PI()*(M689)*$B$1/$E$2:$E$18+$G$2:$G$18))</f>
        <v>-1.3630526290094409</v>
      </c>
      <c r="P689">
        <f t="shared" si="51"/>
        <v>0</v>
      </c>
      <c r="Q689">
        <f t="shared" si="52"/>
        <v>0.15276477944881559</v>
      </c>
      <c r="R689">
        <f t="array" ref="R689">+$B$2*SIN(Q689*$B$3+$B$4)+Q689+$B$9*SIN(PI()*M689+$B$10)+$B$11*SIN(2*PI()*M689+$B$12) + SUM($I$2:$I$18*SIN(2*PI()*M689*$H$2:$H$18+$J$2:$J$18))</f>
        <v>2.7447462740410025</v>
      </c>
    </row>
    <row r="690" spans="3:18" x14ac:dyDescent="0.35">
      <c r="C690">
        <v>-0.30073800000000001</v>
      </c>
      <c r="L690">
        <f t="shared" si="53"/>
        <v>689</v>
      </c>
      <c r="M690">
        <f t="shared" si="54"/>
        <v>1937.3333333332812</v>
      </c>
      <c r="N690">
        <f t="shared" si="50"/>
        <v>0</v>
      </c>
      <c r="O690">
        <f t="array" ref="O690">+SUM($F$2:$F$18*SIN(2*PI()*(M690)*$B$1/$E$2:$E$18+$G$2:$G$18))</f>
        <v>-1.6924221347231614</v>
      </c>
      <c r="P690">
        <f t="shared" si="51"/>
        <v>0</v>
      </c>
      <c r="Q690">
        <f t="shared" si="52"/>
        <v>0.152412567846201</v>
      </c>
      <c r="R690">
        <f t="array" ref="R690">+$B$2*SIN(Q690*$B$3+$B$4)+Q690+$B$9*SIN(PI()*M690+$B$10)+$B$11*SIN(2*PI()*M690+$B$12) + SUM($I$2:$I$18*SIN(2*PI()*M690*$H$2:$H$18+$J$2:$J$18))</f>
        <v>2.4225026989520528</v>
      </c>
    </row>
    <row r="691" spans="3:18" x14ac:dyDescent="0.35">
      <c r="C691">
        <v>-0.39672199999999996</v>
      </c>
      <c r="L691">
        <f t="shared" si="53"/>
        <v>690</v>
      </c>
      <c r="M691">
        <f t="shared" si="54"/>
        <v>1937.4166666666144</v>
      </c>
      <c r="N691">
        <f t="shared" si="50"/>
        <v>0</v>
      </c>
      <c r="O691">
        <f t="array" ref="O691">+SUM($F$2:$F$18*SIN(2*PI()*(M691)*$B$1/$E$2:$E$18+$G$2:$G$18))</f>
        <v>-0.65261615824226249</v>
      </c>
      <c r="P691">
        <f t="shared" si="51"/>
        <v>0</v>
      </c>
      <c r="Q691">
        <f t="shared" si="52"/>
        <v>0.15206116829603372</v>
      </c>
      <c r="R691">
        <f t="array" ref="R691">+$B$2*SIN(Q691*$B$3+$B$4)+Q691+$B$9*SIN(PI()*M691+$B$10)+$B$11*SIN(2*PI()*M691+$B$12) + SUM($I$2:$I$18*SIN(2*PI()*M691*$H$2:$H$18+$J$2:$J$18))</f>
        <v>2.2499747634143752</v>
      </c>
    </row>
    <row r="692" spans="3:18" x14ac:dyDescent="0.35">
      <c r="C692">
        <v>-0.41731999999999997</v>
      </c>
      <c r="L692">
        <f t="shared" si="53"/>
        <v>691</v>
      </c>
      <c r="M692">
        <f t="shared" si="54"/>
        <v>1937.4999999999477</v>
      </c>
      <c r="N692">
        <f t="shared" si="50"/>
        <v>0</v>
      </c>
      <c r="O692">
        <f t="array" ref="O692">+SUM($F$2:$F$18*SIN(2*PI()*(M692)*$B$1/$E$2:$E$18+$G$2:$G$18))</f>
        <v>-0.1419846023077487</v>
      </c>
      <c r="P692">
        <f t="shared" si="51"/>
        <v>0</v>
      </c>
      <c r="Q692">
        <f t="shared" si="52"/>
        <v>0.15171057892606093</v>
      </c>
      <c r="R692">
        <f t="array" ref="R692">+$B$2*SIN(Q692*$B$3+$B$4)+Q692+$B$9*SIN(PI()*M692+$B$10)+$B$11*SIN(2*PI()*M692+$B$12) + SUM($I$2:$I$18*SIN(2*PI()*M692*$H$2:$H$18+$J$2:$J$18))</f>
        <v>2.1298849924014478</v>
      </c>
    </row>
    <row r="693" spans="3:18" x14ac:dyDescent="0.35">
      <c r="C693">
        <v>-0.41330399999999995</v>
      </c>
      <c r="L693">
        <f t="shared" si="53"/>
        <v>692</v>
      </c>
      <c r="M693">
        <f t="shared" si="54"/>
        <v>1937.583333333281</v>
      </c>
      <c r="N693">
        <f t="shared" si="50"/>
        <v>0</v>
      </c>
      <c r="O693">
        <f t="array" ref="O693">+SUM($F$2:$F$18*SIN(2*PI()*(M693)*$B$1/$E$2:$E$18+$G$2:$G$18))</f>
        <v>-0.25759659095062948</v>
      </c>
      <c r="P693">
        <f t="shared" si="51"/>
        <v>0</v>
      </c>
      <c r="Q693">
        <f t="shared" si="52"/>
        <v>0.15136079786834639</v>
      </c>
      <c r="R693">
        <f t="array" ref="R693">+$B$2*SIN(Q693*$B$3+$B$4)+Q693+$B$9*SIN(PI()*M693+$B$10)+$B$11*SIN(2*PI()*M693+$B$12) + SUM($I$2:$I$18*SIN(2*PI()*M693*$H$2:$H$18+$J$2:$J$18))</f>
        <v>1.9358080870863383</v>
      </c>
    </row>
    <row r="694" spans="3:18" x14ac:dyDescent="0.35">
      <c r="C694">
        <v>-0.42006199999999999</v>
      </c>
      <c r="L694">
        <f t="shared" si="53"/>
        <v>693</v>
      </c>
      <c r="M694">
        <f t="shared" si="54"/>
        <v>1937.6666666666142</v>
      </c>
      <c r="N694">
        <f t="shared" si="50"/>
        <v>0</v>
      </c>
      <c r="O694">
        <f t="array" ref="O694">+SUM($F$2:$F$18*SIN(2*PI()*(M694)*$B$1/$E$2:$E$18+$G$2:$G$18))</f>
        <v>-0.29756647516858953</v>
      </c>
      <c r="P694">
        <f t="shared" si="51"/>
        <v>0</v>
      </c>
      <c r="Q694">
        <f t="shared" si="52"/>
        <v>0.15101182325926055</v>
      </c>
      <c r="R694">
        <f t="array" ref="R694">+$B$2*SIN(Q694*$B$3+$B$4)+Q694+$B$9*SIN(PI()*M694+$B$10)+$B$11*SIN(2*PI()*M694+$B$12) + SUM($I$2:$I$18*SIN(2*PI()*M694*$H$2:$H$18+$J$2:$J$18))</f>
        <v>1.5497735028921471</v>
      </c>
    </row>
    <row r="695" spans="3:18" x14ac:dyDescent="0.35">
      <c r="C695">
        <v>-0.32989400000000002</v>
      </c>
      <c r="L695">
        <f t="shared" si="53"/>
        <v>694</v>
      </c>
      <c r="M695">
        <f t="shared" si="54"/>
        <v>1937.7499999999475</v>
      </c>
      <c r="N695">
        <f t="shared" si="50"/>
        <v>0</v>
      </c>
      <c r="O695">
        <f t="array" ref="O695">+SUM($F$2:$F$18*SIN(2*PI()*(M695)*$B$1/$E$2:$E$18+$G$2:$G$18))</f>
        <v>-8.7687362325698959E-2</v>
      </c>
      <c r="P695">
        <f t="shared" si="51"/>
        <v>0</v>
      </c>
      <c r="Q695">
        <f t="shared" si="52"/>
        <v>0.15066365323947065</v>
      </c>
      <c r="R695">
        <f t="array" ref="R695">+$B$2*SIN(Q695*$B$3+$B$4)+Q695+$B$9*SIN(PI()*M695+$B$10)+$B$11*SIN(2*PI()*M695+$B$12) + SUM($I$2:$I$18*SIN(2*PI()*M695*$H$2:$H$18+$J$2:$J$18))</f>
        <v>0.89789662866808784</v>
      </c>
    </row>
    <row r="696" spans="3:18" x14ac:dyDescent="0.35">
      <c r="C696">
        <v>4.335E-2</v>
      </c>
      <c r="L696">
        <f t="shared" si="53"/>
        <v>695</v>
      </c>
      <c r="M696">
        <f t="shared" si="54"/>
        <v>1937.8333333332807</v>
      </c>
      <c r="N696">
        <f t="shared" si="50"/>
        <v>0</v>
      </c>
      <c r="O696">
        <f t="array" ref="O696">+SUM($F$2:$F$18*SIN(2*PI()*(M696)*$B$1/$E$2:$E$18+$G$2:$G$18))</f>
        <v>0.34064677775165358</v>
      </c>
      <c r="P696">
        <f t="shared" si="51"/>
        <v>0</v>
      </c>
      <c r="Q696">
        <f t="shared" si="52"/>
        <v>0.15031628595393071</v>
      </c>
      <c r="R696">
        <f t="array" ref="R696">+$B$2*SIN(Q696*$B$3+$B$4)+Q696+$B$9*SIN(PI()*M696+$B$10)+$B$11*SIN(2*PI()*M696+$B$12) + SUM($I$2:$I$18*SIN(2*PI()*M696*$H$2:$H$18+$J$2:$J$18))</f>
        <v>-2.5710921818315136E-2</v>
      </c>
    </row>
    <row r="697" spans="3:18" x14ac:dyDescent="0.35">
      <c r="C697">
        <v>0.53197400000000006</v>
      </c>
      <c r="L697">
        <f t="shared" si="53"/>
        <v>696</v>
      </c>
      <c r="M697">
        <f t="shared" si="54"/>
        <v>1937.916666666614</v>
      </c>
      <c r="N697">
        <f t="shared" si="50"/>
        <v>0</v>
      </c>
      <c r="O697">
        <f t="array" ref="O697">+SUM($F$2:$F$18*SIN(2*PI()*(M697)*$B$1/$E$2:$E$18+$G$2:$G$18))</f>
        <v>-1.3610113093083132E-2</v>
      </c>
      <c r="P697">
        <f t="shared" si="51"/>
        <v>0</v>
      </c>
      <c r="Q697">
        <f t="shared" si="52"/>
        <v>0.14996971955187174</v>
      </c>
      <c r="R697">
        <f t="array" ref="R697">+$B$2*SIN(Q697*$B$3+$B$4)+Q697+$B$9*SIN(PI()*M697+$B$10)+$B$11*SIN(2*PI()*M697+$B$12) + SUM($I$2:$I$18*SIN(2*PI()*M697*$H$2:$H$18+$J$2:$J$18))</f>
        <v>-1.1533503198693986</v>
      </c>
    </row>
    <row r="698" spans="3:18" x14ac:dyDescent="0.35">
      <c r="C698">
        <v>0.668292</v>
      </c>
      <c r="L698">
        <f t="shared" si="53"/>
        <v>697</v>
      </c>
      <c r="M698">
        <f t="shared" si="54"/>
        <v>1937.9999999999472</v>
      </c>
      <c r="N698">
        <f t="shared" si="50"/>
        <v>200</v>
      </c>
      <c r="O698">
        <f t="array" ref="O698">+SUM($F$2:$F$18*SIN(2*PI()*(M698)*$B$1/$E$2:$E$18+$G$2:$G$18))</f>
        <v>-0.96863529110648572</v>
      </c>
      <c r="P698">
        <f t="shared" si="51"/>
        <v>-193.72705822129714</v>
      </c>
      <c r="Q698">
        <f t="shared" si="52"/>
        <v>-0.29702951003219069</v>
      </c>
      <c r="R698">
        <f t="array" ref="R698">+$B$2*SIN(Q698*$B$3+$B$4)+Q698+$B$9*SIN(PI()*M698+$B$10)+$B$11*SIN(2*PI()*M698+$B$12) + SUM($I$2:$I$18*SIN(2*PI()*M698*$H$2:$H$18+$J$2:$J$18))</f>
        <v>3.5305828093217113</v>
      </c>
    </row>
    <row r="699" spans="3:18" x14ac:dyDescent="0.35">
      <c r="C699">
        <v>0.85999399999999993</v>
      </c>
      <c r="L699">
        <f t="shared" si="53"/>
        <v>698</v>
      </c>
      <c r="M699">
        <f t="shared" si="54"/>
        <v>1938.0833333332805</v>
      </c>
      <c r="N699">
        <f t="shared" si="50"/>
        <v>0</v>
      </c>
      <c r="O699">
        <f t="array" ref="O699">+SUM($F$2:$F$18*SIN(2*PI()*(M699)*$B$1/$E$2:$E$18+$G$2:$G$18))</f>
        <v>-0.80575373228956626</v>
      </c>
      <c r="P699">
        <f t="shared" si="51"/>
        <v>0</v>
      </c>
      <c r="Q699">
        <f t="shared" si="52"/>
        <v>-0.2963446843797744</v>
      </c>
      <c r="R699">
        <f t="array" ref="R699">+$B$2*SIN(Q699*$B$3+$B$4)+Q699+$B$9*SIN(PI()*M699+$B$10)+$B$11*SIN(2*PI()*M699+$B$12) + SUM($I$2:$I$18*SIN(2*PI()*M699*$H$2:$H$18+$J$2:$J$18))</f>
        <v>2.3956438564822777</v>
      </c>
    </row>
    <row r="700" spans="3:18" x14ac:dyDescent="0.35">
      <c r="C700">
        <v>1.0670759999999999</v>
      </c>
      <c r="L700">
        <f t="shared" si="53"/>
        <v>699</v>
      </c>
      <c r="M700">
        <f t="shared" si="54"/>
        <v>1938.1666666666138</v>
      </c>
      <c r="N700">
        <f t="shared" si="50"/>
        <v>0</v>
      </c>
      <c r="O700">
        <f t="array" ref="O700">+SUM($F$2:$F$18*SIN(2*PI()*(M700)*$B$1/$E$2:$E$18+$G$2:$G$18))</f>
        <v>-4.8027967657802845E-2</v>
      </c>
      <c r="P700">
        <f t="shared" si="51"/>
        <v>0</v>
      </c>
      <c r="Q700">
        <f t="shared" si="52"/>
        <v>-0.29566143764850356</v>
      </c>
      <c r="R700">
        <f t="array" ref="R700">+$B$2*SIN(Q700*$B$3+$B$4)+Q700+$B$9*SIN(PI()*M700+$B$10)+$B$11*SIN(2*PI()*M700+$B$12) + SUM($I$2:$I$18*SIN(2*PI()*M700*$H$2:$H$18+$J$2:$J$18))</f>
        <v>1.4838579437766919</v>
      </c>
    </row>
    <row r="701" spans="3:18" x14ac:dyDescent="0.35">
      <c r="C701">
        <v>0.94800600000000002</v>
      </c>
      <c r="L701">
        <f t="shared" si="53"/>
        <v>700</v>
      </c>
      <c r="M701">
        <f t="shared" si="54"/>
        <v>1938.249999999947</v>
      </c>
      <c r="N701">
        <f t="shared" si="50"/>
        <v>0</v>
      </c>
      <c r="O701">
        <f t="array" ref="O701">+SUM($F$2:$F$18*SIN(2*PI()*(M701)*$B$1/$E$2:$E$18+$G$2:$G$18))</f>
        <v>1.6901787735410789E-3</v>
      </c>
      <c r="P701">
        <f t="shared" si="51"/>
        <v>0</v>
      </c>
      <c r="Q701">
        <f t="shared" si="52"/>
        <v>-0.29497976619804722</v>
      </c>
      <c r="R701">
        <f t="array" ref="R701">+$B$2*SIN(Q701*$B$3+$B$4)+Q701+$B$9*SIN(PI()*M701+$B$10)+$B$11*SIN(2*PI()*M701+$B$12) + SUM($I$2:$I$18*SIN(2*PI()*M701*$H$2:$H$18+$J$2:$J$18))</f>
        <v>0.89350831068486603</v>
      </c>
    </row>
    <row r="702" spans="3:18" x14ac:dyDescent="0.35">
      <c r="C702">
        <v>0.90124199999999999</v>
      </c>
      <c r="L702">
        <f t="shared" si="53"/>
        <v>701</v>
      </c>
      <c r="M702">
        <f t="shared" si="54"/>
        <v>1938.3333333332803</v>
      </c>
      <c r="N702">
        <f t="shared" si="50"/>
        <v>0</v>
      </c>
      <c r="O702">
        <f t="array" ref="O702">+SUM($F$2:$F$18*SIN(2*PI()*(M702)*$B$1/$E$2:$E$18+$G$2:$G$18))</f>
        <v>-1.4556944288133311E-2</v>
      </c>
      <c r="P702">
        <f t="shared" si="51"/>
        <v>0</v>
      </c>
      <c r="Q702">
        <f t="shared" si="52"/>
        <v>-0.2942996663964676</v>
      </c>
      <c r="R702">
        <f t="array" ref="R702">+$B$2*SIN(Q702*$B$3+$B$4)+Q702+$B$9*SIN(PI()*M702+$B$10)+$B$11*SIN(2*PI()*M702+$B$12) + SUM($I$2:$I$18*SIN(2*PI()*M702*$H$2:$H$18+$J$2:$J$18))</f>
        <v>0.65141097520830638</v>
      </c>
    </row>
    <row r="703" spans="3:18" x14ac:dyDescent="0.35">
      <c r="C703">
        <v>0.76524400000000004</v>
      </c>
      <c r="L703">
        <f t="shared" si="53"/>
        <v>702</v>
      </c>
      <c r="M703">
        <f t="shared" si="54"/>
        <v>1938.4166666666135</v>
      </c>
      <c r="N703">
        <f t="shared" si="50"/>
        <v>0</v>
      </c>
      <c r="O703">
        <f t="array" ref="O703">+SUM($F$2:$F$18*SIN(2*PI()*(M703)*$B$1/$E$2:$E$18+$G$2:$G$18))</f>
        <v>0.26140144140416388</v>
      </c>
      <c r="P703">
        <f t="shared" si="51"/>
        <v>0</v>
      </c>
      <c r="Q703">
        <f t="shared" si="52"/>
        <v>-0.29362113462020062</v>
      </c>
      <c r="R703">
        <f t="array" ref="R703">+$B$2*SIN(Q703*$B$3+$B$4)+Q703+$B$9*SIN(PI()*M703+$B$10)+$B$11*SIN(2*PI()*M703+$B$12) + SUM($I$2:$I$18*SIN(2*PI()*M703*$H$2:$H$18+$J$2:$J$18))</f>
        <v>0.70695201072458591</v>
      </c>
    </row>
    <row r="704" spans="3:18" x14ac:dyDescent="0.35">
      <c r="C704">
        <v>0.7415560000000001</v>
      </c>
      <c r="L704">
        <f t="shared" si="53"/>
        <v>703</v>
      </c>
      <c r="M704">
        <f t="shared" si="54"/>
        <v>1938.4999999999468</v>
      </c>
      <c r="N704">
        <f t="shared" si="50"/>
        <v>0</v>
      </c>
      <c r="O704">
        <f t="array" ref="O704">+SUM($F$2:$F$18*SIN(2*PI()*(M704)*$B$1/$E$2:$E$18+$G$2:$G$18))</f>
        <v>0.50707416311552855</v>
      </c>
      <c r="P704">
        <f t="shared" si="51"/>
        <v>0</v>
      </c>
      <c r="Q704">
        <f t="shared" si="52"/>
        <v>-0.2929441672540366</v>
      </c>
      <c r="R704">
        <f t="array" ref="R704">+$B$2*SIN(Q704*$B$3+$B$4)+Q704+$B$9*SIN(PI()*M704+$B$10)+$B$11*SIN(2*PI()*M704+$B$12) + SUM($I$2:$I$18*SIN(2*PI()*M704*$H$2:$H$18+$J$2:$J$18))</f>
        <v>0.94642725772855218</v>
      </c>
    </row>
    <row r="705" spans="3:18" x14ac:dyDescent="0.35">
      <c r="C705">
        <v>0.60555799999999993</v>
      </c>
      <c r="L705">
        <f t="shared" si="53"/>
        <v>704</v>
      </c>
      <c r="M705">
        <f t="shared" si="54"/>
        <v>1938.5833333332801</v>
      </c>
      <c r="N705">
        <f t="shared" si="50"/>
        <v>0</v>
      </c>
      <c r="O705">
        <f t="array" ref="O705">+SUM($F$2:$F$18*SIN(2*PI()*(M705)*$B$1/$E$2:$E$18+$G$2:$G$18))</f>
        <v>0.51957533667167954</v>
      </c>
      <c r="P705">
        <f t="shared" si="51"/>
        <v>0</v>
      </c>
      <c r="Q705">
        <f t="shared" si="52"/>
        <v>-0.29226876069110097</v>
      </c>
      <c r="R705">
        <f t="array" ref="R705">+$B$2*SIN(Q705*$B$3+$B$4)+Q705+$B$9*SIN(PI()*M705+$B$10)+$B$11*SIN(2*PI()*M705+$B$12) + SUM($I$2:$I$18*SIN(2*PI()*M705*$H$2:$H$18+$J$2:$J$18))</f>
        <v>1.223940449812968</v>
      </c>
    </row>
    <row r="706" spans="3:18" x14ac:dyDescent="0.35">
      <c r="C706">
        <v>0.40801799999999999</v>
      </c>
      <c r="L706">
        <f t="shared" si="53"/>
        <v>705</v>
      </c>
      <c r="M706">
        <f t="shared" si="54"/>
        <v>1938.6666666666133</v>
      </c>
      <c r="N706">
        <f t="shared" ref="N706:N769" si="55">+IF(MOD(L706,$B$5)=1, $B$6, 0)</f>
        <v>0</v>
      </c>
      <c r="O706">
        <f t="array" ref="O706">+SUM($F$2:$F$18*SIN(2*PI()*(M706)*$B$1/$E$2:$E$18+$G$2:$G$18))</f>
        <v>-0.13806852828511845</v>
      </c>
      <c r="P706">
        <f t="shared" si="51"/>
        <v>0</v>
      </c>
      <c r="Q706">
        <f t="shared" si="52"/>
        <v>-0.29159491133283522</v>
      </c>
      <c r="R706">
        <f t="array" ref="R706">+$B$2*SIN(Q706*$B$3+$B$4)+Q706+$B$9*SIN(PI()*M706+$B$10)+$B$11*SIN(2*PI()*M706+$B$12) + SUM($I$2:$I$18*SIN(2*PI()*M706*$H$2:$H$18+$J$2:$J$18))</f>
        <v>1.4006938070531332</v>
      </c>
    </row>
    <row r="707" spans="3:18" x14ac:dyDescent="0.35">
      <c r="C707">
        <v>0.43817200000000001</v>
      </c>
      <c r="L707">
        <f t="shared" si="53"/>
        <v>706</v>
      </c>
      <c r="M707">
        <f t="shared" si="54"/>
        <v>1938.7499999999466</v>
      </c>
      <c r="N707">
        <f t="shared" si="55"/>
        <v>0</v>
      </c>
      <c r="O707">
        <f t="array" ref="O707">+SUM($F$2:$F$18*SIN(2*PI()*(M707)*$B$1/$E$2:$E$18+$G$2:$G$18))</f>
        <v>-0.6359647494045223</v>
      </c>
      <c r="P707">
        <f t="shared" ref="P707:P770" si="56">+N707*O707</f>
        <v>0</v>
      </c>
      <c r="Q707">
        <f t="shared" ref="Q707:Q770" si="57">+(1-$B$7)*Q706+($B$7)*P707</f>
        <v>-0.29092261558897753</v>
      </c>
      <c r="R707">
        <f t="array" ref="R707">+$B$2*SIN(Q707*$B$3+$B$4)+Q707+$B$9*SIN(PI()*M707+$B$10)+$B$11*SIN(2*PI()*M707+$B$12) + SUM($I$2:$I$18*SIN(2*PI()*M707*$H$2:$H$18+$J$2:$J$18))</f>
        <v>1.382259150771354</v>
      </c>
    </row>
    <row r="708" spans="3:18" x14ac:dyDescent="0.35">
      <c r="C708">
        <v>0.42063200000000001</v>
      </c>
      <c r="L708">
        <f t="shared" ref="L708:L771" si="58">+L707+1</f>
        <v>707</v>
      </c>
      <c r="M708">
        <f t="shared" ref="M708:M771" si="59">+M707+1/12</f>
        <v>1938.8333333332798</v>
      </c>
      <c r="N708">
        <f t="shared" si="55"/>
        <v>0</v>
      </c>
      <c r="O708">
        <f t="array" ref="O708">+SUM($F$2:$F$18*SIN(2*PI()*(M708)*$B$1/$E$2:$E$18+$G$2:$G$18))</f>
        <v>-5.7661432728843054E-2</v>
      </c>
      <c r="P708">
        <f t="shared" si="56"/>
        <v>0</v>
      </c>
      <c r="Q708">
        <f t="shared" si="57"/>
        <v>-0.29025186987754376</v>
      </c>
      <c r="R708">
        <f t="array" ref="R708">+$B$2*SIN(Q708*$B$3+$B$4)+Q708+$B$9*SIN(PI()*M708+$B$10)+$B$11*SIN(2*PI()*M708+$B$12) + SUM($I$2:$I$18*SIN(2*PI()*M708*$H$2:$H$18+$J$2:$J$18))</f>
        <v>1.1439494145739024</v>
      </c>
    </row>
    <row r="709" spans="3:18" x14ac:dyDescent="0.35">
      <c r="C709">
        <v>0.18309</v>
      </c>
      <c r="L709">
        <f t="shared" si="58"/>
        <v>708</v>
      </c>
      <c r="M709">
        <f t="shared" si="59"/>
        <v>1938.9166666666131</v>
      </c>
      <c r="N709">
        <f t="shared" si="55"/>
        <v>0</v>
      </c>
      <c r="O709">
        <f t="array" ref="O709">+SUM($F$2:$F$18*SIN(2*PI()*(M709)*$B$1/$E$2:$E$18+$G$2:$G$18))</f>
        <v>0.32177038114926915</v>
      </c>
      <c r="P709">
        <f t="shared" si="56"/>
        <v>0</v>
      </c>
      <c r="Q709">
        <f t="shared" si="57"/>
        <v>-0.28958267062480825</v>
      </c>
      <c r="R709">
        <f t="array" ref="R709">+$B$2*SIN(Q709*$B$3+$B$4)+Q709+$B$9*SIN(PI()*M709+$B$10)+$B$11*SIN(2*PI()*M709+$B$12) + SUM($I$2:$I$18*SIN(2*PI()*M709*$H$2:$H$18+$J$2:$J$18))</f>
        <v>0.73757866791032889</v>
      </c>
    </row>
    <row r="710" spans="3:18" x14ac:dyDescent="0.35">
      <c r="C710">
        <v>-0.26983599999999996</v>
      </c>
      <c r="L710">
        <f t="shared" si="58"/>
        <v>709</v>
      </c>
      <c r="M710">
        <f t="shared" si="59"/>
        <v>1938.9999999999463</v>
      </c>
      <c r="N710">
        <f t="shared" si="55"/>
        <v>200</v>
      </c>
      <c r="O710">
        <f t="array" ref="O710">+SUM($F$2:$F$18*SIN(2*PI()*(M710)*$B$1/$E$2:$E$18+$G$2:$G$18))</f>
        <v>1.3709467349382221E-2</v>
      </c>
      <c r="P710">
        <f t="shared" si="56"/>
        <v>2.7418934698764441</v>
      </c>
      <c r="Q710">
        <f t="shared" si="57"/>
        <v>-0.28259335624497384</v>
      </c>
      <c r="R710">
        <f t="array" ref="R710">+$B$2*SIN(Q710*$B$3+$B$4)+Q710+$B$9*SIN(PI()*M710+$B$10)+$B$11*SIN(2*PI()*M710+$B$12) + SUM($I$2:$I$18*SIN(2*PI()*M710*$H$2:$H$18+$J$2:$J$18))</f>
        <v>-0.14710573081022638</v>
      </c>
    </row>
    <row r="711" spans="3:18" x14ac:dyDescent="0.35">
      <c r="C711">
        <v>-0.29968800000000001</v>
      </c>
      <c r="L711">
        <f t="shared" si="58"/>
        <v>710</v>
      </c>
      <c r="M711">
        <f t="shared" si="59"/>
        <v>1939.0833333332796</v>
      </c>
      <c r="N711">
        <f t="shared" si="55"/>
        <v>0</v>
      </c>
      <c r="O711">
        <f t="array" ref="O711">+SUM($F$2:$F$18*SIN(2*PI()*(M711)*$B$1/$E$2:$E$18+$G$2:$G$18))</f>
        <v>0.19052986868977279</v>
      </c>
      <c r="P711">
        <f t="shared" si="56"/>
        <v>0</v>
      </c>
      <c r="Q711">
        <f t="shared" si="57"/>
        <v>-0.28194181431724419</v>
      </c>
      <c r="R711">
        <f t="array" ref="R711">+$B$2*SIN(Q711*$B$3+$B$4)+Q711+$B$9*SIN(PI()*M711+$B$10)+$B$11*SIN(2*PI()*M711+$B$12) + SUM($I$2:$I$18*SIN(2*PI()*M711*$H$2:$H$18+$J$2:$J$18))</f>
        <v>-0.51444633726583966</v>
      </c>
    </row>
    <row r="712" spans="3:18" x14ac:dyDescent="0.35">
      <c r="C712">
        <v>-0.28338799999999997</v>
      </c>
      <c r="L712">
        <f t="shared" si="58"/>
        <v>711</v>
      </c>
      <c r="M712">
        <f t="shared" si="59"/>
        <v>1939.1666666666129</v>
      </c>
      <c r="N712">
        <f t="shared" si="55"/>
        <v>0</v>
      </c>
      <c r="O712">
        <f t="array" ref="O712">+SUM($F$2:$F$18*SIN(2*PI()*(M712)*$B$1/$E$2:$E$18+$G$2:$G$18))</f>
        <v>0.72684765869067824</v>
      </c>
      <c r="P712">
        <f t="shared" si="56"/>
        <v>0</v>
      </c>
      <c r="Q712">
        <f t="shared" si="57"/>
        <v>-0.28129177457233023</v>
      </c>
      <c r="R712">
        <f t="array" ref="R712">+$B$2*SIN(Q712*$B$3+$B$4)+Q712+$B$9*SIN(PI()*M712+$B$10)+$B$11*SIN(2*PI()*M712+$B$12) + SUM($I$2:$I$18*SIN(2*PI()*M712*$H$2:$H$18+$J$2:$J$18))</f>
        <v>-0.64681013473526594</v>
      </c>
    </row>
    <row r="713" spans="3:18" x14ac:dyDescent="0.35">
      <c r="C713">
        <v>-0.396318</v>
      </c>
      <c r="L713">
        <f t="shared" si="58"/>
        <v>712</v>
      </c>
      <c r="M713">
        <f t="shared" si="59"/>
        <v>1939.2499999999461</v>
      </c>
      <c r="N713">
        <f t="shared" si="55"/>
        <v>0</v>
      </c>
      <c r="O713">
        <f t="array" ref="O713">+SUM($F$2:$F$18*SIN(2*PI()*(M713)*$B$1/$E$2:$E$18+$G$2:$G$18))</f>
        <v>0.84890282680736284</v>
      </c>
      <c r="P713">
        <f t="shared" si="56"/>
        <v>0</v>
      </c>
      <c r="Q713">
        <f t="shared" si="57"/>
        <v>-0.28064323354682758</v>
      </c>
      <c r="R713">
        <f t="array" ref="R713">+$B$2*SIN(Q713*$B$3+$B$4)+Q713+$B$9*SIN(PI()*M713+$B$10)+$B$11*SIN(2*PI()*M713+$B$12) + SUM($I$2:$I$18*SIN(2*PI()*M713*$H$2:$H$18+$J$2:$J$18))</f>
        <v>-0.4466322134294396</v>
      </c>
    </row>
    <row r="714" spans="3:18" x14ac:dyDescent="0.35">
      <c r="C714">
        <v>-0.47078600000000004</v>
      </c>
      <c r="L714">
        <f t="shared" si="58"/>
        <v>713</v>
      </c>
      <c r="M714">
        <f t="shared" si="59"/>
        <v>1939.3333333332794</v>
      </c>
      <c r="N714">
        <f t="shared" si="55"/>
        <v>0</v>
      </c>
      <c r="O714">
        <f t="array" ref="O714">+SUM($F$2:$F$18*SIN(2*PI()*(M714)*$B$1/$E$2:$E$18+$G$2:$G$18))</f>
        <v>0.33812934234065034</v>
      </c>
      <c r="P714">
        <f t="shared" si="56"/>
        <v>0</v>
      </c>
      <c r="Q714">
        <f t="shared" si="57"/>
        <v>-0.27999618778531687</v>
      </c>
      <c r="R714">
        <f t="array" ref="R714">+$B$2*SIN(Q714*$B$3+$B$4)+Q714+$B$9*SIN(PI()*M714+$B$10)+$B$11*SIN(2*PI()*M714+$B$12) + SUM($I$2:$I$18*SIN(2*PI()*M714*$H$2:$H$18+$J$2:$J$18))</f>
        <v>0.11473335648369076</v>
      </c>
    </row>
    <row r="715" spans="3:18" x14ac:dyDescent="0.35">
      <c r="C715">
        <v>-0.57756799999999997</v>
      </c>
      <c r="L715">
        <f t="shared" si="58"/>
        <v>714</v>
      </c>
      <c r="M715">
        <f t="shared" si="59"/>
        <v>1939.4166666666126</v>
      </c>
      <c r="N715">
        <f t="shared" si="55"/>
        <v>0</v>
      </c>
      <c r="O715">
        <f t="array" ref="O715">+SUM($F$2:$F$18*SIN(2*PI()*(M715)*$B$1/$E$2:$E$18+$G$2:$G$18))</f>
        <v>-0.5275046915748367</v>
      </c>
      <c r="P715">
        <f t="shared" si="56"/>
        <v>0</v>
      </c>
      <c r="Q715">
        <f t="shared" si="57"/>
        <v>-0.27935063384034564</v>
      </c>
      <c r="R715">
        <f t="array" ref="R715">+$B$2*SIN(Q715*$B$3+$B$4)+Q715+$B$9*SIN(PI()*M715+$B$10)+$B$11*SIN(2*PI()*M715+$B$12) + SUM($I$2:$I$18*SIN(2*PI()*M715*$H$2:$H$18+$J$2:$J$18))</f>
        <v>0.98987601308680162</v>
      </c>
    </row>
    <row r="716" spans="3:18" x14ac:dyDescent="0.35">
      <c r="C716">
        <v>-0.95973200000000003</v>
      </c>
      <c r="L716">
        <f t="shared" si="58"/>
        <v>715</v>
      </c>
      <c r="M716">
        <f t="shared" si="59"/>
        <v>1939.4999999999459</v>
      </c>
      <c r="N716">
        <f t="shared" si="55"/>
        <v>0</v>
      </c>
      <c r="O716">
        <f t="array" ref="O716">+SUM($F$2:$F$18*SIN(2*PI()*(M716)*$B$1/$E$2:$E$18+$G$2:$G$18))</f>
        <v>-0.54759154990146497</v>
      </c>
      <c r="P716">
        <f t="shared" si="56"/>
        <v>0</v>
      </c>
      <c r="Q716">
        <f t="shared" si="57"/>
        <v>-0.27870656827240969</v>
      </c>
      <c r="R716">
        <f t="array" ref="R716">+$B$2*SIN(Q716*$B$3+$B$4)+Q716+$B$9*SIN(PI()*M716+$B$10)+$B$11*SIN(2*PI()*M716+$B$12) + SUM($I$2:$I$18*SIN(2*PI()*M716*$H$2:$H$18+$J$2:$J$18))</f>
        <v>2.0683259035958712</v>
      </c>
    </row>
    <row r="717" spans="3:18" x14ac:dyDescent="0.35">
      <c r="C717">
        <v>-1.0803579999999999</v>
      </c>
      <c r="L717">
        <f t="shared" si="58"/>
        <v>716</v>
      </c>
      <c r="M717">
        <f t="shared" si="59"/>
        <v>1939.5833333332791</v>
      </c>
      <c r="N717">
        <f t="shared" si="55"/>
        <v>0</v>
      </c>
      <c r="O717">
        <f t="array" ref="O717">+SUM($F$2:$F$18*SIN(2*PI()*(M717)*$B$1/$E$2:$E$18+$G$2:$G$18))</f>
        <v>0.25989140858930504</v>
      </c>
      <c r="P717">
        <f t="shared" si="56"/>
        <v>0</v>
      </c>
      <c r="Q717">
        <f t="shared" si="57"/>
        <v>-0.27806398764993495</v>
      </c>
      <c r="R717">
        <f t="array" ref="R717">+$B$2*SIN(Q717*$B$3+$B$4)+Q717+$B$9*SIN(PI()*M717+$B$10)+$B$11*SIN(2*PI()*M717+$B$12) + SUM($I$2:$I$18*SIN(2*PI()*M717*$H$2:$H$18+$J$2:$J$18))</f>
        <v>3.2060693106039251</v>
      </c>
    </row>
    <row r="718" spans="3:18" x14ac:dyDescent="0.35">
      <c r="C718">
        <v>-1.0240659999999999</v>
      </c>
      <c r="L718">
        <f t="shared" si="58"/>
        <v>717</v>
      </c>
      <c r="M718">
        <f t="shared" si="59"/>
        <v>1939.6666666666124</v>
      </c>
      <c r="N718">
        <f t="shared" si="55"/>
        <v>0</v>
      </c>
      <c r="O718">
        <f t="array" ref="O718">+SUM($F$2:$F$18*SIN(2*PI()*(M718)*$B$1/$E$2:$E$18+$G$2:$G$18))</f>
        <v>0.32104690148524645</v>
      </c>
      <c r="P718">
        <f t="shared" si="56"/>
        <v>0</v>
      </c>
      <c r="Q718">
        <f t="shared" si="57"/>
        <v>-0.27742288854925906</v>
      </c>
      <c r="R718">
        <f t="array" ref="R718">+$B$2*SIN(Q718*$B$3+$B$4)+Q718+$B$9*SIN(PI()*M718+$B$10)+$B$11*SIN(2*PI()*M718+$B$12) + SUM($I$2:$I$18*SIN(2*PI()*M718*$H$2:$H$18+$J$2:$J$18))</f>
        <v>4.2635473475392027</v>
      </c>
    </row>
    <row r="719" spans="3:18" x14ac:dyDescent="0.35">
      <c r="C719">
        <v>-1.1400779999999999</v>
      </c>
      <c r="L719">
        <f t="shared" si="58"/>
        <v>718</v>
      </c>
      <c r="M719">
        <f t="shared" si="59"/>
        <v>1939.7499999999457</v>
      </c>
      <c r="N719">
        <f t="shared" si="55"/>
        <v>0</v>
      </c>
      <c r="O719">
        <f t="array" ref="O719">+SUM($F$2:$F$18*SIN(2*PI()*(M719)*$B$1/$E$2:$E$18+$G$2:$G$18))</f>
        <v>-3.3655441841373201E-2</v>
      </c>
      <c r="P719">
        <f t="shared" si="56"/>
        <v>0</v>
      </c>
      <c r="Q719">
        <f t="shared" si="57"/>
        <v>-0.27678326755461324</v>
      </c>
      <c r="R719">
        <f t="array" ref="R719">+$B$2*SIN(Q719*$B$3+$B$4)+Q719+$B$9*SIN(PI()*M719+$B$10)+$B$11*SIN(2*PI()*M719+$B$12) + SUM($I$2:$I$18*SIN(2*PI()*M719*$H$2:$H$18+$J$2:$J$18))</f>
        <v>5.1418494296949984</v>
      </c>
    </row>
    <row r="720" spans="3:18" x14ac:dyDescent="0.35">
      <c r="C720">
        <v>-1.2468619999999999</v>
      </c>
      <c r="L720">
        <f t="shared" si="58"/>
        <v>719</v>
      </c>
      <c r="M720">
        <f t="shared" si="59"/>
        <v>1939.8333333332789</v>
      </c>
      <c r="N720">
        <f t="shared" si="55"/>
        <v>0</v>
      </c>
      <c r="O720">
        <f t="array" ref="O720">+SUM($F$2:$F$18*SIN(2*PI()*(M720)*$B$1/$E$2:$E$18+$G$2:$G$18))</f>
        <v>0.38212273858248635</v>
      </c>
      <c r="P720">
        <f t="shared" si="56"/>
        <v>0</v>
      </c>
      <c r="Q720">
        <f t="shared" si="57"/>
        <v>-0.27614512125810398</v>
      </c>
      <c r="R720">
        <f t="array" ref="R720">+$B$2*SIN(Q720*$B$3+$B$4)+Q720+$B$9*SIN(PI()*M720+$B$10)+$B$11*SIN(2*PI()*M720+$B$12) + SUM($I$2:$I$18*SIN(2*PI()*M720*$H$2:$H$18+$J$2:$J$18))</f>
        <v>5.8073269817900153</v>
      </c>
    </row>
    <row r="721" spans="3:18" x14ac:dyDescent="0.35">
      <c r="C721">
        <v>-1.515188</v>
      </c>
      <c r="L721">
        <f t="shared" si="58"/>
        <v>720</v>
      </c>
      <c r="M721">
        <f t="shared" si="59"/>
        <v>1939.9166666666122</v>
      </c>
      <c r="N721">
        <f t="shared" si="55"/>
        <v>0</v>
      </c>
      <c r="O721">
        <f t="array" ref="O721">+SUM($F$2:$F$18*SIN(2*PI()*(M721)*$B$1/$E$2:$E$18+$G$2:$G$18))</f>
        <v>0.92239782910155088</v>
      </c>
      <c r="P721">
        <f t="shared" si="56"/>
        <v>0</v>
      </c>
      <c r="Q721">
        <f t="shared" si="57"/>
        <v>-0.27550844625969501</v>
      </c>
      <c r="R721">
        <f t="array" ref="R721">+$B$2*SIN(Q721*$B$3+$B$4)+Q721+$B$9*SIN(PI()*M721+$B$10)+$B$11*SIN(2*PI()*M721+$B$12) + SUM($I$2:$I$18*SIN(2*PI()*M721*$H$2:$H$18+$J$2:$J$18))</f>
        <v>6.297994421235166</v>
      </c>
    </row>
    <row r="722" spans="3:18" x14ac:dyDescent="0.35">
      <c r="C722">
        <v>-1.5019739999999999</v>
      </c>
      <c r="L722">
        <f t="shared" si="58"/>
        <v>721</v>
      </c>
      <c r="M722">
        <f t="shared" si="59"/>
        <v>1939.9999999999454</v>
      </c>
      <c r="N722">
        <f t="shared" si="55"/>
        <v>200</v>
      </c>
      <c r="O722">
        <f t="array" ref="O722">+SUM($F$2:$F$18*SIN(2*PI()*(M722)*$B$1/$E$2:$E$18+$G$2:$G$18))</f>
        <v>0.72405939397813635</v>
      </c>
      <c r="P722">
        <f t="shared" si="56"/>
        <v>144.81187879562728</v>
      </c>
      <c r="Q722">
        <f t="shared" si="57"/>
        <v>5.9002305263041566E-2</v>
      </c>
      <c r="R722">
        <f t="array" ref="R722">+$B$2*SIN(Q722*$B$3+$B$4)+Q722+$B$9*SIN(PI()*M722+$B$10)+$B$11*SIN(2*PI()*M722+$B$12) + SUM($I$2:$I$18*SIN(2*PI()*M722*$H$2:$H$18+$J$2:$J$18))</f>
        <v>-5.8198204743525004</v>
      </c>
    </row>
    <row r="723" spans="3:18" x14ac:dyDescent="0.35">
      <c r="C723">
        <v>-1.4702999999999999</v>
      </c>
      <c r="L723">
        <f t="shared" si="58"/>
        <v>722</v>
      </c>
      <c r="M723">
        <f t="shared" si="59"/>
        <v>1940.0833333332787</v>
      </c>
      <c r="N723">
        <f t="shared" si="55"/>
        <v>0</v>
      </c>
      <c r="O723">
        <f t="array" ref="O723">+SUM($F$2:$F$18*SIN(2*PI()*(M723)*$B$1/$E$2:$E$18+$G$2:$G$18))</f>
        <v>-0.19029810525333102</v>
      </c>
      <c r="P723">
        <f t="shared" si="56"/>
        <v>0</v>
      </c>
      <c r="Q723">
        <f t="shared" si="57"/>
        <v>5.8866270657619874E-2</v>
      </c>
      <c r="R723">
        <f t="array" ref="R723">+$B$2*SIN(Q723*$B$3+$B$4)+Q723+$B$9*SIN(PI()*M723+$B$10)+$B$11*SIN(2*PI()*M723+$B$12) + SUM($I$2:$I$18*SIN(2*PI()*M723*$H$2:$H$18+$J$2:$J$18))</f>
        <v>-5.3252148871195431</v>
      </c>
    </row>
    <row r="724" spans="3:18" x14ac:dyDescent="0.35">
      <c r="C724">
        <v>-1.4709379999999999</v>
      </c>
      <c r="L724">
        <f t="shared" si="58"/>
        <v>723</v>
      </c>
      <c r="M724">
        <f t="shared" si="59"/>
        <v>1940.1666666666119</v>
      </c>
      <c r="N724">
        <f t="shared" si="55"/>
        <v>0</v>
      </c>
      <c r="O724">
        <f t="array" ref="O724">+SUM($F$2:$F$18*SIN(2*PI()*(M724)*$B$1/$E$2:$E$18+$G$2:$G$18))</f>
        <v>-0.98670271904641371</v>
      </c>
      <c r="P724">
        <f t="shared" si="56"/>
        <v>0</v>
      </c>
      <c r="Q724">
        <f t="shared" si="57"/>
        <v>5.8730549691026188E-2</v>
      </c>
      <c r="R724">
        <f t="array" ref="R724">+$B$2*SIN(Q724*$B$3+$B$4)+Q724+$B$9*SIN(PI()*M724+$B$10)+$B$11*SIN(2*PI()*M724+$B$12) + SUM($I$2:$I$18*SIN(2*PI()*M724*$H$2:$H$18+$J$2:$J$18))</f>
        <v>-4.6696055962872478</v>
      </c>
    </row>
    <row r="725" spans="3:18" x14ac:dyDescent="0.35">
      <c r="C725">
        <v>-1.350034</v>
      </c>
      <c r="L725">
        <f t="shared" si="58"/>
        <v>724</v>
      </c>
      <c r="M725">
        <f t="shared" si="59"/>
        <v>1940.2499999999452</v>
      </c>
      <c r="N725">
        <f t="shared" si="55"/>
        <v>0</v>
      </c>
      <c r="O725">
        <f t="array" ref="O725">+SUM($F$2:$F$18*SIN(2*PI()*(M725)*$B$1/$E$2:$E$18+$G$2:$G$18))</f>
        <v>-0.56783120336119119</v>
      </c>
      <c r="P725">
        <f t="shared" si="56"/>
        <v>0</v>
      </c>
      <c r="Q725">
        <f t="shared" si="57"/>
        <v>5.8595141640140722E-2</v>
      </c>
      <c r="R725">
        <f t="array" ref="R725">+$B$2*SIN(Q725*$B$3+$B$4)+Q725+$B$9*SIN(PI()*M725+$B$10)+$B$11*SIN(2*PI()*M725+$B$12) + SUM($I$2:$I$18*SIN(2*PI()*M725*$H$2:$H$18+$J$2:$J$18))</f>
        <v>-3.7833749861545218</v>
      </c>
    </row>
    <row r="726" spans="3:18" x14ac:dyDescent="0.35">
      <c r="C726">
        <v>-1.133748</v>
      </c>
      <c r="L726">
        <f t="shared" si="58"/>
        <v>725</v>
      </c>
      <c r="M726">
        <f t="shared" si="59"/>
        <v>1940.3333333332785</v>
      </c>
      <c r="N726">
        <f t="shared" si="55"/>
        <v>0</v>
      </c>
      <c r="O726">
        <f t="array" ref="O726">+SUM($F$2:$F$18*SIN(2*PI()*(M726)*$B$1/$E$2:$E$18+$G$2:$G$18))</f>
        <v>0.26218167623093563</v>
      </c>
      <c r="P726">
        <f t="shared" si="56"/>
        <v>0</v>
      </c>
      <c r="Q726">
        <f t="shared" si="57"/>
        <v>5.8460045783510904E-2</v>
      </c>
      <c r="R726">
        <f t="array" ref="R726">+$B$2*SIN(Q726*$B$3+$B$4)+Q726+$B$9*SIN(PI()*M726+$B$10)+$B$11*SIN(2*PI()*M726+$B$12) + SUM($I$2:$I$18*SIN(2*PI()*M726*$H$2:$H$18+$J$2:$J$18))</f>
        <v>-2.6661615470816322</v>
      </c>
    </row>
    <row r="727" spans="3:18" x14ac:dyDescent="0.35">
      <c r="C727">
        <v>-1.04362</v>
      </c>
      <c r="L727">
        <f t="shared" si="58"/>
        <v>726</v>
      </c>
      <c r="M727">
        <f t="shared" si="59"/>
        <v>1940.4166666666117</v>
      </c>
      <c r="N727">
        <f t="shared" si="55"/>
        <v>0</v>
      </c>
      <c r="O727">
        <f t="array" ref="O727">+SUM($F$2:$F$18*SIN(2*PI()*(M727)*$B$1/$E$2:$E$18+$G$2:$G$18))</f>
        <v>0.19256692371207684</v>
      </c>
      <c r="P727">
        <f t="shared" si="56"/>
        <v>0</v>
      </c>
      <c r="Q727">
        <f t="shared" si="57"/>
        <v>5.8325261401347528E-2</v>
      </c>
      <c r="R727">
        <f t="array" ref="R727">+$B$2*SIN(Q727*$B$3+$B$4)+Q727+$B$9*SIN(PI()*M727+$B$10)+$B$11*SIN(2*PI()*M727+$B$12) + SUM($I$2:$I$18*SIN(2*PI()*M727*$H$2:$H$18+$J$2:$J$18))</f>
        <v>-1.3922566083993715</v>
      </c>
    </row>
    <row r="728" spans="3:18" x14ac:dyDescent="0.35">
      <c r="C728">
        <v>-1.1857960000000001</v>
      </c>
      <c r="L728">
        <f t="shared" si="58"/>
        <v>727</v>
      </c>
      <c r="M728">
        <f t="shared" si="59"/>
        <v>1940.499999999945</v>
      </c>
      <c r="N728">
        <f t="shared" si="55"/>
        <v>0</v>
      </c>
      <c r="O728">
        <f t="array" ref="O728">+SUM($F$2:$F$18*SIN(2*PI()*(M728)*$B$1/$E$2:$E$18+$G$2:$G$18))</f>
        <v>0.1078271307390154</v>
      </c>
      <c r="P728">
        <f t="shared" si="56"/>
        <v>0</v>
      </c>
      <c r="Q728">
        <f t="shared" si="57"/>
        <v>5.8190787775520926E-2</v>
      </c>
      <c r="R728">
        <f t="array" ref="R728">+$B$2*SIN(Q728*$B$3+$B$4)+Q728+$B$9*SIN(PI()*M728+$B$10)+$B$11*SIN(2*PI()*M728+$B$12) + SUM($I$2:$I$18*SIN(2*PI()*M728*$H$2:$H$18+$J$2:$J$18))</f>
        <v>-9.5844386817280913E-2</v>
      </c>
    </row>
    <row r="729" spans="3:18" x14ac:dyDescent="0.35">
      <c r="C729">
        <v>-0.70797600000000005</v>
      </c>
      <c r="L729">
        <f t="shared" si="58"/>
        <v>728</v>
      </c>
      <c r="M729">
        <f t="shared" si="59"/>
        <v>1940.5833333332782</v>
      </c>
      <c r="N729">
        <f t="shared" si="55"/>
        <v>0</v>
      </c>
      <c r="O729">
        <f t="array" ref="O729">+SUM($F$2:$F$18*SIN(2*PI()*(M729)*$B$1/$E$2:$E$18+$G$2:$G$18))</f>
        <v>0.66313027595715612</v>
      </c>
      <c r="P729">
        <f t="shared" si="56"/>
        <v>0</v>
      </c>
      <c r="Q729">
        <f t="shared" si="57"/>
        <v>5.8056624189557128E-2</v>
      </c>
      <c r="R729">
        <f t="array" ref="R729">+$B$2*SIN(Q729*$B$3+$B$4)+Q729+$B$9*SIN(PI()*M729+$B$10)+$B$11*SIN(2*PI()*M729+$B$12) + SUM($I$2:$I$18*SIN(2*PI()*M729*$H$2:$H$18+$J$2:$J$18))</f>
        <v>1.0601671602912166</v>
      </c>
    </row>
    <row r="730" spans="3:18" x14ac:dyDescent="0.35">
      <c r="C730">
        <v>-0.60246600000000006</v>
      </c>
      <c r="L730">
        <f t="shared" si="58"/>
        <v>729</v>
      </c>
      <c r="M730">
        <f t="shared" si="59"/>
        <v>1940.6666666666115</v>
      </c>
      <c r="N730">
        <f t="shared" si="55"/>
        <v>0</v>
      </c>
      <c r="O730">
        <f t="array" ref="O730">+SUM($F$2:$F$18*SIN(2*PI()*(M730)*$B$1/$E$2:$E$18+$G$2:$G$18))</f>
        <v>0.88682636905759571</v>
      </c>
      <c r="P730">
        <f t="shared" si="56"/>
        <v>0</v>
      </c>
      <c r="Q730">
        <f t="shared" si="57"/>
        <v>5.7922769928634057E-2</v>
      </c>
      <c r="R730">
        <f t="array" ref="R730">+$B$2*SIN(Q730*$B$3+$B$4)+Q730+$B$9*SIN(PI()*M730+$B$10)+$B$11*SIN(2*PI()*M730+$B$12) + SUM($I$2:$I$18*SIN(2*PI()*M730*$H$2:$H$18+$J$2:$J$18))</f>
        <v>1.9235667536899355</v>
      </c>
    </row>
    <row r="731" spans="3:18" x14ac:dyDescent="0.35">
      <c r="C731">
        <v>-0.70926199999999995</v>
      </c>
      <c r="L731">
        <f t="shared" si="58"/>
        <v>730</v>
      </c>
      <c r="M731">
        <f t="shared" si="59"/>
        <v>1940.7499999999447</v>
      </c>
      <c r="N731">
        <f t="shared" si="55"/>
        <v>0</v>
      </c>
      <c r="O731">
        <f t="array" ref="O731">+SUM($F$2:$F$18*SIN(2*PI()*(M731)*$B$1/$E$2:$E$18+$G$2:$G$18))</f>
        <v>0.2820623126421643</v>
      </c>
      <c r="P731">
        <f t="shared" si="56"/>
        <v>0</v>
      </c>
      <c r="Q731">
        <f t="shared" si="57"/>
        <v>5.7789224279577722E-2</v>
      </c>
      <c r="R731">
        <f t="array" ref="R731">+$B$2*SIN(Q731*$B$3+$B$4)+Q731+$B$9*SIN(PI()*M731+$B$10)+$B$11*SIN(2*PI()*M731+$B$12) + SUM($I$2:$I$18*SIN(2*PI()*M731*$H$2:$H$18+$J$2:$J$18))</f>
        <v>2.3901176149233168</v>
      </c>
    </row>
    <row r="732" spans="3:18" x14ac:dyDescent="0.35">
      <c r="C732">
        <v>-0.53452</v>
      </c>
      <c r="L732">
        <f t="shared" si="58"/>
        <v>731</v>
      </c>
      <c r="M732">
        <f t="shared" si="59"/>
        <v>1940.833333333278</v>
      </c>
      <c r="N732">
        <f t="shared" si="55"/>
        <v>0</v>
      </c>
      <c r="O732">
        <f t="array" ref="O732">+SUM($F$2:$F$18*SIN(2*PI()*(M732)*$B$1/$E$2:$E$18+$G$2:$G$18))</f>
        <v>-0.76266327327092487</v>
      </c>
      <c r="P732">
        <f t="shared" si="56"/>
        <v>0</v>
      </c>
      <c r="Q732">
        <f t="shared" si="57"/>
        <v>5.7655986530858398E-2</v>
      </c>
      <c r="R732">
        <f t="array" ref="R732">+$B$2*SIN(Q732*$B$3+$B$4)+Q732+$B$9*SIN(PI()*M732+$B$10)+$B$11*SIN(2*PI()*M732+$B$12) + SUM($I$2:$I$18*SIN(2*PI()*M732*$H$2:$H$18+$J$2:$J$18))</f>
        <v>2.428838335108372</v>
      </c>
    </row>
    <row r="733" spans="3:18" x14ac:dyDescent="0.35">
      <c r="C733">
        <v>-0.57362999999999997</v>
      </c>
      <c r="L733">
        <f t="shared" si="58"/>
        <v>732</v>
      </c>
      <c r="M733">
        <f t="shared" si="59"/>
        <v>1940.9166666666113</v>
      </c>
      <c r="N733">
        <f t="shared" si="55"/>
        <v>0</v>
      </c>
      <c r="O733">
        <f t="array" ref="O733">+SUM($F$2:$F$18*SIN(2*PI()*(M733)*$B$1/$E$2:$E$18+$G$2:$G$18))</f>
        <v>-1.2085118249583937</v>
      </c>
      <c r="P733">
        <f t="shared" si="56"/>
        <v>0</v>
      </c>
      <c r="Q733">
        <f t="shared" si="57"/>
        <v>5.7523055972586862E-2</v>
      </c>
      <c r="R733">
        <f t="array" ref="R733">+$B$2*SIN(Q733*$B$3+$B$4)+Q733+$B$9*SIN(PI()*M733+$B$10)+$B$11*SIN(2*PI()*M733+$B$12) + SUM($I$2:$I$18*SIN(2*PI()*M733*$H$2:$H$18+$J$2:$J$18))</f>
        <v>2.0886053149668191</v>
      </c>
    </row>
    <row r="734" spans="3:18" x14ac:dyDescent="0.35">
      <c r="C734">
        <v>-0.50350600000000001</v>
      </c>
      <c r="L734">
        <f t="shared" si="58"/>
        <v>733</v>
      </c>
      <c r="M734">
        <f t="shared" si="59"/>
        <v>1940.9999999999445</v>
      </c>
      <c r="N734">
        <f t="shared" si="55"/>
        <v>200</v>
      </c>
      <c r="O734">
        <f t="array" ref="O734">+SUM($F$2:$F$18*SIN(2*PI()*(M734)*$B$1/$E$2:$E$18+$G$2:$G$18))</f>
        <v>-0.4501064223827666</v>
      </c>
      <c r="P734">
        <f t="shared" si="56"/>
        <v>-90.021284476553319</v>
      </c>
      <c r="Q734">
        <f t="shared" si="57"/>
        <v>-0.15016094865933288</v>
      </c>
      <c r="R734">
        <f t="array" ref="R734">+$B$2*SIN(Q734*$B$3+$B$4)+Q734+$B$9*SIN(PI()*M734+$B$10)+$B$11*SIN(2*PI()*M734+$B$12) + SUM($I$2:$I$18*SIN(2*PI()*M734*$H$2:$H$18+$J$2:$J$18))</f>
        <v>3.1120087455612833</v>
      </c>
    </row>
    <row r="735" spans="3:18" x14ac:dyDescent="0.35">
      <c r="C735">
        <v>-0.45646000000000003</v>
      </c>
      <c r="L735">
        <f t="shared" si="58"/>
        <v>734</v>
      </c>
      <c r="M735">
        <f t="shared" si="59"/>
        <v>1941.0833333332778</v>
      </c>
      <c r="N735">
        <f t="shared" si="55"/>
        <v>0</v>
      </c>
      <c r="O735">
        <f t="array" ref="O735">+SUM($F$2:$F$18*SIN(2*PI()*(M735)*$B$1/$E$2:$E$18+$G$2:$G$18))</f>
        <v>0.26221760428400243</v>
      </c>
      <c r="P735">
        <f t="shared" si="56"/>
        <v>0</v>
      </c>
      <c r="Q735">
        <f t="shared" si="57"/>
        <v>-0.14981474040001908</v>
      </c>
      <c r="R735">
        <f t="array" ref="R735">+$B$2*SIN(Q735*$B$3+$B$4)+Q735+$B$9*SIN(PI()*M735+$B$10)+$B$11*SIN(2*PI()*M735+$B$12) + SUM($I$2:$I$18*SIN(2*PI()*M735*$H$2:$H$18+$J$2:$J$18))</f>
        <v>2.3752913929156927</v>
      </c>
    </row>
    <row r="736" spans="3:18" x14ac:dyDescent="0.35">
      <c r="C736">
        <v>-0.31095800000000001</v>
      </c>
      <c r="L736">
        <f t="shared" si="58"/>
        <v>735</v>
      </c>
      <c r="M736">
        <f t="shared" si="59"/>
        <v>1941.166666666611</v>
      </c>
      <c r="N736">
        <f t="shared" si="55"/>
        <v>0</v>
      </c>
      <c r="O736">
        <f t="array" ref="O736">+SUM($F$2:$F$18*SIN(2*PI()*(M736)*$B$1/$E$2:$E$18+$G$2:$G$18))</f>
        <v>0.25031852178758246</v>
      </c>
      <c r="P736">
        <f t="shared" si="56"/>
        <v>0</v>
      </c>
      <c r="Q736">
        <f t="shared" si="57"/>
        <v>-0.1494693303519572</v>
      </c>
      <c r="R736">
        <f t="array" ref="R736">+$B$2*SIN(Q736*$B$3+$B$4)+Q736+$B$9*SIN(PI()*M736+$B$10)+$B$11*SIN(2*PI()*M736+$B$12) + SUM($I$2:$I$18*SIN(2*PI()*M736*$H$2:$H$18+$J$2:$J$18))</f>
        <v>1.6721031862790081</v>
      </c>
    </row>
    <row r="737" spans="3:18" x14ac:dyDescent="0.35">
      <c r="C737">
        <v>-0.33776000000000006</v>
      </c>
      <c r="L737">
        <f t="shared" si="58"/>
        <v>736</v>
      </c>
      <c r="M737">
        <f t="shared" si="59"/>
        <v>1941.2499999999443</v>
      </c>
      <c r="N737">
        <f t="shared" si="55"/>
        <v>0</v>
      </c>
      <c r="O737">
        <f t="array" ref="O737">+SUM($F$2:$F$18*SIN(2*PI()*(M737)*$B$1/$E$2:$E$18+$G$2:$G$18))</f>
        <v>0.52541173882107584</v>
      </c>
      <c r="P737">
        <f t="shared" si="56"/>
        <v>0</v>
      </c>
      <c r="Q737">
        <f t="shared" si="57"/>
        <v>-0.14912471667480637</v>
      </c>
      <c r="R737">
        <f t="array" ref="R737">+$B$2*SIN(Q737*$B$3+$B$4)+Q737+$B$9*SIN(PI()*M737+$B$10)+$B$11*SIN(2*PI()*M737+$B$12) + SUM($I$2:$I$18*SIN(2*PI()*M737*$H$2:$H$18+$J$2:$J$18))</f>
        <v>1.1086227653601508</v>
      </c>
    </row>
    <row r="738" spans="3:18" x14ac:dyDescent="0.35">
      <c r="C738">
        <v>-0.30148800000000003</v>
      </c>
      <c r="L738">
        <f t="shared" si="58"/>
        <v>737</v>
      </c>
      <c r="M738">
        <f t="shared" si="59"/>
        <v>1941.3333333332776</v>
      </c>
      <c r="N738">
        <f t="shared" si="55"/>
        <v>0</v>
      </c>
      <c r="O738">
        <f t="array" ref="O738">+SUM($F$2:$F$18*SIN(2*PI()*(M738)*$B$1/$E$2:$E$18+$G$2:$G$18))</f>
        <v>0.97498963035341757</v>
      </c>
      <c r="P738">
        <f t="shared" si="56"/>
        <v>0</v>
      </c>
      <c r="Q738">
        <f t="shared" si="57"/>
        <v>-0.14878089753246879</v>
      </c>
      <c r="R738">
        <f t="array" ref="R738">+$B$2*SIN(Q738*$B$3+$B$4)+Q738+$B$9*SIN(PI()*M738+$B$10)+$B$11*SIN(2*PI()*M738+$B$12) + SUM($I$2:$I$18*SIN(2*PI()*M738*$H$2:$H$18+$J$2:$J$18))</f>
        <v>0.72464307616618306</v>
      </c>
    </row>
    <row r="739" spans="3:18" x14ac:dyDescent="0.35">
      <c r="C739">
        <v>-0.445218</v>
      </c>
      <c r="L739">
        <f t="shared" si="58"/>
        <v>738</v>
      </c>
      <c r="M739">
        <f t="shared" si="59"/>
        <v>1941.4166666666108</v>
      </c>
      <c r="N739">
        <f t="shared" si="55"/>
        <v>0</v>
      </c>
      <c r="O739">
        <f t="array" ref="O739">+SUM($F$2:$F$18*SIN(2*PI()*(M739)*$B$1/$E$2:$E$18+$G$2:$G$18))</f>
        <v>0.6966411419038735</v>
      </c>
      <c r="P739">
        <f t="shared" si="56"/>
        <v>0</v>
      </c>
      <c r="Q739">
        <f t="shared" si="57"/>
        <v>-0.14843787109307996</v>
      </c>
      <c r="R739">
        <f t="array" ref="R739">+$B$2*SIN(Q739*$B$3+$B$4)+Q739+$B$9*SIN(PI()*M739+$B$10)+$B$11*SIN(2*PI()*M739+$B$12) + SUM($I$2:$I$18*SIN(2*PI()*M739*$H$2:$H$18+$J$2:$J$18))</f>
        <v>0.48636728236449933</v>
      </c>
    </row>
    <row r="740" spans="3:18" x14ac:dyDescent="0.35">
      <c r="C740">
        <v>-0.63971800000000001</v>
      </c>
      <c r="L740">
        <f t="shared" si="58"/>
        <v>739</v>
      </c>
      <c r="M740">
        <f t="shared" si="59"/>
        <v>1941.4999999999441</v>
      </c>
      <c r="N740">
        <f t="shared" si="55"/>
        <v>0</v>
      </c>
      <c r="O740">
        <f t="array" ref="O740">+SUM($F$2:$F$18*SIN(2*PI()*(M740)*$B$1/$E$2:$E$18+$G$2:$G$18))</f>
        <v>-0.21593132130701809</v>
      </c>
      <c r="P740">
        <f t="shared" si="56"/>
        <v>0</v>
      </c>
      <c r="Q740">
        <f t="shared" si="57"/>
        <v>-0.14809563552899885</v>
      </c>
      <c r="R740">
        <f t="array" ref="R740">+$B$2*SIN(Q740*$B$3+$B$4)+Q740+$B$9*SIN(PI()*M740+$B$10)+$B$11*SIN(2*PI()*M740+$B$12) + SUM($I$2:$I$18*SIN(2*PI()*M740*$H$2:$H$18+$J$2:$J$18))</f>
        <v>0.29936533254382791</v>
      </c>
    </row>
    <row r="741" spans="3:18" x14ac:dyDescent="0.35">
      <c r="C741">
        <v>-0.40498600000000001</v>
      </c>
      <c r="L741">
        <f t="shared" si="58"/>
        <v>740</v>
      </c>
      <c r="M741">
        <f t="shared" si="59"/>
        <v>1941.5833333332773</v>
      </c>
      <c r="N741">
        <f t="shared" si="55"/>
        <v>0</v>
      </c>
      <c r="O741">
        <f t="array" ref="O741">+SUM($F$2:$F$18*SIN(2*PI()*(M741)*$B$1/$E$2:$E$18+$G$2:$G$18))</f>
        <v>-1.1339608048233876</v>
      </c>
      <c r="P741">
        <f t="shared" si="56"/>
        <v>0</v>
      </c>
      <c r="Q741">
        <f t="shared" si="57"/>
        <v>-0.14775418901679824</v>
      </c>
      <c r="R741">
        <f t="array" ref="R741">+$B$2*SIN(Q741*$B$3+$B$4)+Q741+$B$9*SIN(PI()*M741+$B$10)+$B$11*SIN(2*PI()*M741+$B$12) + SUM($I$2:$I$18*SIN(2*PI()*M741*$H$2:$H$18+$J$2:$J$18))</f>
        <v>3.80546268386599E-2</v>
      </c>
    </row>
    <row r="742" spans="3:18" x14ac:dyDescent="0.35">
      <c r="C742">
        <v>-0.45333599999999996</v>
      </c>
      <c r="L742">
        <f t="shared" si="58"/>
        <v>741</v>
      </c>
      <c r="M742">
        <f t="shared" si="59"/>
        <v>1941.6666666666106</v>
      </c>
      <c r="N742">
        <f t="shared" si="55"/>
        <v>0</v>
      </c>
      <c r="O742">
        <f t="array" ref="O742">+SUM($F$2:$F$18*SIN(2*PI()*(M742)*$B$1/$E$2:$E$18+$G$2:$G$18))</f>
        <v>-1.1085083609449615</v>
      </c>
      <c r="P742">
        <f t="shared" si="56"/>
        <v>0</v>
      </c>
      <c r="Q742">
        <f t="shared" si="57"/>
        <v>-0.14741352973725494</v>
      </c>
      <c r="R742">
        <f t="array" ref="R742">+$B$2*SIN(Q742*$B$3+$B$4)+Q742+$B$9*SIN(PI()*M742+$B$10)+$B$11*SIN(2*PI()*M742+$B$12) + SUM($I$2:$I$18*SIN(2*PI()*M742*$H$2:$H$18+$J$2:$J$18))</f>
        <v>-0.41635547906636461</v>
      </c>
    </row>
    <row r="743" spans="3:18" x14ac:dyDescent="0.35">
      <c r="C743">
        <v>-0.70476200000000011</v>
      </c>
      <c r="L743">
        <f t="shared" si="58"/>
        <v>742</v>
      </c>
      <c r="M743">
        <f t="shared" si="59"/>
        <v>1941.7499999999438</v>
      </c>
      <c r="N743">
        <f t="shared" si="55"/>
        <v>0</v>
      </c>
      <c r="O743">
        <f t="array" ref="O743">+SUM($F$2:$F$18*SIN(2*PI()*(M743)*$B$1/$E$2:$E$18+$G$2:$G$18))</f>
        <v>-0.13008790934813202</v>
      </c>
      <c r="P743">
        <f t="shared" si="56"/>
        <v>0</v>
      </c>
      <c r="Q743">
        <f t="shared" si="57"/>
        <v>-0.14707365587534013</v>
      </c>
      <c r="R743">
        <f t="array" ref="R743">+$B$2*SIN(Q743*$B$3+$B$4)+Q743+$B$9*SIN(PI()*M743+$B$10)+$B$11*SIN(2*PI()*M743+$B$12) + SUM($I$2:$I$18*SIN(2*PI()*M743*$H$2:$H$18+$J$2:$J$18))</f>
        <v>-1.139771284514989</v>
      </c>
    </row>
    <row r="744" spans="3:18" x14ac:dyDescent="0.35">
      <c r="C744">
        <v>-0.87926400000000005</v>
      </c>
      <c r="L744">
        <f t="shared" si="58"/>
        <v>743</v>
      </c>
      <c r="M744">
        <f t="shared" si="59"/>
        <v>1941.8333333332771</v>
      </c>
      <c r="N744">
        <f t="shared" si="55"/>
        <v>0</v>
      </c>
      <c r="O744">
        <f t="array" ref="O744">+SUM($F$2:$F$18*SIN(2*PI()*(M744)*$B$1/$E$2:$E$18+$G$2:$G$18))</f>
        <v>0.4343559843483879</v>
      </c>
      <c r="P744">
        <f t="shared" si="56"/>
        <v>0</v>
      </c>
      <c r="Q744">
        <f t="shared" si="57"/>
        <v>-0.14673456562020973</v>
      </c>
      <c r="R744">
        <f t="array" ref="R744">+$B$2*SIN(Q744*$B$3+$B$4)+Q744+$B$9*SIN(PI()*M744+$B$10)+$B$11*SIN(2*PI()*M744+$B$12) + SUM($I$2:$I$18*SIN(2*PI()*M744*$H$2:$H$18+$J$2:$J$18))</f>
        <v>-2.140775250252652</v>
      </c>
    </row>
    <row r="745" spans="3:18" x14ac:dyDescent="0.35">
      <c r="C745">
        <v>-1.0414639999999999</v>
      </c>
      <c r="L745">
        <f t="shared" si="58"/>
        <v>744</v>
      </c>
      <c r="M745">
        <f t="shared" si="59"/>
        <v>1941.9166666666104</v>
      </c>
      <c r="N745">
        <f t="shared" si="55"/>
        <v>0</v>
      </c>
      <c r="O745">
        <f t="array" ref="O745">+SUM($F$2:$F$18*SIN(2*PI()*(M745)*$B$1/$E$2:$E$18+$G$2:$G$18))</f>
        <v>0.53245736315447378</v>
      </c>
      <c r="P745">
        <f t="shared" si="56"/>
        <v>0</v>
      </c>
      <c r="Q745">
        <f t="shared" si="57"/>
        <v>-0.14639625716519464</v>
      </c>
      <c r="R745">
        <f t="array" ref="R745">+$B$2*SIN(Q745*$B$3+$B$4)+Q745+$B$9*SIN(PI()*M745+$B$10)+$B$11*SIN(2*PI()*M745+$B$12) + SUM($I$2:$I$18*SIN(2*PI()*M745*$H$2:$H$18+$J$2:$J$18))</f>
        <v>-3.3544940880224514</v>
      </c>
    </row>
    <row r="746" spans="3:18" x14ac:dyDescent="0.35">
      <c r="C746">
        <v>-0.99289199999999989</v>
      </c>
      <c r="L746">
        <f t="shared" si="58"/>
        <v>745</v>
      </c>
      <c r="M746">
        <f t="shared" si="59"/>
        <v>1941.9999999999436</v>
      </c>
      <c r="N746">
        <f t="shared" si="55"/>
        <v>200</v>
      </c>
      <c r="O746">
        <f t="array" ref="O746">+SUM($F$2:$F$18*SIN(2*PI()*(M746)*$B$1/$E$2:$E$18+$G$2:$G$18))</f>
        <v>0.93638176408951401</v>
      </c>
      <c r="P746">
        <f t="shared" si="56"/>
        <v>187.27635281790279</v>
      </c>
      <c r="Q746">
        <f t="shared" si="57"/>
        <v>0.28572210844459112</v>
      </c>
      <c r="R746">
        <f t="array" ref="R746">+$B$2*SIN(Q746*$B$3+$B$4)+Q746+$B$9*SIN(PI()*M746+$B$10)+$B$11*SIN(2*PI()*M746+$B$12) + SUM($I$2:$I$18*SIN(2*PI()*M746*$H$2:$H$18+$J$2:$J$18))</f>
        <v>11.015806325670644</v>
      </c>
    </row>
    <row r="747" spans="3:18" x14ac:dyDescent="0.35">
      <c r="C747">
        <v>-0.85970600000000008</v>
      </c>
      <c r="L747">
        <f t="shared" si="58"/>
        <v>746</v>
      </c>
      <c r="M747">
        <f t="shared" si="59"/>
        <v>1942.0833333332769</v>
      </c>
      <c r="N747">
        <f t="shared" si="55"/>
        <v>0</v>
      </c>
      <c r="O747">
        <f t="array" ref="O747">+SUM($F$2:$F$18*SIN(2*PI()*(M747)*$B$1/$E$2:$E$18+$G$2:$G$18))</f>
        <v>1.0184308893927569</v>
      </c>
      <c r="P747">
        <f t="shared" si="56"/>
        <v>0</v>
      </c>
      <c r="Q747">
        <f t="shared" si="57"/>
        <v>0.28506335292462909</v>
      </c>
      <c r="R747">
        <f t="array" ref="R747">+$B$2*SIN(Q747*$B$3+$B$4)+Q747+$B$9*SIN(PI()*M747+$B$10)+$B$11*SIN(2*PI()*M747+$B$12) + SUM($I$2:$I$18*SIN(2*PI()*M747*$H$2:$H$18+$J$2:$J$18))</f>
        <v>9.7958116897315364</v>
      </c>
    </row>
    <row r="748" spans="3:18" x14ac:dyDescent="0.35">
      <c r="C748">
        <v>-0.65575599999999989</v>
      </c>
      <c r="L748">
        <f t="shared" si="58"/>
        <v>747</v>
      </c>
      <c r="M748">
        <f t="shared" si="59"/>
        <v>1942.1666666666101</v>
      </c>
      <c r="N748">
        <f t="shared" si="55"/>
        <v>0</v>
      </c>
      <c r="O748">
        <f t="array" ref="O748">+SUM($F$2:$F$18*SIN(2*PI()*(M748)*$B$1/$E$2:$E$18+$G$2:$G$18))</f>
        <v>0.34320655418055873</v>
      </c>
      <c r="P748">
        <f t="shared" si="56"/>
        <v>0</v>
      </c>
      <c r="Q748">
        <f t="shared" si="57"/>
        <v>0.28440611621900536</v>
      </c>
      <c r="R748">
        <f t="array" ref="R748">+$B$2*SIN(Q748*$B$3+$B$4)+Q748+$B$9*SIN(PI()*M748+$B$10)+$B$11*SIN(2*PI()*M748+$B$12) + SUM($I$2:$I$18*SIN(2*PI()*M748*$H$2:$H$18+$J$2:$J$18))</f>
        <v>8.7852927978015334</v>
      </c>
    </row>
    <row r="749" spans="3:18" x14ac:dyDescent="0.35">
      <c r="C749">
        <v>-0.72564800000000007</v>
      </c>
      <c r="L749">
        <f t="shared" si="58"/>
        <v>748</v>
      </c>
      <c r="M749">
        <f t="shared" si="59"/>
        <v>1942.2499999999434</v>
      </c>
      <c r="N749">
        <f t="shared" si="55"/>
        <v>0</v>
      </c>
      <c r="O749">
        <f t="array" ref="O749">+SUM($F$2:$F$18*SIN(2*PI()*(M749)*$B$1/$E$2:$E$18+$G$2:$G$18))</f>
        <v>-0.62376783597983343</v>
      </c>
      <c r="P749">
        <f t="shared" si="56"/>
        <v>0</v>
      </c>
      <c r="Q749">
        <f t="shared" si="57"/>
        <v>0.2837503948259702</v>
      </c>
      <c r="R749">
        <f t="array" ref="R749">+$B$2*SIN(Q749*$B$3+$B$4)+Q749+$B$9*SIN(PI()*M749+$B$10)+$B$11*SIN(2*PI()*M749+$B$12) + SUM($I$2:$I$18*SIN(2*PI()*M749*$H$2:$H$18+$J$2:$J$18))</f>
        <v>8.0830227154008298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Pukite</dc:creator>
  <cp:lastModifiedBy>Paul Pukite</cp:lastModifiedBy>
  <dcterms:created xsi:type="dcterms:W3CDTF">2025-10-19T02:33:04Z</dcterms:created>
  <dcterms:modified xsi:type="dcterms:W3CDTF">2025-10-19T04:06:14Z</dcterms:modified>
</cp:coreProperties>
</file>