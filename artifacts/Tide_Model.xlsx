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aul\github\pukpr\GEM-LTE\"/>
    </mc:Choice>
  </mc:AlternateContent>
  <xr:revisionPtr revIDLastSave="0" documentId="13_ncr:1_{74968955-7686-41D0-9E5D-B7143AA05E50}" xr6:coauthVersionLast="47" xr6:coauthVersionMax="47" xr10:uidLastSave="{00000000-0000-0000-0000-000000000000}"/>
  <bookViews>
    <workbookView xWindow="3560" yWindow="8910" windowWidth="20810" windowHeight="10280" xr2:uid="{DAE159C9-8762-4103-AFAC-C544AADE87BE}"/>
  </bookViews>
  <sheets>
    <sheet name="Sheet1" sheetId="1" r:id="rId1"/>
  </sheets>
  <definedNames>
    <definedName name="solver_adj" localSheetId="0" hidden="1">Sheet1!$B$6,Sheet1!$B$7,Sheet1!$B$8,Sheet1!$J$2:$K$20,Sheet1!$B$2:$B$4,Sheet1!$G$2:$H$18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Sheet1!$W$5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 a="1"/>
  <c r="S2" i="1" s="1"/>
  <c r="V57" i="1"/>
  <c r="U57" i="1"/>
  <c r="V56" i="1"/>
  <c r="U56" i="1"/>
  <c r="V55" i="1"/>
  <c r="U55" i="1"/>
  <c r="V54" i="1"/>
  <c r="U54" i="1"/>
  <c r="V53" i="1"/>
  <c r="U53" i="1"/>
  <c r="V52" i="1"/>
  <c r="U52" i="1"/>
  <c r="V51" i="1"/>
  <c r="U51" i="1"/>
  <c r="V50" i="1"/>
  <c r="U50" i="1"/>
  <c r="V1775" i="1"/>
  <c r="U1775" i="1"/>
  <c r="V1774" i="1"/>
  <c r="U1774" i="1"/>
  <c r="V1773" i="1"/>
  <c r="U1773" i="1"/>
  <c r="V1772" i="1"/>
  <c r="U1772" i="1"/>
  <c r="V1771" i="1"/>
  <c r="U1771" i="1"/>
  <c r="V1770" i="1"/>
  <c r="U1770" i="1"/>
  <c r="V1769" i="1"/>
  <c r="U1769" i="1"/>
  <c r="V1768" i="1"/>
  <c r="U1768" i="1"/>
  <c r="V1767" i="1"/>
  <c r="U1767" i="1"/>
  <c r="V1766" i="1"/>
  <c r="U1766" i="1"/>
  <c r="V1765" i="1"/>
  <c r="U1765" i="1"/>
  <c r="V1764" i="1"/>
  <c r="U1764" i="1"/>
  <c r="V1763" i="1"/>
  <c r="U1763" i="1"/>
  <c r="V1762" i="1"/>
  <c r="U1762" i="1"/>
  <c r="V1761" i="1"/>
  <c r="U1761" i="1"/>
  <c r="V1760" i="1"/>
  <c r="U1760" i="1"/>
  <c r="V1759" i="1"/>
  <c r="U1759" i="1"/>
  <c r="V1758" i="1"/>
  <c r="U1758" i="1"/>
  <c r="V1757" i="1"/>
  <c r="U1757" i="1"/>
  <c r="V1756" i="1"/>
  <c r="U1756" i="1"/>
  <c r="V1755" i="1"/>
  <c r="U1755" i="1"/>
  <c r="V1754" i="1"/>
  <c r="U1754" i="1"/>
  <c r="V1753" i="1"/>
  <c r="U1753" i="1"/>
  <c r="V1752" i="1"/>
  <c r="U1752" i="1"/>
  <c r="V1751" i="1"/>
  <c r="U1751" i="1"/>
  <c r="V1750" i="1"/>
  <c r="U1750" i="1"/>
  <c r="V1749" i="1"/>
  <c r="U1749" i="1"/>
  <c r="V1748" i="1"/>
  <c r="U1748" i="1"/>
  <c r="V1747" i="1"/>
  <c r="U1747" i="1"/>
  <c r="V1746" i="1"/>
  <c r="U1746" i="1"/>
  <c r="V1745" i="1"/>
  <c r="U1745" i="1"/>
  <c r="V1744" i="1"/>
  <c r="U1744" i="1"/>
  <c r="V1743" i="1"/>
  <c r="U1743" i="1"/>
  <c r="V1742" i="1"/>
  <c r="U1742" i="1"/>
  <c r="V1741" i="1"/>
  <c r="U1741" i="1"/>
  <c r="V1740" i="1"/>
  <c r="U1740" i="1"/>
  <c r="V1739" i="1"/>
  <c r="U1739" i="1"/>
  <c r="V1738" i="1"/>
  <c r="U1738" i="1"/>
  <c r="V1737" i="1"/>
  <c r="U1737" i="1"/>
  <c r="V1736" i="1"/>
  <c r="U1736" i="1"/>
  <c r="V1735" i="1"/>
  <c r="U1735" i="1"/>
  <c r="V1734" i="1"/>
  <c r="U1734" i="1"/>
  <c r="V1733" i="1"/>
  <c r="U1733" i="1"/>
  <c r="V1732" i="1"/>
  <c r="U1732" i="1"/>
  <c r="V1731" i="1"/>
  <c r="U1731" i="1"/>
  <c r="V1730" i="1"/>
  <c r="U1730" i="1"/>
  <c r="V1729" i="1"/>
  <c r="U1729" i="1"/>
  <c r="V1728" i="1"/>
  <c r="U1728" i="1"/>
  <c r="V1727" i="1"/>
  <c r="U1727" i="1"/>
  <c r="V1726" i="1"/>
  <c r="U1726" i="1"/>
  <c r="V1725" i="1"/>
  <c r="U1725" i="1"/>
  <c r="V1724" i="1"/>
  <c r="U1724" i="1"/>
  <c r="V1723" i="1"/>
  <c r="U1723" i="1"/>
  <c r="V1722" i="1"/>
  <c r="U1722" i="1"/>
  <c r="V1721" i="1"/>
  <c r="U1721" i="1"/>
  <c r="V1720" i="1"/>
  <c r="U1720" i="1"/>
  <c r="V1719" i="1"/>
  <c r="U1719" i="1"/>
  <c r="V1718" i="1"/>
  <c r="U1718" i="1"/>
  <c r="V1717" i="1"/>
  <c r="U1717" i="1"/>
  <c r="V1716" i="1"/>
  <c r="U1716" i="1"/>
  <c r="V1715" i="1"/>
  <c r="U1715" i="1"/>
  <c r="V1714" i="1"/>
  <c r="U1714" i="1"/>
  <c r="V1713" i="1"/>
  <c r="U1713" i="1"/>
  <c r="V1712" i="1"/>
  <c r="U1712" i="1"/>
  <c r="V1711" i="1"/>
  <c r="U1711" i="1"/>
  <c r="V1710" i="1"/>
  <c r="U1710" i="1"/>
  <c r="V1709" i="1"/>
  <c r="U1709" i="1"/>
  <c r="V1708" i="1"/>
  <c r="U1708" i="1"/>
  <c r="V1707" i="1"/>
  <c r="U1707" i="1"/>
  <c r="V1706" i="1"/>
  <c r="U1706" i="1"/>
  <c r="V1705" i="1"/>
  <c r="U1705" i="1"/>
  <c r="V1704" i="1"/>
  <c r="U1704" i="1"/>
  <c r="V1703" i="1"/>
  <c r="U1703" i="1"/>
  <c r="V1702" i="1"/>
  <c r="U1702" i="1"/>
  <c r="V1701" i="1"/>
  <c r="U1701" i="1"/>
  <c r="V1700" i="1"/>
  <c r="U1700" i="1"/>
  <c r="V1699" i="1"/>
  <c r="U1699" i="1"/>
  <c r="V1698" i="1"/>
  <c r="U1698" i="1"/>
  <c r="V1697" i="1"/>
  <c r="U1697" i="1"/>
  <c r="V1696" i="1"/>
  <c r="U1696" i="1"/>
  <c r="V1695" i="1"/>
  <c r="U1695" i="1"/>
  <c r="V1694" i="1"/>
  <c r="U1694" i="1"/>
  <c r="V1693" i="1"/>
  <c r="U1693" i="1"/>
  <c r="V1692" i="1"/>
  <c r="U1692" i="1"/>
  <c r="V1691" i="1"/>
  <c r="U1691" i="1"/>
  <c r="V1690" i="1"/>
  <c r="U1690" i="1"/>
  <c r="V1689" i="1"/>
  <c r="U1689" i="1"/>
  <c r="V1688" i="1"/>
  <c r="U1688" i="1"/>
  <c r="V1687" i="1"/>
  <c r="U1687" i="1"/>
  <c r="V1686" i="1"/>
  <c r="U1686" i="1"/>
  <c r="V1685" i="1"/>
  <c r="U1685" i="1"/>
  <c r="V1684" i="1"/>
  <c r="U1684" i="1"/>
  <c r="V1683" i="1"/>
  <c r="U1683" i="1"/>
  <c r="V1682" i="1"/>
  <c r="U1682" i="1"/>
  <c r="V1681" i="1"/>
  <c r="U1681" i="1"/>
  <c r="V1680" i="1"/>
  <c r="U1680" i="1"/>
  <c r="V1679" i="1"/>
  <c r="U1679" i="1"/>
  <c r="V1678" i="1"/>
  <c r="U1678" i="1"/>
  <c r="V1677" i="1"/>
  <c r="U1677" i="1"/>
  <c r="V1676" i="1"/>
  <c r="U1676" i="1"/>
  <c r="V1675" i="1"/>
  <c r="U1675" i="1"/>
  <c r="V1674" i="1"/>
  <c r="U1674" i="1"/>
  <c r="V1673" i="1"/>
  <c r="U1673" i="1"/>
  <c r="V1672" i="1"/>
  <c r="U1672" i="1"/>
  <c r="V1671" i="1"/>
  <c r="U1671" i="1"/>
  <c r="V1670" i="1"/>
  <c r="U1670" i="1"/>
  <c r="V1669" i="1"/>
  <c r="U1669" i="1"/>
  <c r="V1668" i="1"/>
  <c r="U1668" i="1"/>
  <c r="V1667" i="1"/>
  <c r="U1667" i="1"/>
  <c r="V1666" i="1"/>
  <c r="U1666" i="1"/>
  <c r="V1665" i="1"/>
  <c r="U1665" i="1"/>
  <c r="V1664" i="1"/>
  <c r="U1664" i="1"/>
  <c r="V1663" i="1"/>
  <c r="U1663" i="1"/>
  <c r="V1662" i="1"/>
  <c r="U1662" i="1"/>
  <c r="V1661" i="1"/>
  <c r="U1661" i="1"/>
  <c r="V1660" i="1"/>
  <c r="U1660" i="1"/>
  <c r="V1659" i="1"/>
  <c r="U1659" i="1"/>
  <c r="V1658" i="1"/>
  <c r="U1658" i="1"/>
  <c r="V1657" i="1"/>
  <c r="U1657" i="1"/>
  <c r="V1656" i="1"/>
  <c r="U1656" i="1"/>
  <c r="V1655" i="1"/>
  <c r="U1655" i="1"/>
  <c r="V1654" i="1"/>
  <c r="U1654" i="1"/>
  <c r="V1653" i="1"/>
  <c r="U1653" i="1"/>
  <c r="V1652" i="1"/>
  <c r="U1652" i="1"/>
  <c r="V1651" i="1"/>
  <c r="U1651" i="1"/>
  <c r="V1650" i="1"/>
  <c r="U1650" i="1"/>
  <c r="V1649" i="1"/>
  <c r="U1649" i="1"/>
  <c r="V1648" i="1"/>
  <c r="U1648" i="1"/>
  <c r="V1647" i="1"/>
  <c r="U1647" i="1"/>
  <c r="V1646" i="1"/>
  <c r="U1646" i="1"/>
  <c r="V1645" i="1"/>
  <c r="U1645" i="1"/>
  <c r="V1644" i="1"/>
  <c r="U1644" i="1"/>
  <c r="V1643" i="1"/>
  <c r="U1643" i="1"/>
  <c r="V1642" i="1"/>
  <c r="U1642" i="1"/>
  <c r="V1641" i="1"/>
  <c r="U1641" i="1"/>
  <c r="V1640" i="1"/>
  <c r="U1640" i="1"/>
  <c r="V1639" i="1"/>
  <c r="U1639" i="1"/>
  <c r="V1638" i="1"/>
  <c r="U1638" i="1"/>
  <c r="V1637" i="1"/>
  <c r="U1637" i="1"/>
  <c r="V1636" i="1"/>
  <c r="U1636" i="1"/>
  <c r="V1635" i="1"/>
  <c r="U1635" i="1"/>
  <c r="V1634" i="1"/>
  <c r="U1634" i="1"/>
  <c r="V1633" i="1"/>
  <c r="U1633" i="1"/>
  <c r="V1632" i="1"/>
  <c r="U1632" i="1"/>
  <c r="V1631" i="1"/>
  <c r="U1631" i="1"/>
  <c r="V1630" i="1"/>
  <c r="U1630" i="1"/>
  <c r="V1629" i="1"/>
  <c r="U1629" i="1"/>
  <c r="V1628" i="1"/>
  <c r="U1628" i="1"/>
  <c r="V1627" i="1"/>
  <c r="U1627" i="1"/>
  <c r="V1626" i="1"/>
  <c r="U1626" i="1"/>
  <c r="V1625" i="1"/>
  <c r="U1625" i="1"/>
  <c r="V1624" i="1"/>
  <c r="U1624" i="1"/>
  <c r="V1623" i="1"/>
  <c r="U1623" i="1"/>
  <c r="V1622" i="1"/>
  <c r="U1622" i="1"/>
  <c r="V1621" i="1"/>
  <c r="U1621" i="1"/>
  <c r="V1620" i="1"/>
  <c r="U1620" i="1"/>
  <c r="V1619" i="1"/>
  <c r="U1619" i="1"/>
  <c r="V1618" i="1"/>
  <c r="U1618" i="1"/>
  <c r="V1617" i="1"/>
  <c r="U1617" i="1"/>
  <c r="V1616" i="1"/>
  <c r="U1616" i="1"/>
  <c r="V1615" i="1"/>
  <c r="U1615" i="1"/>
  <c r="V1614" i="1"/>
  <c r="U1614" i="1"/>
  <c r="V1613" i="1"/>
  <c r="U1613" i="1"/>
  <c r="V1612" i="1"/>
  <c r="U1612" i="1"/>
  <c r="V1611" i="1"/>
  <c r="U1611" i="1"/>
  <c r="V1610" i="1"/>
  <c r="U1610" i="1"/>
  <c r="V1609" i="1"/>
  <c r="U1609" i="1"/>
  <c r="V1608" i="1"/>
  <c r="U1608" i="1"/>
  <c r="V1607" i="1"/>
  <c r="U1607" i="1"/>
  <c r="V1606" i="1"/>
  <c r="U1606" i="1"/>
  <c r="V1605" i="1"/>
  <c r="U1605" i="1"/>
  <c r="V1604" i="1"/>
  <c r="U1604" i="1"/>
  <c r="V1603" i="1"/>
  <c r="U1603" i="1"/>
  <c r="V1602" i="1"/>
  <c r="U1602" i="1"/>
  <c r="V1601" i="1"/>
  <c r="U1601" i="1"/>
  <c r="V1600" i="1"/>
  <c r="U1600" i="1"/>
  <c r="V1599" i="1"/>
  <c r="U1599" i="1"/>
  <c r="V1598" i="1"/>
  <c r="U1598" i="1"/>
  <c r="V1597" i="1"/>
  <c r="U1597" i="1"/>
  <c r="V1596" i="1"/>
  <c r="U1596" i="1"/>
  <c r="V1595" i="1"/>
  <c r="U1595" i="1"/>
  <c r="V1594" i="1"/>
  <c r="U1594" i="1"/>
  <c r="V1593" i="1"/>
  <c r="U1593" i="1"/>
  <c r="V1592" i="1"/>
  <c r="U1592" i="1"/>
  <c r="V1591" i="1"/>
  <c r="U1591" i="1"/>
  <c r="V1590" i="1"/>
  <c r="U1590" i="1"/>
  <c r="V1589" i="1"/>
  <c r="U1589" i="1"/>
  <c r="V1588" i="1"/>
  <c r="U1588" i="1"/>
  <c r="V1587" i="1"/>
  <c r="U1587" i="1"/>
  <c r="V1586" i="1"/>
  <c r="U1586" i="1"/>
  <c r="V1585" i="1"/>
  <c r="U1585" i="1"/>
  <c r="V1584" i="1"/>
  <c r="U1584" i="1"/>
  <c r="V1583" i="1"/>
  <c r="U1583" i="1"/>
  <c r="V1582" i="1"/>
  <c r="U1582" i="1"/>
  <c r="V1581" i="1"/>
  <c r="U1581" i="1"/>
  <c r="V1580" i="1"/>
  <c r="U1580" i="1"/>
  <c r="V1579" i="1"/>
  <c r="U1579" i="1"/>
  <c r="V1578" i="1"/>
  <c r="U1578" i="1"/>
  <c r="V1577" i="1"/>
  <c r="U1577" i="1"/>
  <c r="V1576" i="1"/>
  <c r="U1576" i="1"/>
  <c r="V1575" i="1"/>
  <c r="U1575" i="1"/>
  <c r="V1574" i="1"/>
  <c r="U1574" i="1"/>
  <c r="V1573" i="1"/>
  <c r="U1573" i="1"/>
  <c r="V1572" i="1"/>
  <c r="U1572" i="1"/>
  <c r="V1571" i="1"/>
  <c r="U1571" i="1"/>
  <c r="V1570" i="1"/>
  <c r="U1570" i="1"/>
  <c r="V1569" i="1"/>
  <c r="U1569" i="1"/>
  <c r="V1568" i="1"/>
  <c r="U1568" i="1"/>
  <c r="V1567" i="1"/>
  <c r="U1567" i="1"/>
  <c r="V1566" i="1"/>
  <c r="U1566" i="1"/>
  <c r="V1565" i="1"/>
  <c r="U1565" i="1"/>
  <c r="V1564" i="1"/>
  <c r="U1564" i="1"/>
  <c r="V1563" i="1"/>
  <c r="U1563" i="1"/>
  <c r="V1562" i="1"/>
  <c r="U1562" i="1"/>
  <c r="V1561" i="1"/>
  <c r="U1561" i="1"/>
  <c r="V1560" i="1"/>
  <c r="U1560" i="1"/>
  <c r="V1559" i="1"/>
  <c r="U1559" i="1"/>
  <c r="V1558" i="1"/>
  <c r="U1558" i="1"/>
  <c r="V1557" i="1"/>
  <c r="U1557" i="1"/>
  <c r="V1556" i="1"/>
  <c r="U1556" i="1"/>
  <c r="V1555" i="1"/>
  <c r="U1555" i="1"/>
  <c r="V1554" i="1"/>
  <c r="U1554" i="1"/>
  <c r="V1553" i="1"/>
  <c r="U1553" i="1"/>
  <c r="V1552" i="1"/>
  <c r="U1552" i="1"/>
  <c r="V1551" i="1"/>
  <c r="U1551" i="1"/>
  <c r="V1550" i="1"/>
  <c r="U1550" i="1"/>
  <c r="V1549" i="1"/>
  <c r="U1549" i="1"/>
  <c r="V1548" i="1"/>
  <c r="U1548" i="1"/>
  <c r="V1547" i="1"/>
  <c r="U1547" i="1"/>
  <c r="V1546" i="1"/>
  <c r="U1546" i="1"/>
  <c r="V1545" i="1"/>
  <c r="U1545" i="1"/>
  <c r="V1544" i="1"/>
  <c r="U1544" i="1"/>
  <c r="V1543" i="1"/>
  <c r="U1543" i="1"/>
  <c r="V1542" i="1"/>
  <c r="U1542" i="1"/>
  <c r="V1541" i="1"/>
  <c r="U1541" i="1"/>
  <c r="V1540" i="1"/>
  <c r="U1540" i="1"/>
  <c r="V1539" i="1"/>
  <c r="U1539" i="1"/>
  <c r="V1538" i="1"/>
  <c r="U1538" i="1"/>
  <c r="V1537" i="1"/>
  <c r="U1537" i="1"/>
  <c r="V1536" i="1"/>
  <c r="U1536" i="1"/>
  <c r="V1535" i="1"/>
  <c r="U1535" i="1"/>
  <c r="V1534" i="1"/>
  <c r="U1534" i="1"/>
  <c r="V1533" i="1"/>
  <c r="U1533" i="1"/>
  <c r="V1532" i="1"/>
  <c r="U1532" i="1"/>
  <c r="V1531" i="1"/>
  <c r="U1531" i="1"/>
  <c r="V1530" i="1"/>
  <c r="U1530" i="1"/>
  <c r="V1529" i="1"/>
  <c r="U1529" i="1"/>
  <c r="V1528" i="1"/>
  <c r="U1528" i="1"/>
  <c r="V1527" i="1"/>
  <c r="U1527" i="1"/>
  <c r="V1526" i="1"/>
  <c r="U1526" i="1"/>
  <c r="V1525" i="1"/>
  <c r="U1525" i="1"/>
  <c r="V1524" i="1"/>
  <c r="U1524" i="1"/>
  <c r="V1523" i="1"/>
  <c r="U1523" i="1"/>
  <c r="V1522" i="1"/>
  <c r="U1522" i="1"/>
  <c r="V1521" i="1"/>
  <c r="U1521" i="1"/>
  <c r="V1520" i="1"/>
  <c r="U1520" i="1"/>
  <c r="V1519" i="1"/>
  <c r="U1519" i="1"/>
  <c r="V1518" i="1"/>
  <c r="U1518" i="1"/>
  <c r="V1517" i="1"/>
  <c r="U1517" i="1"/>
  <c r="V1516" i="1"/>
  <c r="U1516" i="1"/>
  <c r="V1515" i="1"/>
  <c r="U1515" i="1"/>
  <c r="V1514" i="1"/>
  <c r="U1514" i="1"/>
  <c r="V1513" i="1"/>
  <c r="U1513" i="1"/>
  <c r="V1512" i="1"/>
  <c r="U1512" i="1"/>
  <c r="V1511" i="1"/>
  <c r="U1511" i="1"/>
  <c r="V1510" i="1"/>
  <c r="U1510" i="1"/>
  <c r="V1509" i="1"/>
  <c r="U1509" i="1"/>
  <c r="V1508" i="1"/>
  <c r="U1508" i="1"/>
  <c r="V1507" i="1"/>
  <c r="U1507" i="1"/>
  <c r="V1506" i="1"/>
  <c r="U1506" i="1"/>
  <c r="V1505" i="1"/>
  <c r="U1505" i="1"/>
  <c r="V1504" i="1"/>
  <c r="U1504" i="1"/>
  <c r="V1503" i="1"/>
  <c r="U1503" i="1"/>
  <c r="V1502" i="1"/>
  <c r="U1502" i="1"/>
  <c r="V1501" i="1"/>
  <c r="U1501" i="1"/>
  <c r="V1500" i="1"/>
  <c r="U1500" i="1"/>
  <c r="V1499" i="1"/>
  <c r="U1499" i="1"/>
  <c r="V1498" i="1"/>
  <c r="U1498" i="1"/>
  <c r="V1497" i="1"/>
  <c r="U1497" i="1"/>
  <c r="V1496" i="1"/>
  <c r="U1496" i="1"/>
  <c r="V1495" i="1"/>
  <c r="U1495" i="1"/>
  <c r="V1494" i="1"/>
  <c r="U1494" i="1"/>
  <c r="V1493" i="1"/>
  <c r="U1493" i="1"/>
  <c r="V1492" i="1"/>
  <c r="U1492" i="1"/>
  <c r="V1491" i="1"/>
  <c r="U1491" i="1"/>
  <c r="V1490" i="1"/>
  <c r="U1490" i="1"/>
  <c r="V1489" i="1"/>
  <c r="U1489" i="1"/>
  <c r="V1488" i="1"/>
  <c r="U1488" i="1"/>
  <c r="V1487" i="1"/>
  <c r="U1487" i="1"/>
  <c r="V1486" i="1"/>
  <c r="U1486" i="1"/>
  <c r="V1485" i="1"/>
  <c r="U1485" i="1"/>
  <c r="V1484" i="1"/>
  <c r="U1484" i="1"/>
  <c r="V1483" i="1"/>
  <c r="U1483" i="1"/>
  <c r="V1482" i="1"/>
  <c r="U1482" i="1"/>
  <c r="V1481" i="1"/>
  <c r="U1481" i="1"/>
  <c r="V1480" i="1"/>
  <c r="U1480" i="1"/>
  <c r="V1479" i="1"/>
  <c r="U1479" i="1"/>
  <c r="V1478" i="1"/>
  <c r="U1478" i="1"/>
  <c r="V1477" i="1"/>
  <c r="U1477" i="1"/>
  <c r="V1476" i="1"/>
  <c r="U1476" i="1"/>
  <c r="V1475" i="1"/>
  <c r="U1475" i="1"/>
  <c r="V1474" i="1"/>
  <c r="U1474" i="1"/>
  <c r="V1473" i="1"/>
  <c r="U1473" i="1"/>
  <c r="V1472" i="1"/>
  <c r="U1472" i="1"/>
  <c r="V1471" i="1"/>
  <c r="U1471" i="1"/>
  <c r="V1470" i="1"/>
  <c r="U1470" i="1"/>
  <c r="V1469" i="1"/>
  <c r="U1469" i="1"/>
  <c r="V1468" i="1"/>
  <c r="U1468" i="1"/>
  <c r="V1467" i="1"/>
  <c r="U1467" i="1"/>
  <c r="V1466" i="1"/>
  <c r="U1466" i="1"/>
  <c r="V1465" i="1"/>
  <c r="U1465" i="1"/>
  <c r="V1464" i="1"/>
  <c r="U1464" i="1"/>
  <c r="V1463" i="1"/>
  <c r="U1463" i="1"/>
  <c r="V1462" i="1"/>
  <c r="U1462" i="1"/>
  <c r="V1461" i="1"/>
  <c r="U1461" i="1"/>
  <c r="V1460" i="1"/>
  <c r="U1460" i="1"/>
  <c r="V1459" i="1"/>
  <c r="U1459" i="1"/>
  <c r="V1458" i="1"/>
  <c r="U1458" i="1"/>
  <c r="V1457" i="1"/>
  <c r="U1457" i="1"/>
  <c r="V1456" i="1"/>
  <c r="U1456" i="1"/>
  <c r="V1455" i="1"/>
  <c r="U1455" i="1"/>
  <c r="V1454" i="1"/>
  <c r="U1454" i="1"/>
  <c r="V1453" i="1"/>
  <c r="U1453" i="1"/>
  <c r="V1452" i="1"/>
  <c r="U1452" i="1"/>
  <c r="V1451" i="1"/>
  <c r="U1451" i="1"/>
  <c r="V1450" i="1"/>
  <c r="U1450" i="1"/>
  <c r="V1449" i="1"/>
  <c r="U1449" i="1"/>
  <c r="V1448" i="1"/>
  <c r="U1448" i="1"/>
  <c r="V1447" i="1"/>
  <c r="U1447" i="1"/>
  <c r="V1446" i="1"/>
  <c r="U1446" i="1"/>
  <c r="V1445" i="1"/>
  <c r="U1445" i="1"/>
  <c r="V1444" i="1"/>
  <c r="U1444" i="1"/>
  <c r="V1443" i="1"/>
  <c r="U1443" i="1"/>
  <c r="V1442" i="1"/>
  <c r="U1442" i="1"/>
  <c r="V1441" i="1"/>
  <c r="U1441" i="1"/>
  <c r="V1440" i="1"/>
  <c r="U1440" i="1"/>
  <c r="V1439" i="1"/>
  <c r="U1439" i="1"/>
  <c r="V1438" i="1"/>
  <c r="U1438" i="1"/>
  <c r="V1437" i="1"/>
  <c r="U1437" i="1"/>
  <c r="V1436" i="1"/>
  <c r="U1436" i="1"/>
  <c r="V1435" i="1"/>
  <c r="U1435" i="1"/>
  <c r="V1434" i="1"/>
  <c r="U1434" i="1"/>
  <c r="V1433" i="1"/>
  <c r="U1433" i="1"/>
  <c r="V1432" i="1"/>
  <c r="U1432" i="1"/>
  <c r="V1431" i="1"/>
  <c r="U1431" i="1"/>
  <c r="V1430" i="1"/>
  <c r="U1430" i="1"/>
  <c r="V1429" i="1"/>
  <c r="U1429" i="1"/>
  <c r="V1428" i="1"/>
  <c r="U1428" i="1"/>
  <c r="V1427" i="1"/>
  <c r="U1427" i="1"/>
  <c r="V1426" i="1"/>
  <c r="U1426" i="1"/>
  <c r="V1425" i="1"/>
  <c r="U1425" i="1"/>
  <c r="V1424" i="1"/>
  <c r="U1424" i="1"/>
  <c r="V1423" i="1"/>
  <c r="U1423" i="1"/>
  <c r="V1422" i="1"/>
  <c r="U1422" i="1"/>
  <c r="V1421" i="1"/>
  <c r="U1421" i="1"/>
  <c r="V1420" i="1"/>
  <c r="U1420" i="1"/>
  <c r="V1419" i="1"/>
  <c r="U1419" i="1"/>
  <c r="V1418" i="1"/>
  <c r="U1418" i="1"/>
  <c r="V1417" i="1"/>
  <c r="U1417" i="1"/>
  <c r="V1416" i="1"/>
  <c r="U1416" i="1"/>
  <c r="V1415" i="1"/>
  <c r="U1415" i="1"/>
  <c r="V1414" i="1"/>
  <c r="U1414" i="1"/>
  <c r="V1413" i="1"/>
  <c r="U1413" i="1"/>
  <c r="V1412" i="1"/>
  <c r="U1412" i="1"/>
  <c r="V1411" i="1"/>
  <c r="U1411" i="1"/>
  <c r="V1410" i="1"/>
  <c r="U1410" i="1"/>
  <c r="V1409" i="1"/>
  <c r="U1409" i="1"/>
  <c r="V1408" i="1"/>
  <c r="U1408" i="1"/>
  <c r="V1407" i="1"/>
  <c r="U1407" i="1"/>
  <c r="V1406" i="1"/>
  <c r="U1406" i="1"/>
  <c r="V1405" i="1"/>
  <c r="U1405" i="1"/>
  <c r="V1404" i="1"/>
  <c r="U1404" i="1"/>
  <c r="V1403" i="1"/>
  <c r="U1403" i="1"/>
  <c r="V1402" i="1"/>
  <c r="U1402" i="1"/>
  <c r="V1401" i="1"/>
  <c r="U1401" i="1"/>
  <c r="V1400" i="1"/>
  <c r="U1400" i="1"/>
  <c r="V1399" i="1"/>
  <c r="U1399" i="1"/>
  <c r="V1398" i="1"/>
  <c r="U1398" i="1"/>
  <c r="V1397" i="1"/>
  <c r="U1397" i="1"/>
  <c r="V1396" i="1"/>
  <c r="U1396" i="1"/>
  <c r="V1395" i="1"/>
  <c r="U1395" i="1"/>
  <c r="V1394" i="1"/>
  <c r="U1394" i="1"/>
  <c r="V1393" i="1"/>
  <c r="U1393" i="1"/>
  <c r="V1392" i="1"/>
  <c r="U1392" i="1"/>
  <c r="V1391" i="1"/>
  <c r="U1391" i="1"/>
  <c r="V1390" i="1"/>
  <c r="U1390" i="1"/>
  <c r="V1389" i="1"/>
  <c r="U1389" i="1"/>
  <c r="V1388" i="1"/>
  <c r="U1388" i="1"/>
  <c r="V1387" i="1"/>
  <c r="U1387" i="1"/>
  <c r="V1386" i="1"/>
  <c r="U1386" i="1"/>
  <c r="V1385" i="1"/>
  <c r="U1385" i="1"/>
  <c r="V1384" i="1"/>
  <c r="U1384" i="1"/>
  <c r="V1383" i="1"/>
  <c r="U1383" i="1"/>
  <c r="V1382" i="1"/>
  <c r="U1382" i="1"/>
  <c r="V1381" i="1"/>
  <c r="U1381" i="1"/>
  <c r="V1380" i="1"/>
  <c r="U1380" i="1"/>
  <c r="V1379" i="1"/>
  <c r="U1379" i="1"/>
  <c r="V1378" i="1"/>
  <c r="U1378" i="1"/>
  <c r="V1377" i="1"/>
  <c r="U1377" i="1"/>
  <c r="V1376" i="1"/>
  <c r="U1376" i="1"/>
  <c r="V1375" i="1"/>
  <c r="U1375" i="1"/>
  <c r="V1374" i="1"/>
  <c r="U1374" i="1"/>
  <c r="V1373" i="1"/>
  <c r="U1373" i="1"/>
  <c r="V1372" i="1"/>
  <c r="U1372" i="1"/>
  <c r="V1371" i="1"/>
  <c r="U1371" i="1"/>
  <c r="V1370" i="1"/>
  <c r="U1370" i="1"/>
  <c r="V1369" i="1"/>
  <c r="U1369" i="1"/>
  <c r="V1368" i="1"/>
  <c r="U1368" i="1"/>
  <c r="V1367" i="1"/>
  <c r="U1367" i="1"/>
  <c r="V1366" i="1"/>
  <c r="U1366" i="1"/>
  <c r="V1365" i="1"/>
  <c r="U1365" i="1"/>
  <c r="V1364" i="1"/>
  <c r="U1364" i="1"/>
  <c r="V1363" i="1"/>
  <c r="U1363" i="1"/>
  <c r="V1362" i="1"/>
  <c r="U1362" i="1"/>
  <c r="V1361" i="1"/>
  <c r="U1361" i="1"/>
  <c r="V1360" i="1"/>
  <c r="U1360" i="1"/>
  <c r="V1359" i="1"/>
  <c r="U1359" i="1"/>
  <c r="V1358" i="1"/>
  <c r="U1358" i="1"/>
  <c r="V1357" i="1"/>
  <c r="U1357" i="1"/>
  <c r="V1356" i="1"/>
  <c r="U1356" i="1"/>
  <c r="V1355" i="1"/>
  <c r="U1355" i="1"/>
  <c r="V1354" i="1"/>
  <c r="U1354" i="1"/>
  <c r="V1353" i="1"/>
  <c r="U1353" i="1"/>
  <c r="V1352" i="1"/>
  <c r="U1352" i="1"/>
  <c r="V1351" i="1"/>
  <c r="U1351" i="1"/>
  <c r="V1350" i="1"/>
  <c r="U1350" i="1"/>
  <c r="V1349" i="1"/>
  <c r="U1349" i="1"/>
  <c r="V1348" i="1"/>
  <c r="U1348" i="1"/>
  <c r="V1347" i="1"/>
  <c r="U1347" i="1"/>
  <c r="V1346" i="1"/>
  <c r="U1346" i="1"/>
  <c r="V1345" i="1"/>
  <c r="U1345" i="1"/>
  <c r="V1344" i="1"/>
  <c r="U1344" i="1"/>
  <c r="V1343" i="1"/>
  <c r="U1343" i="1"/>
  <c r="V1342" i="1"/>
  <c r="U1342" i="1"/>
  <c r="V1341" i="1"/>
  <c r="U1341" i="1"/>
  <c r="V1340" i="1"/>
  <c r="U1340" i="1"/>
  <c r="V1339" i="1"/>
  <c r="U1339" i="1"/>
  <c r="V1338" i="1"/>
  <c r="U1338" i="1"/>
  <c r="V1337" i="1"/>
  <c r="U1337" i="1"/>
  <c r="V1336" i="1"/>
  <c r="U1336" i="1"/>
  <c r="V1335" i="1"/>
  <c r="U1335" i="1"/>
  <c r="V1334" i="1"/>
  <c r="U1334" i="1"/>
  <c r="V1333" i="1"/>
  <c r="U1333" i="1"/>
  <c r="V1332" i="1"/>
  <c r="U1332" i="1"/>
  <c r="V1331" i="1"/>
  <c r="U1331" i="1"/>
  <c r="V1330" i="1"/>
  <c r="U1330" i="1"/>
  <c r="V1329" i="1"/>
  <c r="U1329" i="1"/>
  <c r="V1328" i="1"/>
  <c r="U1328" i="1"/>
  <c r="V1327" i="1"/>
  <c r="U1327" i="1"/>
  <c r="V1326" i="1"/>
  <c r="U1326" i="1"/>
  <c r="V1325" i="1"/>
  <c r="U1325" i="1"/>
  <c r="V1324" i="1"/>
  <c r="U1324" i="1"/>
  <c r="V1323" i="1"/>
  <c r="U1323" i="1"/>
  <c r="V1322" i="1"/>
  <c r="U1322" i="1"/>
  <c r="V1321" i="1"/>
  <c r="U1321" i="1"/>
  <c r="V1320" i="1"/>
  <c r="U1320" i="1"/>
  <c r="V1319" i="1"/>
  <c r="U1319" i="1"/>
  <c r="V1318" i="1"/>
  <c r="U1318" i="1"/>
  <c r="V1317" i="1"/>
  <c r="U1317" i="1"/>
  <c r="V1316" i="1"/>
  <c r="U1316" i="1"/>
  <c r="V1315" i="1"/>
  <c r="U1315" i="1"/>
  <c r="V1314" i="1"/>
  <c r="U1314" i="1"/>
  <c r="V1313" i="1"/>
  <c r="U1313" i="1"/>
  <c r="V1312" i="1"/>
  <c r="U1312" i="1"/>
  <c r="V1311" i="1"/>
  <c r="U1311" i="1"/>
  <c r="V1310" i="1"/>
  <c r="U1310" i="1"/>
  <c r="V1309" i="1"/>
  <c r="U1309" i="1"/>
  <c r="V1308" i="1"/>
  <c r="U1308" i="1"/>
  <c r="V1307" i="1"/>
  <c r="U1307" i="1"/>
  <c r="V1306" i="1"/>
  <c r="U1306" i="1"/>
  <c r="V1305" i="1"/>
  <c r="U1305" i="1"/>
  <c r="V1304" i="1"/>
  <c r="U1304" i="1"/>
  <c r="V1303" i="1"/>
  <c r="U1303" i="1"/>
  <c r="V1302" i="1"/>
  <c r="U1302" i="1"/>
  <c r="V1301" i="1"/>
  <c r="U1301" i="1"/>
  <c r="V1300" i="1"/>
  <c r="U1300" i="1"/>
  <c r="V1299" i="1"/>
  <c r="U1299" i="1"/>
  <c r="V1298" i="1"/>
  <c r="U1298" i="1"/>
  <c r="V1297" i="1"/>
  <c r="U1297" i="1"/>
  <c r="V1296" i="1"/>
  <c r="U1296" i="1"/>
  <c r="V1295" i="1"/>
  <c r="U1295" i="1"/>
  <c r="V1294" i="1"/>
  <c r="U1294" i="1"/>
  <c r="V1293" i="1"/>
  <c r="U1293" i="1"/>
  <c r="V1292" i="1"/>
  <c r="U1292" i="1"/>
  <c r="V1291" i="1"/>
  <c r="U1291" i="1"/>
  <c r="V1290" i="1"/>
  <c r="U1290" i="1"/>
  <c r="V1289" i="1"/>
  <c r="U1289" i="1"/>
  <c r="V1288" i="1"/>
  <c r="U1288" i="1"/>
  <c r="V1287" i="1"/>
  <c r="U1287" i="1"/>
  <c r="V1286" i="1"/>
  <c r="U1286" i="1"/>
  <c r="V1285" i="1"/>
  <c r="U1285" i="1"/>
  <c r="V1284" i="1"/>
  <c r="U1284" i="1"/>
  <c r="V1283" i="1"/>
  <c r="U1283" i="1"/>
  <c r="V1282" i="1"/>
  <c r="U1282" i="1"/>
  <c r="V1281" i="1"/>
  <c r="U1281" i="1"/>
  <c r="V1280" i="1"/>
  <c r="U1280" i="1"/>
  <c r="V1279" i="1"/>
  <c r="U1279" i="1"/>
  <c r="V1278" i="1"/>
  <c r="U1278" i="1"/>
  <c r="V1277" i="1"/>
  <c r="U1277" i="1"/>
  <c r="V1276" i="1"/>
  <c r="U1276" i="1"/>
  <c r="V1275" i="1"/>
  <c r="U1275" i="1"/>
  <c r="V1274" i="1"/>
  <c r="U1274" i="1"/>
  <c r="V1273" i="1"/>
  <c r="U1273" i="1"/>
  <c r="V1272" i="1"/>
  <c r="U1272" i="1"/>
  <c r="V1271" i="1"/>
  <c r="U1271" i="1"/>
  <c r="V1270" i="1"/>
  <c r="U1270" i="1"/>
  <c r="V1269" i="1"/>
  <c r="U1269" i="1"/>
  <c r="V1268" i="1"/>
  <c r="U1268" i="1"/>
  <c r="V1267" i="1"/>
  <c r="U1267" i="1"/>
  <c r="V1266" i="1"/>
  <c r="U1266" i="1"/>
  <c r="V1265" i="1"/>
  <c r="U1265" i="1"/>
  <c r="V1264" i="1"/>
  <c r="U1264" i="1"/>
  <c r="V1263" i="1"/>
  <c r="U1263" i="1"/>
  <c r="V1262" i="1"/>
  <c r="U1262" i="1"/>
  <c r="V1261" i="1"/>
  <c r="U1261" i="1"/>
  <c r="V1260" i="1"/>
  <c r="U1260" i="1"/>
  <c r="V1259" i="1"/>
  <c r="U1259" i="1"/>
  <c r="V1258" i="1"/>
  <c r="U1258" i="1"/>
  <c r="V1257" i="1"/>
  <c r="U1257" i="1"/>
  <c r="V1256" i="1"/>
  <c r="U1256" i="1"/>
  <c r="V1255" i="1"/>
  <c r="U1255" i="1"/>
  <c r="V1254" i="1"/>
  <c r="U1254" i="1"/>
  <c r="V1253" i="1"/>
  <c r="U1253" i="1"/>
  <c r="V1252" i="1"/>
  <c r="U1252" i="1"/>
  <c r="V1251" i="1"/>
  <c r="U1251" i="1"/>
  <c r="V1250" i="1"/>
  <c r="U1250" i="1"/>
  <c r="V1249" i="1"/>
  <c r="U1249" i="1"/>
  <c r="V1248" i="1"/>
  <c r="U1248" i="1"/>
  <c r="V1247" i="1"/>
  <c r="U1247" i="1"/>
  <c r="V1246" i="1"/>
  <c r="U1246" i="1"/>
  <c r="V1245" i="1"/>
  <c r="U1245" i="1"/>
  <c r="V1244" i="1"/>
  <c r="U1244" i="1"/>
  <c r="V1243" i="1"/>
  <c r="U1243" i="1"/>
  <c r="V1242" i="1"/>
  <c r="U1242" i="1"/>
  <c r="V1241" i="1"/>
  <c r="U1241" i="1"/>
  <c r="V1240" i="1"/>
  <c r="U1240" i="1"/>
  <c r="V1239" i="1"/>
  <c r="U1239" i="1"/>
  <c r="V1238" i="1"/>
  <c r="U1238" i="1"/>
  <c r="V1237" i="1"/>
  <c r="U1237" i="1"/>
  <c r="V1236" i="1"/>
  <c r="U1236" i="1"/>
  <c r="V1235" i="1"/>
  <c r="U1235" i="1"/>
  <c r="V1234" i="1"/>
  <c r="U1234" i="1"/>
  <c r="V1233" i="1"/>
  <c r="U1233" i="1"/>
  <c r="V1232" i="1"/>
  <c r="U1232" i="1"/>
  <c r="V1231" i="1"/>
  <c r="U1231" i="1"/>
  <c r="V1230" i="1"/>
  <c r="U1230" i="1"/>
  <c r="V1229" i="1"/>
  <c r="U1229" i="1"/>
  <c r="V1228" i="1"/>
  <c r="U1228" i="1"/>
  <c r="V1227" i="1"/>
  <c r="U1227" i="1"/>
  <c r="V1226" i="1"/>
  <c r="U1226" i="1"/>
  <c r="V1225" i="1"/>
  <c r="U1225" i="1"/>
  <c r="V1224" i="1"/>
  <c r="U1224" i="1"/>
  <c r="V1223" i="1"/>
  <c r="U1223" i="1"/>
  <c r="V1222" i="1"/>
  <c r="U1222" i="1"/>
  <c r="V1221" i="1"/>
  <c r="U1221" i="1"/>
  <c r="V1220" i="1"/>
  <c r="U1220" i="1"/>
  <c r="V1219" i="1"/>
  <c r="U1219" i="1"/>
  <c r="V1218" i="1"/>
  <c r="U1218" i="1"/>
  <c r="V1217" i="1"/>
  <c r="U1217" i="1"/>
  <c r="V1216" i="1"/>
  <c r="U1216" i="1"/>
  <c r="V1215" i="1"/>
  <c r="U1215" i="1"/>
  <c r="V1214" i="1"/>
  <c r="U1214" i="1"/>
  <c r="V1213" i="1"/>
  <c r="U1213" i="1"/>
  <c r="V1212" i="1"/>
  <c r="U1212" i="1"/>
  <c r="V1211" i="1"/>
  <c r="U1211" i="1"/>
  <c r="V1210" i="1"/>
  <c r="U1210" i="1"/>
  <c r="V1209" i="1"/>
  <c r="U1209" i="1"/>
  <c r="V1208" i="1"/>
  <c r="U1208" i="1"/>
  <c r="V1207" i="1"/>
  <c r="U1207" i="1"/>
  <c r="V1206" i="1"/>
  <c r="U1206" i="1"/>
  <c r="V1205" i="1"/>
  <c r="U1205" i="1"/>
  <c r="V1204" i="1"/>
  <c r="U1204" i="1"/>
  <c r="V1203" i="1"/>
  <c r="U1203" i="1"/>
  <c r="V1202" i="1"/>
  <c r="U1202" i="1"/>
  <c r="V1201" i="1"/>
  <c r="U1201" i="1"/>
  <c r="V1200" i="1"/>
  <c r="U1200" i="1"/>
  <c r="V1199" i="1"/>
  <c r="U1199" i="1"/>
  <c r="V1198" i="1"/>
  <c r="U1198" i="1"/>
  <c r="V1197" i="1"/>
  <c r="U1197" i="1"/>
  <c r="V1196" i="1"/>
  <c r="U1196" i="1"/>
  <c r="V1195" i="1"/>
  <c r="U1195" i="1"/>
  <c r="V1194" i="1"/>
  <c r="U1194" i="1"/>
  <c r="V1193" i="1"/>
  <c r="U1193" i="1"/>
  <c r="V1192" i="1"/>
  <c r="U1192" i="1"/>
  <c r="V1191" i="1"/>
  <c r="U1191" i="1"/>
  <c r="V1190" i="1"/>
  <c r="U1190" i="1"/>
  <c r="V1189" i="1"/>
  <c r="U1189" i="1"/>
  <c r="V1188" i="1"/>
  <c r="U1188" i="1"/>
  <c r="V1187" i="1"/>
  <c r="U1187" i="1"/>
  <c r="V1186" i="1"/>
  <c r="U1186" i="1"/>
  <c r="V1185" i="1"/>
  <c r="U1185" i="1"/>
  <c r="V1184" i="1"/>
  <c r="U1184" i="1"/>
  <c r="V1183" i="1"/>
  <c r="U1183" i="1"/>
  <c r="V1182" i="1"/>
  <c r="U1182" i="1"/>
  <c r="V1181" i="1"/>
  <c r="U1181" i="1"/>
  <c r="V1180" i="1"/>
  <c r="U1180" i="1"/>
  <c r="V1179" i="1"/>
  <c r="U1179" i="1"/>
  <c r="V1178" i="1"/>
  <c r="U1178" i="1"/>
  <c r="V1177" i="1"/>
  <c r="U1177" i="1"/>
  <c r="V1176" i="1"/>
  <c r="U1176" i="1"/>
  <c r="V1175" i="1"/>
  <c r="U1175" i="1"/>
  <c r="V1174" i="1"/>
  <c r="U1174" i="1"/>
  <c r="V1173" i="1"/>
  <c r="U1173" i="1"/>
  <c r="V1172" i="1"/>
  <c r="U1172" i="1"/>
  <c r="V1171" i="1"/>
  <c r="U1171" i="1"/>
  <c r="V1170" i="1"/>
  <c r="U1170" i="1"/>
  <c r="V1169" i="1"/>
  <c r="U1169" i="1"/>
  <c r="V1168" i="1"/>
  <c r="U1168" i="1"/>
  <c r="V1167" i="1"/>
  <c r="U1167" i="1"/>
  <c r="V1166" i="1"/>
  <c r="U1166" i="1"/>
  <c r="V1165" i="1"/>
  <c r="U1165" i="1"/>
  <c r="V1164" i="1"/>
  <c r="U1164" i="1"/>
  <c r="V1163" i="1"/>
  <c r="U1163" i="1"/>
  <c r="V1162" i="1"/>
  <c r="U1162" i="1"/>
  <c r="V1161" i="1"/>
  <c r="U1161" i="1"/>
  <c r="V1160" i="1"/>
  <c r="U1160" i="1"/>
  <c r="V1159" i="1"/>
  <c r="U1159" i="1"/>
  <c r="V1158" i="1"/>
  <c r="U1158" i="1"/>
  <c r="V1157" i="1"/>
  <c r="U1157" i="1"/>
  <c r="V1156" i="1"/>
  <c r="U1156" i="1"/>
  <c r="V1155" i="1"/>
  <c r="U1155" i="1"/>
  <c r="V1154" i="1"/>
  <c r="U1154" i="1"/>
  <c r="V1153" i="1"/>
  <c r="U1153" i="1"/>
  <c r="V1152" i="1"/>
  <c r="U1152" i="1"/>
  <c r="V1151" i="1"/>
  <c r="U1151" i="1"/>
  <c r="V1150" i="1"/>
  <c r="U1150" i="1"/>
  <c r="V1149" i="1"/>
  <c r="U1149" i="1"/>
  <c r="V1148" i="1"/>
  <c r="U1148" i="1"/>
  <c r="V1147" i="1"/>
  <c r="U1147" i="1"/>
  <c r="V1146" i="1"/>
  <c r="U1146" i="1"/>
  <c r="V1145" i="1"/>
  <c r="U1145" i="1"/>
  <c r="V1144" i="1"/>
  <c r="U1144" i="1"/>
  <c r="V1143" i="1"/>
  <c r="U1143" i="1"/>
  <c r="V1142" i="1"/>
  <c r="U1142" i="1"/>
  <c r="V1141" i="1"/>
  <c r="U1141" i="1"/>
  <c r="V1140" i="1"/>
  <c r="U1140" i="1"/>
  <c r="V1139" i="1"/>
  <c r="U1139" i="1"/>
  <c r="V1138" i="1"/>
  <c r="U1138" i="1"/>
  <c r="V1137" i="1"/>
  <c r="U1137" i="1"/>
  <c r="V1136" i="1"/>
  <c r="U1136" i="1"/>
  <c r="V1135" i="1"/>
  <c r="U1135" i="1"/>
  <c r="V1134" i="1"/>
  <c r="U1134" i="1"/>
  <c r="V1133" i="1"/>
  <c r="U1133" i="1"/>
  <c r="V1132" i="1"/>
  <c r="U1132" i="1"/>
  <c r="V1131" i="1"/>
  <c r="U1131" i="1"/>
  <c r="V1130" i="1"/>
  <c r="U1130" i="1"/>
  <c r="V1129" i="1"/>
  <c r="U1129" i="1"/>
  <c r="V1128" i="1"/>
  <c r="U1128" i="1"/>
  <c r="V1127" i="1"/>
  <c r="U1127" i="1"/>
  <c r="V1126" i="1"/>
  <c r="U1126" i="1"/>
  <c r="V1125" i="1"/>
  <c r="U1125" i="1"/>
  <c r="V1124" i="1"/>
  <c r="U1124" i="1"/>
  <c r="V1123" i="1"/>
  <c r="U1123" i="1"/>
  <c r="V1122" i="1"/>
  <c r="U1122" i="1"/>
  <c r="V1121" i="1"/>
  <c r="U1121" i="1"/>
  <c r="V1120" i="1"/>
  <c r="U1120" i="1"/>
  <c r="V1119" i="1"/>
  <c r="U1119" i="1"/>
  <c r="V1118" i="1"/>
  <c r="U1118" i="1"/>
  <c r="V1117" i="1"/>
  <c r="U1117" i="1"/>
  <c r="V1116" i="1"/>
  <c r="U1116" i="1"/>
  <c r="V1115" i="1"/>
  <c r="U1115" i="1"/>
  <c r="V1114" i="1"/>
  <c r="U1114" i="1"/>
  <c r="V1113" i="1"/>
  <c r="U1113" i="1"/>
  <c r="V1112" i="1"/>
  <c r="U1112" i="1"/>
  <c r="V1111" i="1"/>
  <c r="U1111" i="1"/>
  <c r="V1110" i="1"/>
  <c r="U1110" i="1"/>
  <c r="V1109" i="1"/>
  <c r="U1109" i="1"/>
  <c r="V1108" i="1"/>
  <c r="U1108" i="1"/>
  <c r="V1107" i="1"/>
  <c r="U1107" i="1"/>
  <c r="V1106" i="1"/>
  <c r="U1106" i="1"/>
  <c r="V1105" i="1"/>
  <c r="U1105" i="1"/>
  <c r="V1104" i="1"/>
  <c r="U1104" i="1"/>
  <c r="V1103" i="1"/>
  <c r="U1103" i="1"/>
  <c r="V1102" i="1"/>
  <c r="U1102" i="1"/>
  <c r="V1101" i="1"/>
  <c r="U1101" i="1"/>
  <c r="V1100" i="1"/>
  <c r="U1100" i="1"/>
  <c r="V1099" i="1"/>
  <c r="U1099" i="1"/>
  <c r="V1098" i="1"/>
  <c r="U1098" i="1"/>
  <c r="V1097" i="1"/>
  <c r="U1097" i="1"/>
  <c r="V1096" i="1"/>
  <c r="U1096" i="1"/>
  <c r="V1095" i="1"/>
  <c r="U1095" i="1"/>
  <c r="V1094" i="1"/>
  <c r="U1094" i="1"/>
  <c r="V1093" i="1"/>
  <c r="U1093" i="1"/>
  <c r="V1092" i="1"/>
  <c r="U1092" i="1"/>
  <c r="V1091" i="1"/>
  <c r="U1091" i="1"/>
  <c r="V1090" i="1"/>
  <c r="U1090" i="1"/>
  <c r="V1089" i="1"/>
  <c r="U1089" i="1"/>
  <c r="V1088" i="1"/>
  <c r="U1088" i="1"/>
  <c r="V1087" i="1"/>
  <c r="U1087" i="1"/>
  <c r="V1086" i="1"/>
  <c r="U1086" i="1"/>
  <c r="V1085" i="1"/>
  <c r="U1085" i="1"/>
  <c r="V1084" i="1"/>
  <c r="U1084" i="1"/>
  <c r="V1083" i="1"/>
  <c r="U1083" i="1"/>
  <c r="V1082" i="1"/>
  <c r="U1082" i="1"/>
  <c r="V1081" i="1"/>
  <c r="U1081" i="1"/>
  <c r="V1080" i="1"/>
  <c r="U1080" i="1"/>
  <c r="V1079" i="1"/>
  <c r="U1079" i="1"/>
  <c r="V1078" i="1"/>
  <c r="U1078" i="1"/>
  <c r="V1077" i="1"/>
  <c r="U1077" i="1"/>
  <c r="V1076" i="1"/>
  <c r="U1076" i="1"/>
  <c r="V1075" i="1"/>
  <c r="U1075" i="1"/>
  <c r="V1074" i="1"/>
  <c r="U1074" i="1"/>
  <c r="V1073" i="1"/>
  <c r="U1073" i="1"/>
  <c r="V1072" i="1"/>
  <c r="U1072" i="1"/>
  <c r="V1071" i="1"/>
  <c r="U1071" i="1"/>
  <c r="V1070" i="1"/>
  <c r="U1070" i="1"/>
  <c r="V1069" i="1"/>
  <c r="U1069" i="1"/>
  <c r="V1068" i="1"/>
  <c r="U1068" i="1"/>
  <c r="V1067" i="1"/>
  <c r="U1067" i="1"/>
  <c r="V1066" i="1"/>
  <c r="U1066" i="1"/>
  <c r="V1065" i="1"/>
  <c r="U1065" i="1"/>
  <c r="V1064" i="1"/>
  <c r="U1064" i="1"/>
  <c r="V1063" i="1"/>
  <c r="U1063" i="1"/>
  <c r="V1062" i="1"/>
  <c r="U1062" i="1"/>
  <c r="V1061" i="1"/>
  <c r="U1061" i="1"/>
  <c r="V1060" i="1"/>
  <c r="U1060" i="1"/>
  <c r="V1059" i="1"/>
  <c r="U1059" i="1"/>
  <c r="V1058" i="1"/>
  <c r="U1058" i="1"/>
  <c r="V1057" i="1"/>
  <c r="U1057" i="1"/>
  <c r="V1056" i="1"/>
  <c r="U1056" i="1"/>
  <c r="V1055" i="1"/>
  <c r="U1055" i="1"/>
  <c r="V1054" i="1"/>
  <c r="U1054" i="1"/>
  <c r="V1053" i="1"/>
  <c r="U1053" i="1"/>
  <c r="V1052" i="1"/>
  <c r="U1052" i="1"/>
  <c r="V1051" i="1"/>
  <c r="U1051" i="1"/>
  <c r="V1050" i="1"/>
  <c r="U1050" i="1"/>
  <c r="V1049" i="1"/>
  <c r="U1049" i="1"/>
  <c r="V1048" i="1"/>
  <c r="U1048" i="1"/>
  <c r="V1047" i="1"/>
  <c r="U1047" i="1"/>
  <c r="V1046" i="1"/>
  <c r="U1046" i="1"/>
  <c r="V1045" i="1"/>
  <c r="U1045" i="1"/>
  <c r="V1044" i="1"/>
  <c r="U1044" i="1"/>
  <c r="V1043" i="1"/>
  <c r="U1043" i="1"/>
  <c r="V1042" i="1"/>
  <c r="U1042" i="1"/>
  <c r="V1041" i="1"/>
  <c r="U1041" i="1"/>
  <c r="V1040" i="1"/>
  <c r="U1040" i="1"/>
  <c r="V1039" i="1"/>
  <c r="U1039" i="1"/>
  <c r="V1038" i="1"/>
  <c r="U1038" i="1"/>
  <c r="V1037" i="1"/>
  <c r="U1037" i="1"/>
  <c r="V1036" i="1"/>
  <c r="U1036" i="1"/>
  <c r="V1035" i="1"/>
  <c r="U1035" i="1"/>
  <c r="V1034" i="1"/>
  <c r="U1034" i="1"/>
  <c r="V1033" i="1"/>
  <c r="U1033" i="1"/>
  <c r="V1032" i="1"/>
  <c r="U1032" i="1"/>
  <c r="V1031" i="1"/>
  <c r="U1031" i="1"/>
  <c r="V1030" i="1"/>
  <c r="U1030" i="1"/>
  <c r="V1029" i="1"/>
  <c r="U1029" i="1"/>
  <c r="V1028" i="1"/>
  <c r="U1028" i="1"/>
  <c r="V1027" i="1"/>
  <c r="U1027" i="1"/>
  <c r="V1026" i="1"/>
  <c r="U1026" i="1"/>
  <c r="V1025" i="1"/>
  <c r="U1025" i="1"/>
  <c r="V1024" i="1"/>
  <c r="U1024" i="1"/>
  <c r="V1023" i="1"/>
  <c r="U1023" i="1"/>
  <c r="V1022" i="1"/>
  <c r="U1022" i="1"/>
  <c r="V1021" i="1"/>
  <c r="U1021" i="1"/>
  <c r="V1020" i="1"/>
  <c r="U1020" i="1"/>
  <c r="V1019" i="1"/>
  <c r="U1019" i="1"/>
  <c r="V1018" i="1"/>
  <c r="U1018" i="1"/>
  <c r="V1017" i="1"/>
  <c r="U1017" i="1"/>
  <c r="V1016" i="1"/>
  <c r="U1016" i="1"/>
  <c r="V1015" i="1"/>
  <c r="U1015" i="1"/>
  <c r="V1014" i="1"/>
  <c r="U1014" i="1"/>
  <c r="V1013" i="1"/>
  <c r="U1013" i="1"/>
  <c r="V1012" i="1"/>
  <c r="U1012" i="1"/>
  <c r="V1011" i="1"/>
  <c r="U1011" i="1"/>
  <c r="V1010" i="1"/>
  <c r="U1010" i="1"/>
  <c r="V1009" i="1"/>
  <c r="U1009" i="1"/>
  <c r="V1008" i="1"/>
  <c r="U1008" i="1"/>
  <c r="V1007" i="1"/>
  <c r="U1007" i="1"/>
  <c r="V1006" i="1"/>
  <c r="U1006" i="1"/>
  <c r="V1005" i="1"/>
  <c r="U1005" i="1"/>
  <c r="V1004" i="1"/>
  <c r="U1004" i="1"/>
  <c r="V1003" i="1"/>
  <c r="U1003" i="1"/>
  <c r="V1002" i="1"/>
  <c r="U1002" i="1"/>
  <c r="V1001" i="1"/>
  <c r="U1001" i="1"/>
  <c r="V1000" i="1"/>
  <c r="U1000" i="1"/>
  <c r="V999" i="1"/>
  <c r="U999" i="1"/>
  <c r="V998" i="1"/>
  <c r="U998" i="1"/>
  <c r="V997" i="1"/>
  <c r="U997" i="1"/>
  <c r="V996" i="1"/>
  <c r="U996" i="1"/>
  <c r="V995" i="1"/>
  <c r="U995" i="1"/>
  <c r="V994" i="1"/>
  <c r="U994" i="1"/>
  <c r="V993" i="1"/>
  <c r="U993" i="1"/>
  <c r="V992" i="1"/>
  <c r="U992" i="1"/>
  <c r="V991" i="1"/>
  <c r="U991" i="1"/>
  <c r="V990" i="1"/>
  <c r="U990" i="1"/>
  <c r="V989" i="1"/>
  <c r="U989" i="1"/>
  <c r="V988" i="1"/>
  <c r="U988" i="1"/>
  <c r="V987" i="1"/>
  <c r="U987" i="1"/>
  <c r="V986" i="1"/>
  <c r="U986" i="1"/>
  <c r="V985" i="1"/>
  <c r="U985" i="1"/>
  <c r="V984" i="1"/>
  <c r="U984" i="1"/>
  <c r="V983" i="1"/>
  <c r="U983" i="1"/>
  <c r="V982" i="1"/>
  <c r="U982" i="1"/>
  <c r="V981" i="1"/>
  <c r="U981" i="1"/>
  <c r="V980" i="1"/>
  <c r="U980" i="1"/>
  <c r="V979" i="1"/>
  <c r="U979" i="1"/>
  <c r="V978" i="1"/>
  <c r="U978" i="1"/>
  <c r="V977" i="1"/>
  <c r="U977" i="1"/>
  <c r="V976" i="1"/>
  <c r="U976" i="1"/>
  <c r="V975" i="1"/>
  <c r="U975" i="1"/>
  <c r="V974" i="1"/>
  <c r="U974" i="1"/>
  <c r="V973" i="1"/>
  <c r="U973" i="1"/>
  <c r="V972" i="1"/>
  <c r="U972" i="1"/>
  <c r="V971" i="1"/>
  <c r="U971" i="1"/>
  <c r="V970" i="1"/>
  <c r="U970" i="1"/>
  <c r="V969" i="1"/>
  <c r="U969" i="1"/>
  <c r="V968" i="1"/>
  <c r="U968" i="1"/>
  <c r="V967" i="1"/>
  <c r="U967" i="1"/>
  <c r="V966" i="1"/>
  <c r="U966" i="1"/>
  <c r="V965" i="1"/>
  <c r="U965" i="1"/>
  <c r="V964" i="1"/>
  <c r="U964" i="1"/>
  <c r="V963" i="1"/>
  <c r="U963" i="1"/>
  <c r="V962" i="1"/>
  <c r="U962" i="1"/>
  <c r="V961" i="1"/>
  <c r="U961" i="1"/>
  <c r="V960" i="1"/>
  <c r="U960" i="1"/>
  <c r="V959" i="1"/>
  <c r="U959" i="1"/>
  <c r="V958" i="1"/>
  <c r="U958" i="1"/>
  <c r="V957" i="1"/>
  <c r="U957" i="1"/>
  <c r="V956" i="1"/>
  <c r="U956" i="1"/>
  <c r="V955" i="1"/>
  <c r="U955" i="1"/>
  <c r="V954" i="1"/>
  <c r="U954" i="1"/>
  <c r="V953" i="1"/>
  <c r="U953" i="1"/>
  <c r="V952" i="1"/>
  <c r="U952" i="1"/>
  <c r="V951" i="1"/>
  <c r="U951" i="1"/>
  <c r="V950" i="1"/>
  <c r="U950" i="1"/>
  <c r="V949" i="1"/>
  <c r="U949" i="1"/>
  <c r="V948" i="1"/>
  <c r="U948" i="1"/>
  <c r="V947" i="1"/>
  <c r="U947" i="1"/>
  <c r="V946" i="1"/>
  <c r="U946" i="1"/>
  <c r="V945" i="1"/>
  <c r="U945" i="1"/>
  <c r="V944" i="1"/>
  <c r="U944" i="1"/>
  <c r="V943" i="1"/>
  <c r="U943" i="1"/>
  <c r="V942" i="1"/>
  <c r="U942" i="1"/>
  <c r="V941" i="1"/>
  <c r="U941" i="1"/>
  <c r="V940" i="1"/>
  <c r="U940" i="1"/>
  <c r="V939" i="1"/>
  <c r="U939" i="1"/>
  <c r="V938" i="1"/>
  <c r="U938" i="1"/>
  <c r="V937" i="1"/>
  <c r="U937" i="1"/>
  <c r="V936" i="1"/>
  <c r="U936" i="1"/>
  <c r="V935" i="1"/>
  <c r="U935" i="1"/>
  <c r="V934" i="1"/>
  <c r="U934" i="1"/>
  <c r="V933" i="1"/>
  <c r="U933" i="1"/>
  <c r="V932" i="1"/>
  <c r="U932" i="1"/>
  <c r="V931" i="1"/>
  <c r="U931" i="1"/>
  <c r="V930" i="1"/>
  <c r="U930" i="1"/>
  <c r="V929" i="1"/>
  <c r="U929" i="1"/>
  <c r="V928" i="1"/>
  <c r="U928" i="1"/>
  <c r="V927" i="1"/>
  <c r="U927" i="1"/>
  <c r="V926" i="1"/>
  <c r="U926" i="1"/>
  <c r="V925" i="1"/>
  <c r="U925" i="1"/>
  <c r="V924" i="1"/>
  <c r="U924" i="1"/>
  <c r="V923" i="1"/>
  <c r="U923" i="1"/>
  <c r="V922" i="1"/>
  <c r="U922" i="1"/>
  <c r="V921" i="1"/>
  <c r="U921" i="1"/>
  <c r="V920" i="1"/>
  <c r="U920" i="1"/>
  <c r="V919" i="1"/>
  <c r="U919" i="1"/>
  <c r="V918" i="1"/>
  <c r="U918" i="1"/>
  <c r="V917" i="1"/>
  <c r="U917" i="1"/>
  <c r="V916" i="1"/>
  <c r="U916" i="1"/>
  <c r="V915" i="1"/>
  <c r="U915" i="1"/>
  <c r="V914" i="1"/>
  <c r="U914" i="1"/>
  <c r="V913" i="1"/>
  <c r="U913" i="1"/>
  <c r="V912" i="1"/>
  <c r="U912" i="1"/>
  <c r="V911" i="1"/>
  <c r="U911" i="1"/>
  <c r="V910" i="1"/>
  <c r="U910" i="1"/>
  <c r="V909" i="1"/>
  <c r="U909" i="1"/>
  <c r="V908" i="1"/>
  <c r="U908" i="1"/>
  <c r="V907" i="1"/>
  <c r="U907" i="1"/>
  <c r="V906" i="1"/>
  <c r="U906" i="1"/>
  <c r="V905" i="1"/>
  <c r="U905" i="1"/>
  <c r="V904" i="1"/>
  <c r="U904" i="1"/>
  <c r="V903" i="1"/>
  <c r="U903" i="1"/>
  <c r="V902" i="1"/>
  <c r="U902" i="1"/>
  <c r="V901" i="1"/>
  <c r="U901" i="1"/>
  <c r="V900" i="1"/>
  <c r="U900" i="1"/>
  <c r="V899" i="1"/>
  <c r="U899" i="1"/>
  <c r="V898" i="1"/>
  <c r="U898" i="1"/>
  <c r="V897" i="1"/>
  <c r="U897" i="1"/>
  <c r="V896" i="1"/>
  <c r="U896" i="1"/>
  <c r="V895" i="1"/>
  <c r="U895" i="1"/>
  <c r="V894" i="1"/>
  <c r="U894" i="1"/>
  <c r="V893" i="1"/>
  <c r="U893" i="1"/>
  <c r="V892" i="1"/>
  <c r="U892" i="1"/>
  <c r="V891" i="1"/>
  <c r="U891" i="1"/>
  <c r="V890" i="1"/>
  <c r="U890" i="1"/>
  <c r="V889" i="1"/>
  <c r="U889" i="1"/>
  <c r="V888" i="1"/>
  <c r="U888" i="1"/>
  <c r="V887" i="1"/>
  <c r="U887" i="1"/>
  <c r="V886" i="1"/>
  <c r="U886" i="1"/>
  <c r="V885" i="1"/>
  <c r="U885" i="1"/>
  <c r="V884" i="1"/>
  <c r="U884" i="1"/>
  <c r="V883" i="1"/>
  <c r="U883" i="1"/>
  <c r="V882" i="1"/>
  <c r="U882" i="1"/>
  <c r="V881" i="1"/>
  <c r="U881" i="1"/>
  <c r="V880" i="1"/>
  <c r="U880" i="1"/>
  <c r="V879" i="1"/>
  <c r="U879" i="1"/>
  <c r="V878" i="1"/>
  <c r="U878" i="1"/>
  <c r="V877" i="1"/>
  <c r="U877" i="1"/>
  <c r="V876" i="1"/>
  <c r="U876" i="1"/>
  <c r="V875" i="1"/>
  <c r="U875" i="1"/>
  <c r="V874" i="1"/>
  <c r="U874" i="1"/>
  <c r="V873" i="1"/>
  <c r="U873" i="1"/>
  <c r="V872" i="1"/>
  <c r="U872" i="1"/>
  <c r="V871" i="1"/>
  <c r="U871" i="1"/>
  <c r="V870" i="1"/>
  <c r="U870" i="1"/>
  <c r="V869" i="1"/>
  <c r="U869" i="1"/>
  <c r="V868" i="1"/>
  <c r="U868" i="1"/>
  <c r="V867" i="1"/>
  <c r="U867" i="1"/>
  <c r="V866" i="1"/>
  <c r="U866" i="1"/>
  <c r="V865" i="1"/>
  <c r="U865" i="1"/>
  <c r="V864" i="1"/>
  <c r="U864" i="1"/>
  <c r="V863" i="1"/>
  <c r="U863" i="1"/>
  <c r="V862" i="1"/>
  <c r="U862" i="1"/>
  <c r="V861" i="1"/>
  <c r="U861" i="1"/>
  <c r="V860" i="1"/>
  <c r="U860" i="1"/>
  <c r="V859" i="1"/>
  <c r="U859" i="1"/>
  <c r="V858" i="1"/>
  <c r="U858" i="1"/>
  <c r="V857" i="1"/>
  <c r="U857" i="1"/>
  <c r="V856" i="1"/>
  <c r="U856" i="1"/>
  <c r="V855" i="1"/>
  <c r="U855" i="1"/>
  <c r="V854" i="1"/>
  <c r="U854" i="1"/>
  <c r="V853" i="1"/>
  <c r="U853" i="1"/>
  <c r="V852" i="1"/>
  <c r="U852" i="1"/>
  <c r="V851" i="1"/>
  <c r="U851" i="1"/>
  <c r="V850" i="1"/>
  <c r="U850" i="1"/>
  <c r="V849" i="1"/>
  <c r="U849" i="1"/>
  <c r="V848" i="1"/>
  <c r="U848" i="1"/>
  <c r="V847" i="1"/>
  <c r="U847" i="1"/>
  <c r="V846" i="1"/>
  <c r="U846" i="1"/>
  <c r="V845" i="1"/>
  <c r="U845" i="1"/>
  <c r="V844" i="1"/>
  <c r="U844" i="1"/>
  <c r="V843" i="1"/>
  <c r="U843" i="1"/>
  <c r="V842" i="1"/>
  <c r="U842" i="1"/>
  <c r="V841" i="1"/>
  <c r="U841" i="1"/>
  <c r="V840" i="1"/>
  <c r="U840" i="1"/>
  <c r="V839" i="1"/>
  <c r="U839" i="1"/>
  <c r="V838" i="1"/>
  <c r="U838" i="1"/>
  <c r="V837" i="1"/>
  <c r="U837" i="1"/>
  <c r="V836" i="1"/>
  <c r="U836" i="1"/>
  <c r="V835" i="1"/>
  <c r="U835" i="1"/>
  <c r="V834" i="1"/>
  <c r="U834" i="1"/>
  <c r="V833" i="1"/>
  <c r="U833" i="1"/>
  <c r="V832" i="1"/>
  <c r="U832" i="1"/>
  <c r="V831" i="1"/>
  <c r="U831" i="1"/>
  <c r="V830" i="1"/>
  <c r="U830" i="1"/>
  <c r="V829" i="1"/>
  <c r="U829" i="1"/>
  <c r="V828" i="1"/>
  <c r="U828" i="1"/>
  <c r="V827" i="1"/>
  <c r="U827" i="1"/>
  <c r="V826" i="1"/>
  <c r="U826" i="1"/>
  <c r="V825" i="1"/>
  <c r="U825" i="1"/>
  <c r="V824" i="1"/>
  <c r="U824" i="1"/>
  <c r="V823" i="1"/>
  <c r="U823" i="1"/>
  <c r="V822" i="1"/>
  <c r="U822" i="1"/>
  <c r="V821" i="1"/>
  <c r="U821" i="1"/>
  <c r="V820" i="1"/>
  <c r="U820" i="1"/>
  <c r="V819" i="1"/>
  <c r="U819" i="1"/>
  <c r="V818" i="1"/>
  <c r="U818" i="1"/>
  <c r="V817" i="1"/>
  <c r="U817" i="1"/>
  <c r="V816" i="1"/>
  <c r="U816" i="1"/>
  <c r="V815" i="1"/>
  <c r="U815" i="1"/>
  <c r="V814" i="1"/>
  <c r="U814" i="1"/>
  <c r="V813" i="1"/>
  <c r="U813" i="1"/>
  <c r="V812" i="1"/>
  <c r="U812" i="1"/>
  <c r="V811" i="1"/>
  <c r="U811" i="1"/>
  <c r="V810" i="1"/>
  <c r="U810" i="1"/>
  <c r="V809" i="1"/>
  <c r="U809" i="1"/>
  <c r="V808" i="1"/>
  <c r="U808" i="1"/>
  <c r="V807" i="1"/>
  <c r="U807" i="1"/>
  <c r="V806" i="1"/>
  <c r="U806" i="1"/>
  <c r="V805" i="1"/>
  <c r="U805" i="1"/>
  <c r="V804" i="1"/>
  <c r="U804" i="1"/>
  <c r="V803" i="1"/>
  <c r="U803" i="1"/>
  <c r="V802" i="1"/>
  <c r="U802" i="1"/>
  <c r="V801" i="1"/>
  <c r="U801" i="1"/>
  <c r="V800" i="1"/>
  <c r="U800" i="1"/>
  <c r="V799" i="1"/>
  <c r="U799" i="1"/>
  <c r="V798" i="1"/>
  <c r="U798" i="1"/>
  <c r="V797" i="1"/>
  <c r="U797" i="1"/>
  <c r="V796" i="1"/>
  <c r="U796" i="1"/>
  <c r="V795" i="1"/>
  <c r="U795" i="1"/>
  <c r="V794" i="1"/>
  <c r="U794" i="1"/>
  <c r="V793" i="1"/>
  <c r="U793" i="1"/>
  <c r="V792" i="1"/>
  <c r="U792" i="1"/>
  <c r="V791" i="1"/>
  <c r="U791" i="1"/>
  <c r="V790" i="1"/>
  <c r="U790" i="1"/>
  <c r="V789" i="1"/>
  <c r="U789" i="1"/>
  <c r="V788" i="1"/>
  <c r="U788" i="1"/>
  <c r="V787" i="1"/>
  <c r="U787" i="1"/>
  <c r="V786" i="1"/>
  <c r="U786" i="1"/>
  <c r="V785" i="1"/>
  <c r="U785" i="1"/>
  <c r="V784" i="1"/>
  <c r="U784" i="1"/>
  <c r="V783" i="1"/>
  <c r="U783" i="1"/>
  <c r="V782" i="1"/>
  <c r="U782" i="1"/>
  <c r="V781" i="1"/>
  <c r="U781" i="1"/>
  <c r="V780" i="1"/>
  <c r="U780" i="1"/>
  <c r="V779" i="1"/>
  <c r="U779" i="1"/>
  <c r="V778" i="1"/>
  <c r="U778" i="1"/>
  <c r="V777" i="1"/>
  <c r="U777" i="1"/>
  <c r="V776" i="1"/>
  <c r="U776" i="1"/>
  <c r="V775" i="1"/>
  <c r="U775" i="1"/>
  <c r="V774" i="1"/>
  <c r="U774" i="1"/>
  <c r="V773" i="1"/>
  <c r="U773" i="1"/>
  <c r="V772" i="1"/>
  <c r="U772" i="1"/>
  <c r="V771" i="1"/>
  <c r="U771" i="1"/>
  <c r="V770" i="1"/>
  <c r="U770" i="1"/>
  <c r="V769" i="1"/>
  <c r="U769" i="1"/>
  <c r="V768" i="1"/>
  <c r="U768" i="1"/>
  <c r="V767" i="1"/>
  <c r="U767" i="1"/>
  <c r="V766" i="1"/>
  <c r="U766" i="1"/>
  <c r="V765" i="1"/>
  <c r="U765" i="1"/>
  <c r="V764" i="1"/>
  <c r="U764" i="1"/>
  <c r="V763" i="1"/>
  <c r="U763" i="1"/>
  <c r="V762" i="1"/>
  <c r="U762" i="1"/>
  <c r="V761" i="1"/>
  <c r="U761" i="1"/>
  <c r="V760" i="1"/>
  <c r="U760" i="1"/>
  <c r="V759" i="1"/>
  <c r="U759" i="1"/>
  <c r="V758" i="1"/>
  <c r="U758" i="1"/>
  <c r="V757" i="1"/>
  <c r="U757" i="1"/>
  <c r="V756" i="1"/>
  <c r="U756" i="1"/>
  <c r="V755" i="1"/>
  <c r="U755" i="1"/>
  <c r="V754" i="1"/>
  <c r="U754" i="1"/>
  <c r="V753" i="1"/>
  <c r="U753" i="1"/>
  <c r="V752" i="1"/>
  <c r="U752" i="1"/>
  <c r="V751" i="1"/>
  <c r="U751" i="1"/>
  <c r="V750" i="1"/>
  <c r="U750" i="1"/>
  <c r="V749" i="1"/>
  <c r="U749" i="1"/>
  <c r="V748" i="1"/>
  <c r="U748" i="1"/>
  <c r="V747" i="1"/>
  <c r="U747" i="1"/>
  <c r="V746" i="1"/>
  <c r="U746" i="1"/>
  <c r="V745" i="1"/>
  <c r="U745" i="1"/>
  <c r="V744" i="1"/>
  <c r="U744" i="1"/>
  <c r="V743" i="1"/>
  <c r="U743" i="1"/>
  <c r="V742" i="1"/>
  <c r="U742" i="1"/>
  <c r="V741" i="1"/>
  <c r="U741" i="1"/>
  <c r="V740" i="1"/>
  <c r="U740" i="1"/>
  <c r="V739" i="1"/>
  <c r="U739" i="1"/>
  <c r="V738" i="1"/>
  <c r="U738" i="1"/>
  <c r="V737" i="1"/>
  <c r="U737" i="1"/>
  <c r="V736" i="1"/>
  <c r="U736" i="1"/>
  <c r="V735" i="1"/>
  <c r="U735" i="1"/>
  <c r="V734" i="1"/>
  <c r="U734" i="1"/>
  <c r="V733" i="1"/>
  <c r="U733" i="1"/>
  <c r="V732" i="1"/>
  <c r="U732" i="1"/>
  <c r="V731" i="1"/>
  <c r="U731" i="1"/>
  <c r="V730" i="1"/>
  <c r="U730" i="1"/>
  <c r="V729" i="1"/>
  <c r="U729" i="1"/>
  <c r="V728" i="1"/>
  <c r="U728" i="1"/>
  <c r="V727" i="1"/>
  <c r="U727" i="1"/>
  <c r="V726" i="1"/>
  <c r="U726" i="1"/>
  <c r="V725" i="1"/>
  <c r="U725" i="1"/>
  <c r="V724" i="1"/>
  <c r="U724" i="1"/>
  <c r="V723" i="1"/>
  <c r="U723" i="1"/>
  <c r="V722" i="1"/>
  <c r="U722" i="1"/>
  <c r="V721" i="1"/>
  <c r="U721" i="1"/>
  <c r="V720" i="1"/>
  <c r="U720" i="1"/>
  <c r="V719" i="1"/>
  <c r="U719" i="1"/>
  <c r="V718" i="1"/>
  <c r="U718" i="1"/>
  <c r="V717" i="1"/>
  <c r="U717" i="1"/>
  <c r="V716" i="1"/>
  <c r="U716" i="1"/>
  <c r="V715" i="1"/>
  <c r="U715" i="1"/>
  <c r="V714" i="1"/>
  <c r="U714" i="1"/>
  <c r="V713" i="1"/>
  <c r="U713" i="1"/>
  <c r="V712" i="1"/>
  <c r="U712" i="1"/>
  <c r="V711" i="1"/>
  <c r="U711" i="1"/>
  <c r="V710" i="1"/>
  <c r="U710" i="1"/>
  <c r="V709" i="1"/>
  <c r="U709" i="1"/>
  <c r="V708" i="1"/>
  <c r="U708" i="1"/>
  <c r="V707" i="1"/>
  <c r="U707" i="1"/>
  <c r="V706" i="1"/>
  <c r="U706" i="1"/>
  <c r="V705" i="1"/>
  <c r="U705" i="1"/>
  <c r="V704" i="1"/>
  <c r="U704" i="1"/>
  <c r="V703" i="1"/>
  <c r="U703" i="1"/>
  <c r="V702" i="1"/>
  <c r="U702" i="1"/>
  <c r="V701" i="1"/>
  <c r="U701" i="1"/>
  <c r="V700" i="1"/>
  <c r="U700" i="1"/>
  <c r="V699" i="1"/>
  <c r="U699" i="1"/>
  <c r="V698" i="1"/>
  <c r="U698" i="1"/>
  <c r="V697" i="1"/>
  <c r="U697" i="1"/>
  <c r="V696" i="1"/>
  <c r="U696" i="1"/>
  <c r="V695" i="1"/>
  <c r="U695" i="1"/>
  <c r="V694" i="1"/>
  <c r="U694" i="1"/>
  <c r="V693" i="1"/>
  <c r="U693" i="1"/>
  <c r="V692" i="1"/>
  <c r="U692" i="1"/>
  <c r="V691" i="1"/>
  <c r="U691" i="1"/>
  <c r="V690" i="1"/>
  <c r="U690" i="1"/>
  <c r="V689" i="1"/>
  <c r="U689" i="1"/>
  <c r="V688" i="1"/>
  <c r="U688" i="1"/>
  <c r="V687" i="1"/>
  <c r="U687" i="1"/>
  <c r="V686" i="1"/>
  <c r="U686" i="1"/>
  <c r="V685" i="1"/>
  <c r="U685" i="1"/>
  <c r="V684" i="1"/>
  <c r="U684" i="1"/>
  <c r="V683" i="1"/>
  <c r="U683" i="1"/>
  <c r="V682" i="1"/>
  <c r="U682" i="1"/>
  <c r="V681" i="1"/>
  <c r="U681" i="1"/>
  <c r="V680" i="1"/>
  <c r="U680" i="1"/>
  <c r="V679" i="1"/>
  <c r="U679" i="1"/>
  <c r="V678" i="1"/>
  <c r="U678" i="1"/>
  <c r="V677" i="1"/>
  <c r="U677" i="1"/>
  <c r="V676" i="1"/>
  <c r="U676" i="1"/>
  <c r="V675" i="1"/>
  <c r="U675" i="1"/>
  <c r="V674" i="1"/>
  <c r="U674" i="1"/>
  <c r="V673" i="1"/>
  <c r="U673" i="1"/>
  <c r="V672" i="1"/>
  <c r="U672" i="1"/>
  <c r="V671" i="1"/>
  <c r="U671" i="1"/>
  <c r="V670" i="1"/>
  <c r="U670" i="1"/>
  <c r="V669" i="1"/>
  <c r="U669" i="1"/>
  <c r="V668" i="1"/>
  <c r="U668" i="1"/>
  <c r="V667" i="1"/>
  <c r="U667" i="1"/>
  <c r="V666" i="1"/>
  <c r="U666" i="1"/>
  <c r="V665" i="1"/>
  <c r="U665" i="1"/>
  <c r="V664" i="1"/>
  <c r="U664" i="1"/>
  <c r="V663" i="1"/>
  <c r="U663" i="1"/>
  <c r="V662" i="1"/>
  <c r="U662" i="1"/>
  <c r="V661" i="1"/>
  <c r="U661" i="1"/>
  <c r="V660" i="1"/>
  <c r="U660" i="1"/>
  <c r="V659" i="1"/>
  <c r="U659" i="1"/>
  <c r="V658" i="1"/>
  <c r="U658" i="1"/>
  <c r="V657" i="1"/>
  <c r="U657" i="1"/>
  <c r="V656" i="1"/>
  <c r="U656" i="1"/>
  <c r="V655" i="1"/>
  <c r="U655" i="1"/>
  <c r="V654" i="1"/>
  <c r="U654" i="1"/>
  <c r="V653" i="1"/>
  <c r="U653" i="1"/>
  <c r="V652" i="1"/>
  <c r="U652" i="1"/>
  <c r="V651" i="1"/>
  <c r="U651" i="1"/>
  <c r="V650" i="1"/>
  <c r="U650" i="1"/>
  <c r="V649" i="1"/>
  <c r="U649" i="1"/>
  <c r="V648" i="1"/>
  <c r="U648" i="1"/>
  <c r="V647" i="1"/>
  <c r="U647" i="1"/>
  <c r="V646" i="1"/>
  <c r="U646" i="1"/>
  <c r="V645" i="1"/>
  <c r="U645" i="1"/>
  <c r="V644" i="1"/>
  <c r="U644" i="1"/>
  <c r="V643" i="1"/>
  <c r="U643" i="1"/>
  <c r="V642" i="1"/>
  <c r="U642" i="1"/>
  <c r="V641" i="1"/>
  <c r="U641" i="1"/>
  <c r="V640" i="1"/>
  <c r="U640" i="1"/>
  <c r="V639" i="1"/>
  <c r="U639" i="1"/>
  <c r="V638" i="1"/>
  <c r="U638" i="1"/>
  <c r="V637" i="1"/>
  <c r="U637" i="1"/>
  <c r="V636" i="1"/>
  <c r="U636" i="1"/>
  <c r="V635" i="1"/>
  <c r="U635" i="1"/>
  <c r="V634" i="1"/>
  <c r="U634" i="1"/>
  <c r="V633" i="1"/>
  <c r="U633" i="1"/>
  <c r="V632" i="1"/>
  <c r="U632" i="1"/>
  <c r="V631" i="1"/>
  <c r="U631" i="1"/>
  <c r="V630" i="1"/>
  <c r="U630" i="1"/>
  <c r="V629" i="1"/>
  <c r="U629" i="1"/>
  <c r="V628" i="1"/>
  <c r="U628" i="1"/>
  <c r="V627" i="1"/>
  <c r="U627" i="1"/>
  <c r="V626" i="1"/>
  <c r="U626" i="1"/>
  <c r="V625" i="1"/>
  <c r="U625" i="1"/>
  <c r="V624" i="1"/>
  <c r="U624" i="1"/>
  <c r="V623" i="1"/>
  <c r="U623" i="1"/>
  <c r="V622" i="1"/>
  <c r="U622" i="1"/>
  <c r="V621" i="1"/>
  <c r="U621" i="1"/>
  <c r="V620" i="1"/>
  <c r="U620" i="1"/>
  <c r="V619" i="1"/>
  <c r="U619" i="1"/>
  <c r="V618" i="1"/>
  <c r="U618" i="1"/>
  <c r="V617" i="1"/>
  <c r="U617" i="1"/>
  <c r="V616" i="1"/>
  <c r="U616" i="1"/>
  <c r="V615" i="1"/>
  <c r="U615" i="1"/>
  <c r="V614" i="1"/>
  <c r="U614" i="1"/>
  <c r="V613" i="1"/>
  <c r="U613" i="1"/>
  <c r="V612" i="1"/>
  <c r="U612" i="1"/>
  <c r="V611" i="1"/>
  <c r="U611" i="1"/>
  <c r="V610" i="1"/>
  <c r="U610" i="1"/>
  <c r="V609" i="1"/>
  <c r="U609" i="1"/>
  <c r="V608" i="1"/>
  <c r="U608" i="1"/>
  <c r="V607" i="1"/>
  <c r="U607" i="1"/>
  <c r="V606" i="1"/>
  <c r="U606" i="1"/>
  <c r="V605" i="1"/>
  <c r="U605" i="1"/>
  <c r="V604" i="1"/>
  <c r="U604" i="1"/>
  <c r="V603" i="1"/>
  <c r="U603" i="1"/>
  <c r="V602" i="1"/>
  <c r="U602" i="1"/>
  <c r="V601" i="1"/>
  <c r="U601" i="1"/>
  <c r="V600" i="1"/>
  <c r="U600" i="1"/>
  <c r="V599" i="1"/>
  <c r="U599" i="1"/>
  <c r="V598" i="1"/>
  <c r="U598" i="1"/>
  <c r="V597" i="1"/>
  <c r="U597" i="1"/>
  <c r="V596" i="1"/>
  <c r="U596" i="1"/>
  <c r="V595" i="1"/>
  <c r="U595" i="1"/>
  <c r="V594" i="1"/>
  <c r="U594" i="1"/>
  <c r="V593" i="1"/>
  <c r="U593" i="1"/>
  <c r="V592" i="1"/>
  <c r="U592" i="1"/>
  <c r="V591" i="1"/>
  <c r="U591" i="1"/>
  <c r="V590" i="1"/>
  <c r="U590" i="1"/>
  <c r="V589" i="1"/>
  <c r="U589" i="1"/>
  <c r="V588" i="1"/>
  <c r="U588" i="1"/>
  <c r="V587" i="1"/>
  <c r="U587" i="1"/>
  <c r="V586" i="1"/>
  <c r="U586" i="1"/>
  <c r="V585" i="1"/>
  <c r="U585" i="1"/>
  <c r="V584" i="1"/>
  <c r="U584" i="1"/>
  <c r="V583" i="1"/>
  <c r="U583" i="1"/>
  <c r="V582" i="1"/>
  <c r="U582" i="1"/>
  <c r="V581" i="1"/>
  <c r="U581" i="1"/>
  <c r="V580" i="1"/>
  <c r="U580" i="1"/>
  <c r="V579" i="1"/>
  <c r="U579" i="1"/>
  <c r="V578" i="1"/>
  <c r="U578" i="1"/>
  <c r="V577" i="1"/>
  <c r="U577" i="1"/>
  <c r="V576" i="1"/>
  <c r="U576" i="1"/>
  <c r="V575" i="1"/>
  <c r="U575" i="1"/>
  <c r="V574" i="1"/>
  <c r="U574" i="1"/>
  <c r="V573" i="1"/>
  <c r="U573" i="1"/>
  <c r="V572" i="1"/>
  <c r="U572" i="1"/>
  <c r="V571" i="1"/>
  <c r="U571" i="1"/>
  <c r="V570" i="1"/>
  <c r="U570" i="1"/>
  <c r="V569" i="1"/>
  <c r="U569" i="1"/>
  <c r="V568" i="1"/>
  <c r="U568" i="1"/>
  <c r="V567" i="1"/>
  <c r="U567" i="1"/>
  <c r="V566" i="1"/>
  <c r="U566" i="1"/>
  <c r="V565" i="1"/>
  <c r="U565" i="1"/>
  <c r="V564" i="1"/>
  <c r="U564" i="1"/>
  <c r="V563" i="1"/>
  <c r="U563" i="1"/>
  <c r="V562" i="1"/>
  <c r="U562" i="1"/>
  <c r="V561" i="1"/>
  <c r="U561" i="1"/>
  <c r="V560" i="1"/>
  <c r="U560" i="1"/>
  <c r="V559" i="1"/>
  <c r="U559" i="1"/>
  <c r="V558" i="1"/>
  <c r="U558" i="1"/>
  <c r="V557" i="1"/>
  <c r="U557" i="1"/>
  <c r="V556" i="1"/>
  <c r="U556" i="1"/>
  <c r="V555" i="1"/>
  <c r="U555" i="1"/>
  <c r="V554" i="1"/>
  <c r="U554" i="1"/>
  <c r="V553" i="1"/>
  <c r="U553" i="1"/>
  <c r="V552" i="1"/>
  <c r="U552" i="1"/>
  <c r="V551" i="1"/>
  <c r="U551" i="1"/>
  <c r="V550" i="1"/>
  <c r="U550" i="1"/>
  <c r="V549" i="1"/>
  <c r="U549" i="1"/>
  <c r="V548" i="1"/>
  <c r="U548" i="1"/>
  <c r="V547" i="1"/>
  <c r="U547" i="1"/>
  <c r="V546" i="1"/>
  <c r="U546" i="1"/>
  <c r="V545" i="1"/>
  <c r="U545" i="1"/>
  <c r="V544" i="1"/>
  <c r="U544" i="1"/>
  <c r="V543" i="1"/>
  <c r="U543" i="1"/>
  <c r="V542" i="1"/>
  <c r="U542" i="1"/>
  <c r="V541" i="1"/>
  <c r="U541" i="1"/>
  <c r="V540" i="1"/>
  <c r="U540" i="1"/>
  <c r="V539" i="1"/>
  <c r="U539" i="1"/>
  <c r="V538" i="1"/>
  <c r="U538" i="1"/>
  <c r="V537" i="1"/>
  <c r="U537" i="1"/>
  <c r="V536" i="1"/>
  <c r="U536" i="1"/>
  <c r="V535" i="1"/>
  <c r="U535" i="1"/>
  <c r="V534" i="1"/>
  <c r="U534" i="1"/>
  <c r="V533" i="1"/>
  <c r="U533" i="1"/>
  <c r="V532" i="1"/>
  <c r="U532" i="1"/>
  <c r="V531" i="1"/>
  <c r="U531" i="1"/>
  <c r="V530" i="1"/>
  <c r="U530" i="1"/>
  <c r="V529" i="1"/>
  <c r="U529" i="1"/>
  <c r="V528" i="1"/>
  <c r="U528" i="1"/>
  <c r="V527" i="1"/>
  <c r="U527" i="1"/>
  <c r="V526" i="1"/>
  <c r="U526" i="1"/>
  <c r="V525" i="1"/>
  <c r="U525" i="1"/>
  <c r="V524" i="1"/>
  <c r="U524" i="1"/>
  <c r="V523" i="1"/>
  <c r="U523" i="1"/>
  <c r="V522" i="1"/>
  <c r="U522" i="1"/>
  <c r="V521" i="1"/>
  <c r="U521" i="1"/>
  <c r="V520" i="1"/>
  <c r="U520" i="1"/>
  <c r="V519" i="1"/>
  <c r="U519" i="1"/>
  <c r="V518" i="1"/>
  <c r="U518" i="1"/>
  <c r="V517" i="1"/>
  <c r="U517" i="1"/>
  <c r="V516" i="1"/>
  <c r="U516" i="1"/>
  <c r="V515" i="1"/>
  <c r="U515" i="1"/>
  <c r="V514" i="1"/>
  <c r="U514" i="1"/>
  <c r="V513" i="1"/>
  <c r="U513" i="1"/>
  <c r="V512" i="1"/>
  <c r="U512" i="1"/>
  <c r="V511" i="1"/>
  <c r="U511" i="1"/>
  <c r="V510" i="1"/>
  <c r="U510" i="1"/>
  <c r="V509" i="1"/>
  <c r="U509" i="1"/>
  <c r="V508" i="1"/>
  <c r="U508" i="1"/>
  <c r="V507" i="1"/>
  <c r="U507" i="1"/>
  <c r="V506" i="1"/>
  <c r="U506" i="1"/>
  <c r="V505" i="1"/>
  <c r="U505" i="1"/>
  <c r="V504" i="1"/>
  <c r="U504" i="1"/>
  <c r="V503" i="1"/>
  <c r="U503" i="1"/>
  <c r="V502" i="1"/>
  <c r="U502" i="1"/>
  <c r="V501" i="1"/>
  <c r="U501" i="1"/>
  <c r="V500" i="1"/>
  <c r="U500" i="1"/>
  <c r="V499" i="1"/>
  <c r="U499" i="1"/>
  <c r="V498" i="1"/>
  <c r="U498" i="1"/>
  <c r="V497" i="1"/>
  <c r="U497" i="1"/>
  <c r="V496" i="1"/>
  <c r="U496" i="1"/>
  <c r="V495" i="1"/>
  <c r="U495" i="1"/>
  <c r="V494" i="1"/>
  <c r="U494" i="1"/>
  <c r="V493" i="1"/>
  <c r="U493" i="1"/>
  <c r="V492" i="1"/>
  <c r="U492" i="1"/>
  <c r="V491" i="1"/>
  <c r="U491" i="1"/>
  <c r="V490" i="1"/>
  <c r="U490" i="1"/>
  <c r="V489" i="1"/>
  <c r="U489" i="1"/>
  <c r="V488" i="1"/>
  <c r="U488" i="1"/>
  <c r="V487" i="1"/>
  <c r="U487" i="1"/>
  <c r="V486" i="1"/>
  <c r="U486" i="1"/>
  <c r="V485" i="1"/>
  <c r="U485" i="1"/>
  <c r="V484" i="1"/>
  <c r="U484" i="1"/>
  <c r="V483" i="1"/>
  <c r="U483" i="1"/>
  <c r="V482" i="1"/>
  <c r="U482" i="1"/>
  <c r="V481" i="1"/>
  <c r="U481" i="1"/>
  <c r="V480" i="1"/>
  <c r="U480" i="1"/>
  <c r="V479" i="1"/>
  <c r="U479" i="1"/>
  <c r="V478" i="1"/>
  <c r="U478" i="1"/>
  <c r="V477" i="1"/>
  <c r="U477" i="1"/>
  <c r="V476" i="1"/>
  <c r="U476" i="1"/>
  <c r="V475" i="1"/>
  <c r="U475" i="1"/>
  <c r="V474" i="1"/>
  <c r="U474" i="1"/>
  <c r="V473" i="1"/>
  <c r="U473" i="1"/>
  <c r="V472" i="1"/>
  <c r="U472" i="1"/>
  <c r="V471" i="1"/>
  <c r="U471" i="1"/>
  <c r="V470" i="1"/>
  <c r="U470" i="1"/>
  <c r="V469" i="1"/>
  <c r="U469" i="1"/>
  <c r="V468" i="1"/>
  <c r="U468" i="1"/>
  <c r="V467" i="1"/>
  <c r="U467" i="1"/>
  <c r="V466" i="1"/>
  <c r="U466" i="1"/>
  <c r="V465" i="1"/>
  <c r="U465" i="1"/>
  <c r="V464" i="1"/>
  <c r="U464" i="1"/>
  <c r="V463" i="1"/>
  <c r="U463" i="1"/>
  <c r="V462" i="1"/>
  <c r="U462" i="1"/>
  <c r="V461" i="1"/>
  <c r="U461" i="1"/>
  <c r="V460" i="1"/>
  <c r="U460" i="1"/>
  <c r="V459" i="1"/>
  <c r="U459" i="1"/>
  <c r="V458" i="1"/>
  <c r="U458" i="1"/>
  <c r="V457" i="1"/>
  <c r="U457" i="1"/>
  <c r="V456" i="1"/>
  <c r="U456" i="1"/>
  <c r="V455" i="1"/>
  <c r="U455" i="1"/>
  <c r="V454" i="1"/>
  <c r="U454" i="1"/>
  <c r="V453" i="1"/>
  <c r="U453" i="1"/>
  <c r="V452" i="1"/>
  <c r="U452" i="1"/>
  <c r="V451" i="1"/>
  <c r="U451" i="1"/>
  <c r="V450" i="1"/>
  <c r="U450" i="1"/>
  <c r="V449" i="1"/>
  <c r="U449" i="1"/>
  <c r="V448" i="1"/>
  <c r="U448" i="1"/>
  <c r="V447" i="1"/>
  <c r="U447" i="1"/>
  <c r="V446" i="1"/>
  <c r="U446" i="1"/>
  <c r="V445" i="1"/>
  <c r="U445" i="1"/>
  <c r="V444" i="1"/>
  <c r="U444" i="1"/>
  <c r="V443" i="1"/>
  <c r="U443" i="1"/>
  <c r="V442" i="1"/>
  <c r="U442" i="1"/>
  <c r="V441" i="1"/>
  <c r="U441" i="1"/>
  <c r="V440" i="1"/>
  <c r="U440" i="1"/>
  <c r="V439" i="1"/>
  <c r="U439" i="1"/>
  <c r="V438" i="1"/>
  <c r="U438" i="1"/>
  <c r="V437" i="1"/>
  <c r="U437" i="1"/>
  <c r="V436" i="1"/>
  <c r="U436" i="1"/>
  <c r="V435" i="1"/>
  <c r="U435" i="1"/>
  <c r="V434" i="1"/>
  <c r="U434" i="1"/>
  <c r="V433" i="1"/>
  <c r="U433" i="1"/>
  <c r="V432" i="1"/>
  <c r="U432" i="1"/>
  <c r="V431" i="1"/>
  <c r="U431" i="1"/>
  <c r="V430" i="1"/>
  <c r="U430" i="1"/>
  <c r="V429" i="1"/>
  <c r="U429" i="1"/>
  <c r="V428" i="1"/>
  <c r="U428" i="1"/>
  <c r="V427" i="1"/>
  <c r="U427" i="1"/>
  <c r="V426" i="1"/>
  <c r="U426" i="1"/>
  <c r="V425" i="1"/>
  <c r="U425" i="1"/>
  <c r="V424" i="1"/>
  <c r="U424" i="1"/>
  <c r="V423" i="1"/>
  <c r="U423" i="1"/>
  <c r="V422" i="1"/>
  <c r="U422" i="1"/>
  <c r="V421" i="1"/>
  <c r="U421" i="1"/>
  <c r="V420" i="1"/>
  <c r="U420" i="1"/>
  <c r="V419" i="1"/>
  <c r="U419" i="1"/>
  <c r="V418" i="1"/>
  <c r="U418" i="1"/>
  <c r="V417" i="1"/>
  <c r="U417" i="1"/>
  <c r="V416" i="1"/>
  <c r="U416" i="1"/>
  <c r="V415" i="1"/>
  <c r="U415" i="1"/>
  <c r="V414" i="1"/>
  <c r="U414" i="1"/>
  <c r="V413" i="1"/>
  <c r="U413" i="1"/>
  <c r="V412" i="1"/>
  <c r="U412" i="1"/>
  <c r="V411" i="1"/>
  <c r="U411" i="1"/>
  <c r="V410" i="1"/>
  <c r="U410" i="1"/>
  <c r="V409" i="1"/>
  <c r="U409" i="1"/>
  <c r="V408" i="1"/>
  <c r="U408" i="1"/>
  <c r="V407" i="1"/>
  <c r="U407" i="1"/>
  <c r="V406" i="1"/>
  <c r="U406" i="1"/>
  <c r="V405" i="1"/>
  <c r="U405" i="1"/>
  <c r="V404" i="1"/>
  <c r="U404" i="1"/>
  <c r="V403" i="1"/>
  <c r="U403" i="1"/>
  <c r="V402" i="1"/>
  <c r="U402" i="1"/>
  <c r="V401" i="1"/>
  <c r="U401" i="1"/>
  <c r="V400" i="1"/>
  <c r="U400" i="1"/>
  <c r="V399" i="1"/>
  <c r="U399" i="1"/>
  <c r="V398" i="1"/>
  <c r="U398" i="1"/>
  <c r="V397" i="1"/>
  <c r="U397" i="1"/>
  <c r="V396" i="1"/>
  <c r="U396" i="1"/>
  <c r="V395" i="1"/>
  <c r="U395" i="1"/>
  <c r="V394" i="1"/>
  <c r="U394" i="1"/>
  <c r="V393" i="1"/>
  <c r="U393" i="1"/>
  <c r="V392" i="1"/>
  <c r="U392" i="1"/>
  <c r="V391" i="1"/>
  <c r="U391" i="1"/>
  <c r="V390" i="1"/>
  <c r="U390" i="1"/>
  <c r="V389" i="1"/>
  <c r="U389" i="1"/>
  <c r="V388" i="1"/>
  <c r="U388" i="1"/>
  <c r="V387" i="1"/>
  <c r="U387" i="1"/>
  <c r="V386" i="1"/>
  <c r="U386" i="1"/>
  <c r="V385" i="1"/>
  <c r="U385" i="1"/>
  <c r="V384" i="1"/>
  <c r="U384" i="1"/>
  <c r="V383" i="1"/>
  <c r="U383" i="1"/>
  <c r="V382" i="1"/>
  <c r="U382" i="1"/>
  <c r="V381" i="1"/>
  <c r="U381" i="1"/>
  <c r="V380" i="1"/>
  <c r="U380" i="1"/>
  <c r="V379" i="1"/>
  <c r="U379" i="1"/>
  <c r="V378" i="1"/>
  <c r="U378" i="1"/>
  <c r="V377" i="1"/>
  <c r="U377" i="1"/>
  <c r="V376" i="1"/>
  <c r="U376" i="1"/>
  <c r="V375" i="1"/>
  <c r="U375" i="1"/>
  <c r="V374" i="1"/>
  <c r="U374" i="1"/>
  <c r="V373" i="1"/>
  <c r="U373" i="1"/>
  <c r="V372" i="1"/>
  <c r="U372" i="1"/>
  <c r="V371" i="1"/>
  <c r="U371" i="1"/>
  <c r="V370" i="1"/>
  <c r="U370" i="1"/>
  <c r="V369" i="1"/>
  <c r="U369" i="1"/>
  <c r="V368" i="1"/>
  <c r="U368" i="1"/>
  <c r="V367" i="1"/>
  <c r="U367" i="1"/>
  <c r="V366" i="1"/>
  <c r="U366" i="1"/>
  <c r="V365" i="1"/>
  <c r="U365" i="1"/>
  <c r="V364" i="1"/>
  <c r="U364" i="1"/>
  <c r="V363" i="1"/>
  <c r="U363" i="1"/>
  <c r="V362" i="1"/>
  <c r="U362" i="1"/>
  <c r="V361" i="1"/>
  <c r="U361" i="1"/>
  <c r="V360" i="1"/>
  <c r="U360" i="1"/>
  <c r="V359" i="1"/>
  <c r="U359" i="1"/>
  <c r="V358" i="1"/>
  <c r="U358" i="1"/>
  <c r="V357" i="1"/>
  <c r="U357" i="1"/>
  <c r="V356" i="1"/>
  <c r="U356" i="1"/>
  <c r="V355" i="1"/>
  <c r="U355" i="1"/>
  <c r="V354" i="1"/>
  <c r="U354" i="1"/>
  <c r="V353" i="1"/>
  <c r="U353" i="1"/>
  <c r="V352" i="1"/>
  <c r="U352" i="1"/>
  <c r="V351" i="1"/>
  <c r="U351" i="1"/>
  <c r="V350" i="1"/>
  <c r="U350" i="1"/>
  <c r="V349" i="1"/>
  <c r="U349" i="1"/>
  <c r="V348" i="1"/>
  <c r="U348" i="1"/>
  <c r="V347" i="1"/>
  <c r="U347" i="1"/>
  <c r="V346" i="1"/>
  <c r="U346" i="1"/>
  <c r="V345" i="1"/>
  <c r="U345" i="1"/>
  <c r="V344" i="1"/>
  <c r="U344" i="1"/>
  <c r="V343" i="1"/>
  <c r="U343" i="1"/>
  <c r="V342" i="1"/>
  <c r="U342" i="1"/>
  <c r="V341" i="1"/>
  <c r="U341" i="1"/>
  <c r="V340" i="1"/>
  <c r="U340" i="1"/>
  <c r="V339" i="1"/>
  <c r="U339" i="1"/>
  <c r="V338" i="1"/>
  <c r="U338" i="1"/>
  <c r="V337" i="1"/>
  <c r="U337" i="1"/>
  <c r="V336" i="1"/>
  <c r="U336" i="1"/>
  <c r="V335" i="1"/>
  <c r="U335" i="1"/>
  <c r="V334" i="1"/>
  <c r="U334" i="1"/>
  <c r="V333" i="1"/>
  <c r="U333" i="1"/>
  <c r="V332" i="1"/>
  <c r="U332" i="1"/>
  <c r="V331" i="1"/>
  <c r="U331" i="1"/>
  <c r="V330" i="1"/>
  <c r="U330" i="1"/>
  <c r="V329" i="1"/>
  <c r="U329" i="1"/>
  <c r="V328" i="1"/>
  <c r="U328" i="1"/>
  <c r="V327" i="1"/>
  <c r="U327" i="1"/>
  <c r="V326" i="1"/>
  <c r="U326" i="1"/>
  <c r="V325" i="1"/>
  <c r="U325" i="1"/>
  <c r="V324" i="1"/>
  <c r="U324" i="1"/>
  <c r="V323" i="1"/>
  <c r="U323" i="1"/>
  <c r="V322" i="1"/>
  <c r="U322" i="1"/>
  <c r="V321" i="1"/>
  <c r="U321" i="1"/>
  <c r="V320" i="1"/>
  <c r="U320" i="1"/>
  <c r="V319" i="1"/>
  <c r="U319" i="1"/>
  <c r="V318" i="1"/>
  <c r="U318" i="1"/>
  <c r="V317" i="1"/>
  <c r="U317" i="1"/>
  <c r="V316" i="1"/>
  <c r="U316" i="1"/>
  <c r="V315" i="1"/>
  <c r="U315" i="1"/>
  <c r="V314" i="1"/>
  <c r="U314" i="1"/>
  <c r="V313" i="1"/>
  <c r="U313" i="1"/>
  <c r="V312" i="1"/>
  <c r="U312" i="1"/>
  <c r="V311" i="1"/>
  <c r="U311" i="1"/>
  <c r="V310" i="1"/>
  <c r="U310" i="1"/>
  <c r="V309" i="1"/>
  <c r="U309" i="1"/>
  <c r="V308" i="1"/>
  <c r="U308" i="1"/>
  <c r="V307" i="1"/>
  <c r="U307" i="1"/>
  <c r="V306" i="1"/>
  <c r="U306" i="1"/>
  <c r="V305" i="1"/>
  <c r="U305" i="1"/>
  <c r="V304" i="1"/>
  <c r="U304" i="1"/>
  <c r="V303" i="1"/>
  <c r="U303" i="1"/>
  <c r="V302" i="1"/>
  <c r="U302" i="1"/>
  <c r="V301" i="1"/>
  <c r="U301" i="1"/>
  <c r="V300" i="1"/>
  <c r="U300" i="1"/>
  <c r="V299" i="1"/>
  <c r="U299" i="1"/>
  <c r="V298" i="1"/>
  <c r="U298" i="1"/>
  <c r="V297" i="1"/>
  <c r="U297" i="1"/>
  <c r="V296" i="1"/>
  <c r="U296" i="1"/>
  <c r="V295" i="1"/>
  <c r="U295" i="1"/>
  <c r="V294" i="1"/>
  <c r="U294" i="1"/>
  <c r="V293" i="1"/>
  <c r="U293" i="1"/>
  <c r="V292" i="1"/>
  <c r="U292" i="1"/>
  <c r="V291" i="1"/>
  <c r="U291" i="1"/>
  <c r="V290" i="1"/>
  <c r="U290" i="1"/>
  <c r="V289" i="1"/>
  <c r="U289" i="1"/>
  <c r="V288" i="1"/>
  <c r="U288" i="1"/>
  <c r="V287" i="1"/>
  <c r="U287" i="1"/>
  <c r="V286" i="1"/>
  <c r="U286" i="1"/>
  <c r="V285" i="1"/>
  <c r="U285" i="1"/>
  <c r="V284" i="1"/>
  <c r="U284" i="1"/>
  <c r="V283" i="1"/>
  <c r="U283" i="1"/>
  <c r="V282" i="1"/>
  <c r="U282" i="1"/>
  <c r="V281" i="1"/>
  <c r="U281" i="1"/>
  <c r="V280" i="1"/>
  <c r="U280" i="1"/>
  <c r="V279" i="1"/>
  <c r="U279" i="1"/>
  <c r="V278" i="1"/>
  <c r="U278" i="1"/>
  <c r="V277" i="1"/>
  <c r="U277" i="1"/>
  <c r="V276" i="1"/>
  <c r="U276" i="1"/>
  <c r="V275" i="1"/>
  <c r="U275" i="1"/>
  <c r="V274" i="1"/>
  <c r="U274" i="1"/>
  <c r="V273" i="1"/>
  <c r="U273" i="1"/>
  <c r="V272" i="1"/>
  <c r="U272" i="1"/>
  <c r="V271" i="1"/>
  <c r="U271" i="1"/>
  <c r="V270" i="1"/>
  <c r="U270" i="1"/>
  <c r="V269" i="1"/>
  <c r="U269" i="1"/>
  <c r="V268" i="1"/>
  <c r="U268" i="1"/>
  <c r="V267" i="1"/>
  <c r="U267" i="1"/>
  <c r="V266" i="1"/>
  <c r="U266" i="1"/>
  <c r="V265" i="1"/>
  <c r="U265" i="1"/>
  <c r="V264" i="1"/>
  <c r="U264" i="1"/>
  <c r="V263" i="1"/>
  <c r="U263" i="1"/>
  <c r="V262" i="1"/>
  <c r="U262" i="1"/>
  <c r="V261" i="1"/>
  <c r="U261" i="1"/>
  <c r="V260" i="1"/>
  <c r="U260" i="1"/>
  <c r="V259" i="1"/>
  <c r="U259" i="1"/>
  <c r="V258" i="1"/>
  <c r="U258" i="1"/>
  <c r="V257" i="1"/>
  <c r="U257" i="1"/>
  <c r="V256" i="1"/>
  <c r="U256" i="1"/>
  <c r="V255" i="1"/>
  <c r="U255" i="1"/>
  <c r="V254" i="1"/>
  <c r="U254" i="1"/>
  <c r="V253" i="1"/>
  <c r="U253" i="1"/>
  <c r="V252" i="1"/>
  <c r="U252" i="1"/>
  <c r="V251" i="1"/>
  <c r="U251" i="1"/>
  <c r="V250" i="1"/>
  <c r="U250" i="1"/>
  <c r="V249" i="1"/>
  <c r="U249" i="1"/>
  <c r="V248" i="1"/>
  <c r="U248" i="1"/>
  <c r="V247" i="1"/>
  <c r="U247" i="1"/>
  <c r="V246" i="1"/>
  <c r="U246" i="1"/>
  <c r="V245" i="1"/>
  <c r="U245" i="1"/>
  <c r="V244" i="1"/>
  <c r="U244" i="1"/>
  <c r="V243" i="1"/>
  <c r="U243" i="1"/>
  <c r="V242" i="1"/>
  <c r="U242" i="1"/>
  <c r="V241" i="1"/>
  <c r="U241" i="1"/>
  <c r="V240" i="1"/>
  <c r="U240" i="1"/>
  <c r="V239" i="1"/>
  <c r="U239" i="1"/>
  <c r="V238" i="1"/>
  <c r="U238" i="1"/>
  <c r="V237" i="1"/>
  <c r="U237" i="1"/>
  <c r="V236" i="1"/>
  <c r="U236" i="1"/>
  <c r="V235" i="1"/>
  <c r="U235" i="1"/>
  <c r="V234" i="1"/>
  <c r="U234" i="1"/>
  <c r="V233" i="1"/>
  <c r="U233" i="1"/>
  <c r="V232" i="1"/>
  <c r="U232" i="1"/>
  <c r="V231" i="1"/>
  <c r="U231" i="1"/>
  <c r="V230" i="1"/>
  <c r="U230" i="1"/>
  <c r="V229" i="1"/>
  <c r="U229" i="1"/>
  <c r="V228" i="1"/>
  <c r="U228" i="1"/>
  <c r="V227" i="1"/>
  <c r="U227" i="1"/>
  <c r="V226" i="1"/>
  <c r="U226" i="1"/>
  <c r="V225" i="1"/>
  <c r="U225" i="1"/>
  <c r="V224" i="1"/>
  <c r="U224" i="1"/>
  <c r="V223" i="1"/>
  <c r="U223" i="1"/>
  <c r="V222" i="1"/>
  <c r="U222" i="1"/>
  <c r="V221" i="1"/>
  <c r="U221" i="1"/>
  <c r="V220" i="1"/>
  <c r="U220" i="1"/>
  <c r="V219" i="1"/>
  <c r="U219" i="1"/>
  <c r="V218" i="1"/>
  <c r="U218" i="1"/>
  <c r="V217" i="1"/>
  <c r="U217" i="1"/>
  <c r="V216" i="1"/>
  <c r="U216" i="1"/>
  <c r="V215" i="1"/>
  <c r="U215" i="1"/>
  <c r="V214" i="1"/>
  <c r="U214" i="1"/>
  <c r="V213" i="1"/>
  <c r="U213" i="1"/>
  <c r="V212" i="1"/>
  <c r="U212" i="1"/>
  <c r="V211" i="1"/>
  <c r="U211" i="1"/>
  <c r="V210" i="1"/>
  <c r="U210" i="1"/>
  <c r="V209" i="1"/>
  <c r="U209" i="1"/>
  <c r="V208" i="1"/>
  <c r="U208" i="1"/>
  <c r="V207" i="1"/>
  <c r="U207" i="1"/>
  <c r="V206" i="1"/>
  <c r="U206" i="1"/>
  <c r="V205" i="1"/>
  <c r="U205" i="1"/>
  <c r="V204" i="1"/>
  <c r="U204" i="1"/>
  <c r="V203" i="1"/>
  <c r="U203" i="1"/>
  <c r="V202" i="1"/>
  <c r="U202" i="1"/>
  <c r="V201" i="1"/>
  <c r="U201" i="1"/>
  <c r="V200" i="1"/>
  <c r="U200" i="1"/>
  <c r="V199" i="1"/>
  <c r="U199" i="1"/>
  <c r="V198" i="1"/>
  <c r="U198" i="1"/>
  <c r="V197" i="1"/>
  <c r="U197" i="1"/>
  <c r="V196" i="1"/>
  <c r="U196" i="1"/>
  <c r="V195" i="1"/>
  <c r="U195" i="1"/>
  <c r="V194" i="1"/>
  <c r="U194" i="1"/>
  <c r="V193" i="1"/>
  <c r="U193" i="1"/>
  <c r="V192" i="1"/>
  <c r="U192" i="1"/>
  <c r="V191" i="1"/>
  <c r="U191" i="1"/>
  <c r="V190" i="1"/>
  <c r="U190" i="1"/>
  <c r="V189" i="1"/>
  <c r="U189" i="1"/>
  <c r="V188" i="1"/>
  <c r="U188" i="1"/>
  <c r="V187" i="1"/>
  <c r="U187" i="1"/>
  <c r="V186" i="1"/>
  <c r="U186" i="1"/>
  <c r="V185" i="1"/>
  <c r="U185" i="1"/>
  <c r="V184" i="1"/>
  <c r="U184" i="1"/>
  <c r="V183" i="1"/>
  <c r="U183" i="1"/>
  <c r="V182" i="1"/>
  <c r="U182" i="1"/>
  <c r="V181" i="1"/>
  <c r="U181" i="1"/>
  <c r="V180" i="1"/>
  <c r="U180" i="1"/>
  <c r="V179" i="1"/>
  <c r="U179" i="1"/>
  <c r="V178" i="1"/>
  <c r="U178" i="1"/>
  <c r="V177" i="1"/>
  <c r="U177" i="1"/>
  <c r="V176" i="1"/>
  <c r="U176" i="1"/>
  <c r="V175" i="1"/>
  <c r="U175" i="1"/>
  <c r="V174" i="1"/>
  <c r="U174" i="1"/>
  <c r="V173" i="1"/>
  <c r="U173" i="1"/>
  <c r="V172" i="1"/>
  <c r="U172" i="1"/>
  <c r="V171" i="1"/>
  <c r="U171" i="1"/>
  <c r="V170" i="1"/>
  <c r="U170" i="1"/>
  <c r="V169" i="1"/>
  <c r="U169" i="1"/>
  <c r="V168" i="1"/>
  <c r="U168" i="1"/>
  <c r="V167" i="1"/>
  <c r="U167" i="1"/>
  <c r="V166" i="1"/>
  <c r="U166" i="1"/>
  <c r="V165" i="1"/>
  <c r="U165" i="1"/>
  <c r="V164" i="1"/>
  <c r="U164" i="1"/>
  <c r="V163" i="1"/>
  <c r="U163" i="1"/>
  <c r="V162" i="1"/>
  <c r="U162" i="1"/>
  <c r="V161" i="1"/>
  <c r="U161" i="1"/>
  <c r="V160" i="1"/>
  <c r="U160" i="1"/>
  <c r="V159" i="1"/>
  <c r="U159" i="1"/>
  <c r="V158" i="1"/>
  <c r="U158" i="1"/>
  <c r="V157" i="1"/>
  <c r="U157" i="1"/>
  <c r="V156" i="1"/>
  <c r="U156" i="1"/>
  <c r="V155" i="1"/>
  <c r="U155" i="1"/>
  <c r="V154" i="1"/>
  <c r="U154" i="1"/>
  <c r="V153" i="1"/>
  <c r="U153" i="1"/>
  <c r="V152" i="1"/>
  <c r="U152" i="1"/>
  <c r="V151" i="1"/>
  <c r="U151" i="1"/>
  <c r="V150" i="1"/>
  <c r="U150" i="1"/>
  <c r="V149" i="1"/>
  <c r="U149" i="1"/>
  <c r="V148" i="1"/>
  <c r="U148" i="1"/>
  <c r="V147" i="1"/>
  <c r="U147" i="1"/>
  <c r="V146" i="1"/>
  <c r="U146" i="1"/>
  <c r="V145" i="1"/>
  <c r="U145" i="1"/>
  <c r="V144" i="1"/>
  <c r="U144" i="1"/>
  <c r="V143" i="1"/>
  <c r="U143" i="1"/>
  <c r="V142" i="1"/>
  <c r="U142" i="1"/>
  <c r="V141" i="1"/>
  <c r="U141" i="1"/>
  <c r="V140" i="1"/>
  <c r="U140" i="1"/>
  <c r="V139" i="1"/>
  <c r="U139" i="1"/>
  <c r="V138" i="1"/>
  <c r="U138" i="1"/>
  <c r="V137" i="1"/>
  <c r="U137" i="1"/>
  <c r="V136" i="1"/>
  <c r="U136" i="1"/>
  <c r="V135" i="1"/>
  <c r="U135" i="1"/>
  <c r="V134" i="1"/>
  <c r="U134" i="1"/>
  <c r="V133" i="1"/>
  <c r="U133" i="1"/>
  <c r="V132" i="1"/>
  <c r="U132" i="1"/>
  <c r="V131" i="1"/>
  <c r="U131" i="1"/>
  <c r="V130" i="1"/>
  <c r="U130" i="1"/>
  <c r="V129" i="1"/>
  <c r="U129" i="1"/>
  <c r="V128" i="1"/>
  <c r="U128" i="1"/>
  <c r="V127" i="1"/>
  <c r="U127" i="1"/>
  <c r="V126" i="1"/>
  <c r="U126" i="1"/>
  <c r="V125" i="1"/>
  <c r="U125" i="1"/>
  <c r="V124" i="1"/>
  <c r="U124" i="1"/>
  <c r="V123" i="1"/>
  <c r="U123" i="1"/>
  <c r="V122" i="1"/>
  <c r="U122" i="1"/>
  <c r="V121" i="1"/>
  <c r="U121" i="1"/>
  <c r="V120" i="1"/>
  <c r="U120" i="1"/>
  <c r="V119" i="1"/>
  <c r="U119" i="1"/>
  <c r="V118" i="1"/>
  <c r="U118" i="1"/>
  <c r="V117" i="1"/>
  <c r="U117" i="1"/>
  <c r="V116" i="1"/>
  <c r="U116" i="1"/>
  <c r="V115" i="1"/>
  <c r="U115" i="1"/>
  <c r="V114" i="1"/>
  <c r="U114" i="1"/>
  <c r="V113" i="1"/>
  <c r="U113" i="1"/>
  <c r="V112" i="1"/>
  <c r="U112" i="1"/>
  <c r="V111" i="1"/>
  <c r="U111" i="1"/>
  <c r="V110" i="1"/>
  <c r="U110" i="1"/>
  <c r="V109" i="1"/>
  <c r="U109" i="1"/>
  <c r="V108" i="1"/>
  <c r="U108" i="1"/>
  <c r="V107" i="1"/>
  <c r="U107" i="1"/>
  <c r="V106" i="1"/>
  <c r="U106" i="1"/>
  <c r="V105" i="1"/>
  <c r="U105" i="1"/>
  <c r="V104" i="1"/>
  <c r="U104" i="1"/>
  <c r="V103" i="1"/>
  <c r="U103" i="1"/>
  <c r="V102" i="1"/>
  <c r="U102" i="1"/>
  <c r="V101" i="1"/>
  <c r="U101" i="1"/>
  <c r="V100" i="1"/>
  <c r="U100" i="1"/>
  <c r="V99" i="1"/>
  <c r="U99" i="1"/>
  <c r="V98" i="1"/>
  <c r="U98" i="1"/>
  <c r="V97" i="1"/>
  <c r="U97" i="1"/>
  <c r="V96" i="1"/>
  <c r="U96" i="1"/>
  <c r="V95" i="1"/>
  <c r="U95" i="1"/>
  <c r="V94" i="1"/>
  <c r="U94" i="1"/>
  <c r="V93" i="1"/>
  <c r="U93" i="1"/>
  <c r="V92" i="1"/>
  <c r="U92" i="1"/>
  <c r="V91" i="1"/>
  <c r="U91" i="1"/>
  <c r="V90" i="1"/>
  <c r="U90" i="1"/>
  <c r="V89" i="1"/>
  <c r="U89" i="1"/>
  <c r="V88" i="1"/>
  <c r="U88" i="1"/>
  <c r="V87" i="1"/>
  <c r="U87" i="1"/>
  <c r="V86" i="1"/>
  <c r="U86" i="1"/>
  <c r="V85" i="1"/>
  <c r="U85" i="1"/>
  <c r="V84" i="1"/>
  <c r="U84" i="1"/>
  <c r="V83" i="1"/>
  <c r="U83" i="1"/>
  <c r="V82" i="1"/>
  <c r="U82" i="1"/>
  <c r="V81" i="1"/>
  <c r="U81" i="1"/>
  <c r="V80" i="1"/>
  <c r="U80" i="1"/>
  <c r="V79" i="1"/>
  <c r="U79" i="1"/>
  <c r="V78" i="1"/>
  <c r="U78" i="1"/>
  <c r="V77" i="1"/>
  <c r="U77" i="1"/>
  <c r="V76" i="1"/>
  <c r="U76" i="1"/>
  <c r="V75" i="1"/>
  <c r="U75" i="1"/>
  <c r="V74" i="1"/>
  <c r="U74" i="1"/>
  <c r="V73" i="1"/>
  <c r="U73" i="1"/>
  <c r="V72" i="1"/>
  <c r="U72" i="1"/>
  <c r="V71" i="1"/>
  <c r="U71" i="1"/>
  <c r="V70" i="1"/>
  <c r="U70" i="1"/>
  <c r="V69" i="1"/>
  <c r="U69" i="1"/>
  <c r="V68" i="1"/>
  <c r="U68" i="1"/>
  <c r="V67" i="1"/>
  <c r="U67" i="1"/>
  <c r="V66" i="1"/>
  <c r="U66" i="1"/>
  <c r="V65" i="1"/>
  <c r="U65" i="1"/>
  <c r="V64" i="1"/>
  <c r="U64" i="1"/>
  <c r="V63" i="1"/>
  <c r="U63" i="1"/>
  <c r="V62" i="1"/>
  <c r="U62" i="1"/>
  <c r="V61" i="1"/>
  <c r="U61" i="1"/>
  <c r="V60" i="1"/>
  <c r="U60" i="1"/>
  <c r="V59" i="1"/>
  <c r="U59" i="1"/>
  <c r="V58" i="1"/>
  <c r="U58" i="1"/>
  <c r="AA1732" i="1"/>
  <c r="AA1731" i="1"/>
  <c r="AA1730" i="1"/>
  <c r="AA1729" i="1"/>
  <c r="AA1728" i="1"/>
  <c r="AA1727" i="1"/>
  <c r="AA1726" i="1"/>
  <c r="AA1725" i="1"/>
  <c r="AA1724" i="1"/>
  <c r="AA1723" i="1"/>
  <c r="AA1722" i="1"/>
  <c r="AA1721" i="1"/>
  <c r="AA1720" i="1"/>
  <c r="AA1719" i="1"/>
  <c r="AA1718" i="1"/>
  <c r="AA1717" i="1"/>
  <c r="AA1716" i="1"/>
  <c r="AA1715" i="1"/>
  <c r="AA1714" i="1"/>
  <c r="AA1713" i="1"/>
  <c r="AA1712" i="1"/>
  <c r="AA1711" i="1"/>
  <c r="AA1710" i="1"/>
  <c r="AA1709" i="1"/>
  <c r="AA1708" i="1"/>
  <c r="AA1707" i="1"/>
  <c r="AA1706" i="1"/>
  <c r="AA1705" i="1"/>
  <c r="AA1704" i="1"/>
  <c r="AA1703" i="1"/>
  <c r="AA1702" i="1"/>
  <c r="AA1701" i="1"/>
  <c r="AA1700" i="1"/>
  <c r="AA1699" i="1"/>
  <c r="AA1698" i="1"/>
  <c r="AA1697" i="1"/>
  <c r="AA1696" i="1"/>
  <c r="AA1695" i="1"/>
  <c r="AA1694" i="1"/>
  <c r="AA1693" i="1"/>
  <c r="AA1692" i="1"/>
  <c r="AA1691" i="1"/>
  <c r="AA1690" i="1"/>
  <c r="AA1689" i="1"/>
  <c r="AA1688" i="1"/>
  <c r="AA1687" i="1"/>
  <c r="AA1686" i="1"/>
  <c r="AA1685" i="1"/>
  <c r="AA1684" i="1"/>
  <c r="AA1683" i="1"/>
  <c r="AA1682" i="1"/>
  <c r="AA1681" i="1"/>
  <c r="AA1680" i="1"/>
  <c r="AA1679" i="1"/>
  <c r="AA1678" i="1"/>
  <c r="AA1677" i="1"/>
  <c r="AA1676" i="1"/>
  <c r="AA1675" i="1"/>
  <c r="AA1674" i="1"/>
  <c r="AA1673" i="1"/>
  <c r="AA1672" i="1"/>
  <c r="AA1671" i="1"/>
  <c r="AA1670" i="1"/>
  <c r="AA1669" i="1"/>
  <c r="AA1668" i="1"/>
  <c r="AA1667" i="1"/>
  <c r="AA1666" i="1"/>
  <c r="AA1665" i="1"/>
  <c r="AA1664" i="1"/>
  <c r="AA1663" i="1"/>
  <c r="AA1662" i="1"/>
  <c r="AA1661" i="1"/>
  <c r="AA1660" i="1"/>
  <c r="AA1659" i="1"/>
  <c r="AA1658" i="1"/>
  <c r="AA1657" i="1"/>
  <c r="AA1656" i="1"/>
  <c r="AA1655" i="1"/>
  <c r="AA1654" i="1"/>
  <c r="AA1653" i="1"/>
  <c r="AA1652" i="1"/>
  <c r="AA1651" i="1"/>
  <c r="AA1650" i="1"/>
  <c r="AA1649" i="1"/>
  <c r="AA1648" i="1"/>
  <c r="AA1647" i="1"/>
  <c r="AA1646" i="1"/>
  <c r="AA1645" i="1"/>
  <c r="AA1644" i="1"/>
  <c r="AA1643" i="1"/>
  <c r="AA1642" i="1"/>
  <c r="AA1641" i="1"/>
  <c r="AA1640" i="1"/>
  <c r="AA1639" i="1"/>
  <c r="AA1638" i="1"/>
  <c r="AA1637" i="1"/>
  <c r="AA1636" i="1"/>
  <c r="AA1635" i="1"/>
  <c r="AA1634" i="1"/>
  <c r="AA1633" i="1"/>
  <c r="AA1632" i="1"/>
  <c r="AA1631" i="1"/>
  <c r="AA1630" i="1"/>
  <c r="AA1629" i="1"/>
  <c r="AA1628" i="1"/>
  <c r="AA1627" i="1"/>
  <c r="AA1626" i="1"/>
  <c r="AA1625" i="1"/>
  <c r="AA1624" i="1"/>
  <c r="AA1623" i="1"/>
  <c r="AA1622" i="1"/>
  <c r="AA1621" i="1"/>
  <c r="AA1620" i="1"/>
  <c r="AA1619" i="1"/>
  <c r="AA1618" i="1"/>
  <c r="AA1617" i="1"/>
  <c r="AA1616" i="1"/>
  <c r="AA1615" i="1"/>
  <c r="AA1614" i="1"/>
  <c r="AA1613" i="1"/>
  <c r="AA1612" i="1"/>
  <c r="AA1611" i="1"/>
  <c r="AA1610" i="1"/>
  <c r="AA1609" i="1"/>
  <c r="AA1608" i="1"/>
  <c r="AA1607" i="1"/>
  <c r="AA1606" i="1"/>
  <c r="AA1605" i="1"/>
  <c r="AA1604" i="1"/>
  <c r="AA1603" i="1"/>
  <c r="AA1602" i="1"/>
  <c r="AA1601" i="1"/>
  <c r="AA1600" i="1"/>
  <c r="AA1599" i="1"/>
  <c r="AA1598" i="1"/>
  <c r="AA1597" i="1"/>
  <c r="AA1596" i="1"/>
  <c r="AA1595" i="1"/>
  <c r="AA1594" i="1"/>
  <c r="AA1593" i="1"/>
  <c r="AA1592" i="1"/>
  <c r="AA1591" i="1"/>
  <c r="AA1590" i="1"/>
  <c r="AA1589" i="1"/>
  <c r="AA1588" i="1"/>
  <c r="AA1587" i="1"/>
  <c r="AA1586" i="1"/>
  <c r="AA1585" i="1"/>
  <c r="AA1584" i="1"/>
  <c r="AA1583" i="1"/>
  <c r="AA1582" i="1"/>
  <c r="AA1581" i="1"/>
  <c r="AA1580" i="1"/>
  <c r="AA1579" i="1"/>
  <c r="AA1578" i="1"/>
  <c r="AA1577" i="1"/>
  <c r="AA1576" i="1"/>
  <c r="AA1575" i="1"/>
  <c r="AA1574" i="1"/>
  <c r="AA1573" i="1"/>
  <c r="AA1572" i="1"/>
  <c r="AA1571" i="1"/>
  <c r="AA1570" i="1"/>
  <c r="AA1569" i="1"/>
  <c r="AA1568" i="1"/>
  <c r="AA1567" i="1"/>
  <c r="AA1566" i="1"/>
  <c r="AA1565" i="1"/>
  <c r="AA1564" i="1"/>
  <c r="AA1563" i="1"/>
  <c r="AA1562" i="1"/>
  <c r="AA1561" i="1"/>
  <c r="AA1560" i="1"/>
  <c r="AA1559" i="1"/>
  <c r="AA1558" i="1"/>
  <c r="AA1557" i="1"/>
  <c r="AA1556" i="1"/>
  <c r="AA1555" i="1"/>
  <c r="AA1554" i="1"/>
  <c r="AA1553" i="1"/>
  <c r="AA1552" i="1"/>
  <c r="AA1551" i="1"/>
  <c r="AA1550" i="1"/>
  <c r="AA1549" i="1"/>
  <c r="AA1548" i="1"/>
  <c r="AA1547" i="1"/>
  <c r="AA1546" i="1"/>
  <c r="AA1545" i="1"/>
  <c r="AA1544" i="1"/>
  <c r="AA1543" i="1"/>
  <c r="AA1542" i="1"/>
  <c r="AA1541" i="1"/>
  <c r="AA1540" i="1"/>
  <c r="AA1539" i="1"/>
  <c r="AA1538" i="1"/>
  <c r="AA1537" i="1"/>
  <c r="AA1536" i="1"/>
  <c r="AA1535" i="1"/>
  <c r="AA1534" i="1"/>
  <c r="AA1533" i="1"/>
  <c r="AA1532" i="1"/>
  <c r="AA1531" i="1"/>
  <c r="AA1530" i="1"/>
  <c r="AA1529" i="1"/>
  <c r="AA1528" i="1"/>
  <c r="AA1527" i="1"/>
  <c r="AA1526" i="1"/>
  <c r="AA1525" i="1"/>
  <c r="AA1524" i="1"/>
  <c r="AA1523" i="1"/>
  <c r="AA1522" i="1"/>
  <c r="AA1521" i="1"/>
  <c r="AA1520" i="1"/>
  <c r="AA1519" i="1"/>
  <c r="AA1518" i="1"/>
  <c r="AA1517" i="1"/>
  <c r="AA1516" i="1"/>
  <c r="AA1515" i="1"/>
  <c r="AA1514" i="1"/>
  <c r="AA1513" i="1"/>
  <c r="AA1512" i="1"/>
  <c r="AA1511" i="1"/>
  <c r="AA1510" i="1"/>
  <c r="AA1509" i="1"/>
  <c r="AA1508" i="1"/>
  <c r="AA1507" i="1"/>
  <c r="AA1506" i="1"/>
  <c r="AA1505" i="1"/>
  <c r="AA1504" i="1"/>
  <c r="AA1503" i="1"/>
  <c r="AA1502" i="1"/>
  <c r="AA1501" i="1"/>
  <c r="AA1500" i="1"/>
  <c r="AA1499" i="1"/>
  <c r="AA1498" i="1"/>
  <c r="AA1497" i="1"/>
  <c r="AA1496" i="1"/>
  <c r="AA1495" i="1"/>
  <c r="AA1494" i="1"/>
  <c r="AA1493" i="1"/>
  <c r="AA1492" i="1"/>
  <c r="AA1491" i="1"/>
  <c r="AA1490" i="1"/>
  <c r="AA1489" i="1"/>
  <c r="AA1488" i="1"/>
  <c r="AA1487" i="1"/>
  <c r="AA1486" i="1"/>
  <c r="AA1485" i="1"/>
  <c r="AA1484" i="1"/>
  <c r="AA1483" i="1"/>
  <c r="AA1482" i="1"/>
  <c r="AA1481" i="1"/>
  <c r="AA1480" i="1"/>
  <c r="AA1479" i="1"/>
  <c r="AA1478" i="1"/>
  <c r="AA1477" i="1"/>
  <c r="AA1476" i="1"/>
  <c r="AA1475" i="1"/>
  <c r="AA1474" i="1"/>
  <c r="AA1473" i="1"/>
  <c r="AA1472" i="1"/>
  <c r="AA1471" i="1"/>
  <c r="AA1470" i="1"/>
  <c r="AA1469" i="1"/>
  <c r="AA1468" i="1"/>
  <c r="AA1467" i="1"/>
  <c r="AA1466" i="1"/>
  <c r="AA1465" i="1"/>
  <c r="AA1464" i="1"/>
  <c r="AA1463" i="1"/>
  <c r="AA1462" i="1"/>
  <c r="AA1461" i="1"/>
  <c r="AA1460" i="1"/>
  <c r="AA1459" i="1"/>
  <c r="AA1458" i="1"/>
  <c r="AA1457" i="1"/>
  <c r="AA1456" i="1"/>
  <c r="AA1455" i="1"/>
  <c r="AA1454" i="1"/>
  <c r="AA1453" i="1"/>
  <c r="AA1452" i="1"/>
  <c r="AA1451" i="1"/>
  <c r="AA1450" i="1"/>
  <c r="AA1449" i="1"/>
  <c r="AA1448" i="1"/>
  <c r="AA1447" i="1"/>
  <c r="AA1446" i="1"/>
  <c r="AA1445" i="1"/>
  <c r="AA1444" i="1"/>
  <c r="AA1443" i="1"/>
  <c r="AA1442" i="1"/>
  <c r="AA1441" i="1"/>
  <c r="AA1440" i="1"/>
  <c r="AA1439" i="1"/>
  <c r="AA1438" i="1"/>
  <c r="AA1437" i="1"/>
  <c r="AA1436" i="1"/>
  <c r="AA1435" i="1"/>
  <c r="AA1434" i="1"/>
  <c r="AA1433" i="1"/>
  <c r="AA1432" i="1"/>
  <c r="AA1431" i="1"/>
  <c r="AA1430" i="1"/>
  <c r="AA1429" i="1"/>
  <c r="AA1428" i="1"/>
  <c r="AA1427" i="1"/>
  <c r="AA1426" i="1"/>
  <c r="AA1425" i="1"/>
  <c r="AA1424" i="1"/>
  <c r="AA1423" i="1"/>
  <c r="AA1422" i="1"/>
  <c r="AA1421" i="1"/>
  <c r="AA1420" i="1"/>
  <c r="AA1419" i="1"/>
  <c r="AA1418" i="1"/>
  <c r="AA1417" i="1"/>
  <c r="AA1416" i="1"/>
  <c r="AA1415" i="1"/>
  <c r="AA1414" i="1"/>
  <c r="AA1413" i="1"/>
  <c r="AA1412" i="1"/>
  <c r="AA1411" i="1"/>
  <c r="AA1410" i="1"/>
  <c r="AA1409" i="1"/>
  <c r="AA1408" i="1"/>
  <c r="AA1407" i="1"/>
  <c r="AA1406" i="1"/>
  <c r="AA1405" i="1"/>
  <c r="AA1404" i="1"/>
  <c r="AA1403" i="1"/>
  <c r="AA1402" i="1"/>
  <c r="AA1401" i="1"/>
  <c r="AA1400" i="1"/>
  <c r="AA1399" i="1"/>
  <c r="AA1398" i="1"/>
  <c r="AA1397" i="1"/>
  <c r="AA1396" i="1"/>
  <c r="AA1395" i="1"/>
  <c r="AA1394" i="1"/>
  <c r="AA1393" i="1"/>
  <c r="AA1392" i="1"/>
  <c r="AA1391" i="1"/>
  <c r="AA1390" i="1"/>
  <c r="AA1389" i="1"/>
  <c r="AA1388" i="1"/>
  <c r="AA1387" i="1"/>
  <c r="AA1386" i="1"/>
  <c r="AA1385" i="1"/>
  <c r="AA1384" i="1"/>
  <c r="AA1383" i="1"/>
  <c r="AA1382" i="1"/>
  <c r="AA1381" i="1"/>
  <c r="AA1380" i="1"/>
  <c r="AA1379" i="1"/>
  <c r="AA1378" i="1"/>
  <c r="AA1377" i="1"/>
  <c r="AA1376" i="1"/>
  <c r="AA1375" i="1"/>
  <c r="AA1374" i="1"/>
  <c r="AA1373" i="1"/>
  <c r="AA1372" i="1"/>
  <c r="AA1371" i="1"/>
  <c r="AA1370" i="1"/>
  <c r="AA1369" i="1"/>
  <c r="AA1368" i="1"/>
  <c r="AA1367" i="1"/>
  <c r="AA1366" i="1"/>
  <c r="AA1365" i="1"/>
  <c r="AA1364" i="1"/>
  <c r="AA1363" i="1"/>
  <c r="AA1362" i="1"/>
  <c r="AA1361" i="1"/>
  <c r="AA1360" i="1"/>
  <c r="AA1359" i="1"/>
  <c r="AA1358" i="1"/>
  <c r="AA1357" i="1"/>
  <c r="AA1356" i="1"/>
  <c r="AA1355" i="1"/>
  <c r="AA1354" i="1"/>
  <c r="AA1353" i="1"/>
  <c r="AA1352" i="1"/>
  <c r="AA1351" i="1"/>
  <c r="AA1350" i="1"/>
  <c r="AA1349" i="1"/>
  <c r="AA1348" i="1"/>
  <c r="AA1347" i="1"/>
  <c r="AA1346" i="1"/>
  <c r="AA1345" i="1"/>
  <c r="AA1344" i="1"/>
  <c r="AA1343" i="1"/>
  <c r="AA1342" i="1"/>
  <c r="AA1341" i="1"/>
  <c r="AA1340" i="1"/>
  <c r="AA1339" i="1"/>
  <c r="AA1338" i="1"/>
  <c r="AA1337" i="1"/>
  <c r="AA1336" i="1"/>
  <c r="AA1335" i="1"/>
  <c r="AA1334" i="1"/>
  <c r="AA1333" i="1"/>
  <c r="AA1332" i="1"/>
  <c r="AA1331" i="1"/>
  <c r="AA1330" i="1"/>
  <c r="AA1329" i="1"/>
  <c r="AA1328" i="1"/>
  <c r="AA1327" i="1"/>
  <c r="AA1326" i="1"/>
  <c r="AA1325" i="1"/>
  <c r="AA1324" i="1"/>
  <c r="AA1323" i="1"/>
  <c r="AA1322" i="1"/>
  <c r="AA1321" i="1"/>
  <c r="AA1320" i="1"/>
  <c r="AA1319" i="1"/>
  <c r="AA1318" i="1"/>
  <c r="AA1317" i="1"/>
  <c r="AA1316" i="1"/>
  <c r="AA1315" i="1"/>
  <c r="AA1314" i="1"/>
  <c r="AA1313" i="1"/>
  <c r="AA1312" i="1"/>
  <c r="AA1311" i="1"/>
  <c r="AA1310" i="1"/>
  <c r="AA1309" i="1"/>
  <c r="AA1308" i="1"/>
  <c r="AA1307" i="1"/>
  <c r="AA1306" i="1"/>
  <c r="AA1305" i="1"/>
  <c r="AA1304" i="1"/>
  <c r="AA1303" i="1"/>
  <c r="AA1302" i="1"/>
  <c r="AA1301" i="1"/>
  <c r="AA1300" i="1"/>
  <c r="AA1299" i="1"/>
  <c r="AA1298" i="1"/>
  <c r="AA1297" i="1"/>
  <c r="AA1296" i="1"/>
  <c r="AA1295" i="1"/>
  <c r="AA1294" i="1"/>
  <c r="AA1293" i="1"/>
  <c r="AA1292" i="1"/>
  <c r="AA1291" i="1"/>
  <c r="AA1290" i="1"/>
  <c r="AA1289" i="1"/>
  <c r="AA1288" i="1"/>
  <c r="AA1287" i="1"/>
  <c r="AA1286" i="1"/>
  <c r="AA1285" i="1"/>
  <c r="AA1284" i="1"/>
  <c r="AA1283" i="1"/>
  <c r="AA1282" i="1"/>
  <c r="AA1281" i="1"/>
  <c r="AA1280" i="1"/>
  <c r="AA1279" i="1"/>
  <c r="AA1278" i="1"/>
  <c r="AA1277" i="1"/>
  <c r="AA1276" i="1"/>
  <c r="AA1275" i="1"/>
  <c r="AA1274" i="1"/>
  <c r="AA1273" i="1"/>
  <c r="AA1272" i="1"/>
  <c r="AA1271" i="1"/>
  <c r="AA1270" i="1"/>
  <c r="AA1269" i="1"/>
  <c r="AA1268" i="1"/>
  <c r="AA1267" i="1"/>
  <c r="AA1266" i="1"/>
  <c r="AA1265" i="1"/>
  <c r="AA1264" i="1"/>
  <c r="AA1263" i="1"/>
  <c r="AA1262" i="1"/>
  <c r="AA1261" i="1"/>
  <c r="AA1260" i="1"/>
  <c r="AA1259" i="1"/>
  <c r="AA1258" i="1"/>
  <c r="AA1257" i="1"/>
  <c r="AA1256" i="1"/>
  <c r="AA1255" i="1"/>
  <c r="AA1254" i="1"/>
  <c r="AA1253" i="1"/>
  <c r="AA1252" i="1"/>
  <c r="AA1251" i="1"/>
  <c r="AA1250" i="1"/>
  <c r="AA1249" i="1"/>
  <c r="AA1248" i="1"/>
  <c r="AA1247" i="1"/>
  <c r="AA1246" i="1"/>
  <c r="AA1245" i="1"/>
  <c r="AA1244" i="1"/>
  <c r="AA1243" i="1"/>
  <c r="AA1242" i="1"/>
  <c r="AA1241" i="1"/>
  <c r="AA1240" i="1"/>
  <c r="AA1239" i="1"/>
  <c r="AA1238" i="1"/>
  <c r="AA1237" i="1"/>
  <c r="AA1236" i="1"/>
  <c r="AA1235" i="1"/>
  <c r="AA1234" i="1"/>
  <c r="AA1233" i="1"/>
  <c r="AA1232" i="1"/>
  <c r="AA1231" i="1"/>
  <c r="AA1230" i="1"/>
  <c r="AA1229" i="1"/>
  <c r="AA1228" i="1"/>
  <c r="AA1227" i="1"/>
  <c r="AA1226" i="1"/>
  <c r="AA1225" i="1"/>
  <c r="AA1224" i="1"/>
  <c r="AA1223" i="1"/>
  <c r="AA1222" i="1"/>
  <c r="AA1221" i="1"/>
  <c r="AA1220" i="1"/>
  <c r="AA1219" i="1"/>
  <c r="AA1218" i="1"/>
  <c r="AA1217" i="1"/>
  <c r="AA1216" i="1"/>
  <c r="AA1215" i="1"/>
  <c r="AA1214" i="1"/>
  <c r="AA1213" i="1"/>
  <c r="AA1212" i="1"/>
  <c r="AA1211" i="1"/>
  <c r="AA1210" i="1"/>
  <c r="AA1209" i="1"/>
  <c r="AA1208" i="1"/>
  <c r="AA1207" i="1"/>
  <c r="AA1206" i="1"/>
  <c r="AA1205" i="1"/>
  <c r="AA1204" i="1"/>
  <c r="AA1203" i="1"/>
  <c r="AA1202" i="1"/>
  <c r="AA1201" i="1"/>
  <c r="AA1200" i="1"/>
  <c r="AA1199" i="1"/>
  <c r="AA1198" i="1"/>
  <c r="AA1197" i="1"/>
  <c r="AA1196" i="1"/>
  <c r="AA1195" i="1"/>
  <c r="AA1194" i="1"/>
  <c r="AA1193" i="1"/>
  <c r="AA1192" i="1"/>
  <c r="AA1191" i="1"/>
  <c r="AA1190" i="1"/>
  <c r="AA1189" i="1"/>
  <c r="AA1188" i="1"/>
  <c r="AA1187" i="1"/>
  <c r="AA1186" i="1"/>
  <c r="AA1185" i="1"/>
  <c r="AA1184" i="1"/>
  <c r="AA1183" i="1"/>
  <c r="AA1182" i="1"/>
  <c r="AA1181" i="1"/>
  <c r="AA1180" i="1"/>
  <c r="AA1179" i="1"/>
  <c r="AA1178" i="1"/>
  <c r="AA1177" i="1"/>
  <c r="AA1176" i="1"/>
  <c r="AA1175" i="1"/>
  <c r="AA1174" i="1"/>
  <c r="AA1173" i="1"/>
  <c r="AA1172" i="1"/>
  <c r="AA1171" i="1"/>
  <c r="AA1170" i="1"/>
  <c r="AA1169" i="1"/>
  <c r="AA1168" i="1"/>
  <c r="AA1167" i="1"/>
  <c r="AA1166" i="1"/>
  <c r="AA1165" i="1"/>
  <c r="AA1164" i="1"/>
  <c r="AA1163" i="1"/>
  <c r="AA1162" i="1"/>
  <c r="AA1161" i="1"/>
  <c r="AA1160" i="1"/>
  <c r="AA1159" i="1"/>
  <c r="AA1158" i="1"/>
  <c r="AA1157" i="1"/>
  <c r="AA1156" i="1"/>
  <c r="AA1155" i="1"/>
  <c r="AA1154" i="1"/>
  <c r="AA1153" i="1"/>
  <c r="AA1152" i="1"/>
  <c r="AA1151" i="1"/>
  <c r="AA1150" i="1"/>
  <c r="AA1149" i="1"/>
  <c r="AA1148" i="1"/>
  <c r="AA1147" i="1"/>
  <c r="AA1146" i="1"/>
  <c r="AA1145" i="1"/>
  <c r="AA1144" i="1"/>
  <c r="AA1143" i="1"/>
  <c r="AA1142" i="1"/>
  <c r="AA1141" i="1"/>
  <c r="AA1140" i="1"/>
  <c r="AA1139" i="1"/>
  <c r="AA1138" i="1"/>
  <c r="AA1137" i="1"/>
  <c r="AA1136" i="1"/>
  <c r="AA1135" i="1"/>
  <c r="AA1134" i="1"/>
  <c r="AA1133" i="1"/>
  <c r="AA1132" i="1"/>
  <c r="AA1131" i="1"/>
  <c r="AA1130" i="1"/>
  <c r="AA1129" i="1"/>
  <c r="AA1128" i="1"/>
  <c r="AA1127" i="1"/>
  <c r="AA1126" i="1"/>
  <c r="AA1125" i="1"/>
  <c r="AA1124" i="1"/>
  <c r="AA1123" i="1"/>
  <c r="AA1122" i="1"/>
  <c r="AA1121" i="1"/>
  <c r="AA1120" i="1"/>
  <c r="AA1119" i="1"/>
  <c r="AA1118" i="1"/>
  <c r="AA1117" i="1"/>
  <c r="AA1116" i="1"/>
  <c r="AA1115" i="1"/>
  <c r="AA1114" i="1"/>
  <c r="AA1113" i="1"/>
  <c r="AA1112" i="1"/>
  <c r="AA1111" i="1"/>
  <c r="AA1110" i="1"/>
  <c r="AA1109" i="1"/>
  <c r="AA1108" i="1"/>
  <c r="AA1107" i="1"/>
  <c r="AA1106" i="1"/>
  <c r="AA1105" i="1"/>
  <c r="AA1104" i="1"/>
  <c r="AA1103" i="1"/>
  <c r="AA1102" i="1"/>
  <c r="AA1101" i="1"/>
  <c r="AA1100" i="1"/>
  <c r="AA1099" i="1"/>
  <c r="AA1098" i="1"/>
  <c r="AA1097" i="1"/>
  <c r="AA1096" i="1"/>
  <c r="AA1095" i="1"/>
  <c r="AA1094" i="1"/>
  <c r="AA1093" i="1"/>
  <c r="AA1092" i="1"/>
  <c r="AA1091" i="1"/>
  <c r="AA1090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A1075" i="1"/>
  <c r="AA1074" i="1"/>
  <c r="AA1073" i="1"/>
  <c r="AA1072" i="1"/>
  <c r="AA1071" i="1"/>
  <c r="AA1070" i="1"/>
  <c r="AA1069" i="1"/>
  <c r="AA1068" i="1"/>
  <c r="AA1067" i="1"/>
  <c r="AA1066" i="1"/>
  <c r="AA1065" i="1"/>
  <c r="AA1064" i="1"/>
  <c r="AA1063" i="1"/>
  <c r="AA1062" i="1"/>
  <c r="AA1061" i="1"/>
  <c r="AA1060" i="1"/>
  <c r="AA1059" i="1"/>
  <c r="AA1058" i="1"/>
  <c r="AA1057" i="1"/>
  <c r="AA1056" i="1"/>
  <c r="AA1055" i="1"/>
  <c r="AA1054" i="1"/>
  <c r="AA1053" i="1"/>
  <c r="AA1052" i="1"/>
  <c r="AA1051" i="1"/>
  <c r="AA1050" i="1"/>
  <c r="AA1049" i="1"/>
  <c r="AA1048" i="1"/>
  <c r="AA1047" i="1"/>
  <c r="AA1046" i="1"/>
  <c r="AA1045" i="1"/>
  <c r="AA1044" i="1"/>
  <c r="AA1043" i="1"/>
  <c r="AA1042" i="1"/>
  <c r="AA1041" i="1"/>
  <c r="AA1040" i="1"/>
  <c r="AA1039" i="1"/>
  <c r="AA1038" i="1"/>
  <c r="AA1037" i="1"/>
  <c r="AA1036" i="1"/>
  <c r="AA1035" i="1"/>
  <c r="AA1034" i="1"/>
  <c r="AA1033" i="1"/>
  <c r="AA1032" i="1"/>
  <c r="AA1031" i="1"/>
  <c r="AA1030" i="1"/>
  <c r="AA1029" i="1"/>
  <c r="AA1028" i="1"/>
  <c r="AA1027" i="1"/>
  <c r="AA1026" i="1"/>
  <c r="AA1025" i="1"/>
  <c r="AA1024" i="1"/>
  <c r="AA1023" i="1"/>
  <c r="AA1022" i="1"/>
  <c r="AA1021" i="1"/>
  <c r="AA1020" i="1"/>
  <c r="AA1019" i="1"/>
  <c r="AA1018" i="1"/>
  <c r="AA1017" i="1"/>
  <c r="AA1016" i="1"/>
  <c r="AA1015" i="1"/>
  <c r="AA1014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2" i="1"/>
  <c r="B1" i="1"/>
  <c r="F11" i="1"/>
  <c r="F12" i="1" s="1"/>
  <c r="F10" i="1"/>
  <c r="F13" i="1"/>
  <c r="F9" i="1"/>
  <c r="F8" i="1"/>
  <c r="F7" i="1"/>
  <c r="F16" i="1" s="1"/>
  <c r="F6" i="1"/>
  <c r="F5" i="1"/>
  <c r="N3" i="1"/>
  <c r="N4" i="1" s="1"/>
  <c r="M3" i="1"/>
  <c r="M4" i="1" s="1"/>
  <c r="O4" i="1" s="1"/>
  <c r="I2" i="1"/>
  <c r="F15" i="1" l="1"/>
  <c r="F18" i="1"/>
  <c r="F14" i="1"/>
  <c r="P2" i="1" s="1" a="1"/>
  <c r="P2" i="1" s="1"/>
  <c r="I9" i="1"/>
  <c r="O3" i="1"/>
  <c r="F17" i="1"/>
  <c r="I17" i="1" s="1"/>
  <c r="O2" i="1"/>
  <c r="I4" i="1"/>
  <c r="I12" i="1"/>
  <c r="I13" i="1"/>
  <c r="I14" i="1"/>
  <c r="I18" i="1"/>
  <c r="I5" i="1"/>
  <c r="N5" i="1"/>
  <c r="P5" i="1" s="1" a="1"/>
  <c r="P5" i="1" s="1"/>
  <c r="I8" i="1"/>
  <c r="I16" i="1"/>
  <c r="I3" i="1"/>
  <c r="I7" i="1"/>
  <c r="I15" i="1"/>
  <c r="I6" i="1"/>
  <c r="M5" i="1"/>
  <c r="O5" i="1" s="1"/>
  <c r="P3" i="1" l="1" a="1"/>
  <c r="P3" i="1" s="1"/>
  <c r="Q3" i="1" s="1"/>
  <c r="P4" i="1" a="1"/>
  <c r="P4" i="1" s="1"/>
  <c r="Q4" i="1" s="1"/>
  <c r="Q2" i="1"/>
  <c r="R2" i="1" s="1"/>
  <c r="I10" i="1"/>
  <c r="I11" i="1"/>
  <c r="M6" i="1"/>
  <c r="O6" i="1" s="1"/>
  <c r="N6" i="1"/>
  <c r="P6" i="1" s="1" a="1"/>
  <c r="P6" i="1" s="1"/>
  <c r="R3" i="1" l="1"/>
  <c r="N7" i="1"/>
  <c r="P7" i="1" s="1" a="1"/>
  <c r="P7" i="1" s="1"/>
  <c r="M7" i="1"/>
  <c r="O7" i="1" s="1"/>
  <c r="Q5" i="1"/>
  <c r="S3" i="1" l="1" a="1"/>
  <c r="S3" i="1" s="1"/>
  <c r="R4" i="1"/>
  <c r="M8" i="1"/>
  <c r="O8" i="1" s="1"/>
  <c r="Q6" i="1"/>
  <c r="N8" i="1"/>
  <c r="P8" i="1" s="1" a="1"/>
  <c r="P8" i="1" s="1"/>
  <c r="S4" i="1" l="1" a="1"/>
  <c r="S4" i="1" s="1"/>
  <c r="R5" i="1"/>
  <c r="N9" i="1"/>
  <c r="P9" i="1" s="1" a="1"/>
  <c r="P9" i="1" s="1"/>
  <c r="M9" i="1"/>
  <c r="O9" i="1" s="1"/>
  <c r="Q7" i="1"/>
  <c r="S5" i="1" l="1" a="1"/>
  <c r="S5" i="1" s="1"/>
  <c r="R6" i="1"/>
  <c r="Q8" i="1"/>
  <c r="M10" i="1"/>
  <c r="O10" i="1" s="1"/>
  <c r="N10" i="1"/>
  <c r="P10" i="1" s="1" a="1"/>
  <c r="P10" i="1" s="1"/>
  <c r="S6" i="1" l="1" a="1"/>
  <c r="S6" i="1" s="1"/>
  <c r="R7" i="1"/>
  <c r="N11" i="1"/>
  <c r="P11" i="1" s="1" a="1"/>
  <c r="P11" i="1" s="1"/>
  <c r="M11" i="1"/>
  <c r="O11" i="1" s="1"/>
  <c r="Q9" i="1"/>
  <c r="S7" i="1" l="1" a="1"/>
  <c r="S7" i="1" s="1"/>
  <c r="R8" i="1"/>
  <c r="M12" i="1"/>
  <c r="O12" i="1" s="1"/>
  <c r="Q10" i="1"/>
  <c r="N12" i="1"/>
  <c r="P12" i="1" s="1" a="1"/>
  <c r="P12" i="1" s="1"/>
  <c r="S8" i="1" l="1" a="1"/>
  <c r="S8" i="1" s="1"/>
  <c r="R9" i="1"/>
  <c r="M13" i="1"/>
  <c r="O13" i="1" s="1"/>
  <c r="N13" i="1"/>
  <c r="P13" i="1" s="1" a="1"/>
  <c r="P13" i="1" s="1"/>
  <c r="Q11" i="1"/>
  <c r="S9" i="1" l="1" a="1"/>
  <c r="S9" i="1" s="1"/>
  <c r="R10" i="1"/>
  <c r="N14" i="1"/>
  <c r="P14" i="1" s="1" a="1"/>
  <c r="P14" i="1" s="1"/>
  <c r="Q12" i="1"/>
  <c r="M14" i="1"/>
  <c r="O14" i="1" s="1"/>
  <c r="S10" i="1" l="1" a="1"/>
  <c r="S10" i="1" s="1"/>
  <c r="R11" i="1"/>
  <c r="M15" i="1"/>
  <c r="O15" i="1" s="1"/>
  <c r="N15" i="1"/>
  <c r="P15" i="1" s="1" a="1"/>
  <c r="P15" i="1" s="1"/>
  <c r="Q13" i="1"/>
  <c r="S11" i="1" l="1" a="1"/>
  <c r="S11" i="1" s="1"/>
  <c r="R12" i="1"/>
  <c r="M16" i="1"/>
  <c r="O16" i="1" s="1"/>
  <c r="N16" i="1"/>
  <c r="P16" i="1" s="1" a="1"/>
  <c r="P16" i="1" s="1"/>
  <c r="Q14" i="1"/>
  <c r="S12" i="1" l="1" a="1"/>
  <c r="S12" i="1" s="1"/>
  <c r="R13" i="1"/>
  <c r="N17" i="1"/>
  <c r="P17" i="1" s="1" a="1"/>
  <c r="P17" i="1" s="1"/>
  <c r="M17" i="1"/>
  <c r="O17" i="1" s="1"/>
  <c r="Q15" i="1"/>
  <c r="S13" i="1" l="1" a="1"/>
  <c r="S13" i="1" s="1"/>
  <c r="R14" i="1"/>
  <c r="Q16" i="1"/>
  <c r="M18" i="1"/>
  <c r="O18" i="1" s="1"/>
  <c r="N18" i="1"/>
  <c r="P18" i="1" s="1" a="1"/>
  <c r="P18" i="1" s="1"/>
  <c r="S14" i="1" l="1" a="1"/>
  <c r="S14" i="1" s="1"/>
  <c r="R15" i="1"/>
  <c r="M19" i="1"/>
  <c r="O19" i="1" s="1"/>
  <c r="N19" i="1"/>
  <c r="P19" i="1" s="1" a="1"/>
  <c r="P19" i="1" s="1"/>
  <c r="Q17" i="1"/>
  <c r="S15" i="1" l="1" a="1"/>
  <c r="S15" i="1" s="1"/>
  <c r="R16" i="1"/>
  <c r="N20" i="1"/>
  <c r="P20" i="1" s="1" a="1"/>
  <c r="P20" i="1" s="1"/>
  <c r="M20" i="1"/>
  <c r="O20" i="1" s="1"/>
  <c r="Q18" i="1"/>
  <c r="S16" i="1" l="1" a="1"/>
  <c r="S16" i="1" s="1"/>
  <c r="R17" i="1"/>
  <c r="Q19" i="1"/>
  <c r="M21" i="1"/>
  <c r="O21" i="1" s="1"/>
  <c r="N21" i="1"/>
  <c r="P21" i="1" s="1" a="1"/>
  <c r="P21" i="1" s="1"/>
  <c r="S17" i="1" l="1" a="1"/>
  <c r="S17" i="1" s="1"/>
  <c r="R18" i="1"/>
  <c r="N22" i="1"/>
  <c r="P22" i="1" s="1" a="1"/>
  <c r="P22" i="1" s="1"/>
  <c r="M22" i="1"/>
  <c r="O22" i="1" s="1"/>
  <c r="Q20" i="1"/>
  <c r="S18" i="1" l="1" a="1"/>
  <c r="S18" i="1" s="1"/>
  <c r="R19" i="1"/>
  <c r="M23" i="1"/>
  <c r="O23" i="1" s="1"/>
  <c r="Q21" i="1"/>
  <c r="N23" i="1"/>
  <c r="P23" i="1" s="1" a="1"/>
  <c r="P23" i="1" s="1"/>
  <c r="S19" i="1" l="1" a="1"/>
  <c r="S19" i="1" s="1"/>
  <c r="R20" i="1"/>
  <c r="N24" i="1"/>
  <c r="P24" i="1" s="1" a="1"/>
  <c r="P24" i="1" s="1"/>
  <c r="Q22" i="1"/>
  <c r="M24" i="1"/>
  <c r="O24" i="1" s="1"/>
  <c r="S20" i="1" l="1" a="1"/>
  <c r="S20" i="1" s="1"/>
  <c r="R21" i="1"/>
  <c r="Q23" i="1"/>
  <c r="M25" i="1"/>
  <c r="O25" i="1" s="1"/>
  <c r="N25" i="1"/>
  <c r="P25" i="1" s="1" a="1"/>
  <c r="P25" i="1" s="1"/>
  <c r="S21" i="1" l="1" a="1"/>
  <c r="S21" i="1" s="1"/>
  <c r="R22" i="1"/>
  <c r="N26" i="1"/>
  <c r="P26" i="1" s="1" a="1"/>
  <c r="P26" i="1" s="1"/>
  <c r="Q24" i="1"/>
  <c r="M26" i="1"/>
  <c r="O26" i="1" s="1"/>
  <c r="S22" i="1" l="1" a="1"/>
  <c r="S22" i="1" s="1"/>
  <c r="R23" i="1"/>
  <c r="Q25" i="1"/>
  <c r="M27" i="1"/>
  <c r="O27" i="1" s="1"/>
  <c r="N27" i="1"/>
  <c r="P27" i="1" s="1" a="1"/>
  <c r="P27" i="1" s="1"/>
  <c r="S23" i="1" l="1" a="1"/>
  <c r="S23" i="1" s="1"/>
  <c r="R24" i="1"/>
  <c r="N28" i="1"/>
  <c r="P28" i="1" s="1" a="1"/>
  <c r="P28" i="1" s="1"/>
  <c r="M28" i="1"/>
  <c r="O28" i="1" s="1"/>
  <c r="Q26" i="1"/>
  <c r="S24" i="1" l="1" a="1"/>
  <c r="S24" i="1" s="1"/>
  <c r="R25" i="1"/>
  <c r="Q27" i="1"/>
  <c r="M29" i="1"/>
  <c r="O29" i="1" s="1"/>
  <c r="N29" i="1"/>
  <c r="P29" i="1" s="1" a="1"/>
  <c r="P29" i="1" s="1"/>
  <c r="S25" i="1" l="1" a="1"/>
  <c r="S25" i="1" s="1"/>
  <c r="R26" i="1"/>
  <c r="N30" i="1"/>
  <c r="P30" i="1" s="1" a="1"/>
  <c r="P30" i="1" s="1"/>
  <c r="M30" i="1"/>
  <c r="O30" i="1" s="1"/>
  <c r="Q28" i="1"/>
  <c r="S26" i="1" l="1" a="1"/>
  <c r="S26" i="1" s="1"/>
  <c r="R27" i="1"/>
  <c r="M31" i="1"/>
  <c r="O31" i="1" s="1"/>
  <c r="Q29" i="1"/>
  <c r="N31" i="1"/>
  <c r="P31" i="1" s="1" a="1"/>
  <c r="P31" i="1" s="1"/>
  <c r="S27" i="1" l="1" a="1"/>
  <c r="S27" i="1" s="1"/>
  <c r="R28" i="1"/>
  <c r="N32" i="1"/>
  <c r="P32" i="1" s="1" a="1"/>
  <c r="P32" i="1" s="1"/>
  <c r="Q30" i="1"/>
  <c r="M32" i="1"/>
  <c r="O32" i="1" s="1"/>
  <c r="S28" i="1" l="1" a="1"/>
  <c r="S28" i="1" s="1"/>
  <c r="R29" i="1"/>
  <c r="M33" i="1"/>
  <c r="O33" i="1" s="1"/>
  <c r="N33" i="1"/>
  <c r="P33" i="1" s="1" a="1"/>
  <c r="P33" i="1" s="1"/>
  <c r="Q31" i="1"/>
  <c r="S29" i="1" l="1" a="1"/>
  <c r="S29" i="1" s="1"/>
  <c r="R30" i="1"/>
  <c r="N34" i="1"/>
  <c r="P34" i="1" s="1" a="1"/>
  <c r="P34" i="1" s="1"/>
  <c r="Q32" i="1"/>
  <c r="M34" i="1"/>
  <c r="O34" i="1" s="1"/>
  <c r="S30" i="1" l="1" a="1"/>
  <c r="S30" i="1" s="1"/>
  <c r="R31" i="1"/>
  <c r="Q33" i="1"/>
  <c r="M35" i="1"/>
  <c r="O35" i="1" s="1"/>
  <c r="N35" i="1"/>
  <c r="P35" i="1" s="1" a="1"/>
  <c r="P35" i="1" s="1"/>
  <c r="S31" i="1" l="1" a="1"/>
  <c r="S31" i="1" s="1"/>
  <c r="R32" i="1"/>
  <c r="N36" i="1"/>
  <c r="P36" i="1" s="1" a="1"/>
  <c r="P36" i="1" s="1"/>
  <c r="M36" i="1"/>
  <c r="O36" i="1" s="1"/>
  <c r="Q34" i="1"/>
  <c r="S32" i="1" l="1" a="1"/>
  <c r="S32" i="1" s="1"/>
  <c r="R33" i="1"/>
  <c r="Q35" i="1"/>
  <c r="M37" i="1"/>
  <c r="O37" i="1" s="1"/>
  <c r="N37" i="1"/>
  <c r="P37" i="1" s="1" a="1"/>
  <c r="P37" i="1" s="1"/>
  <c r="S33" i="1" l="1" a="1"/>
  <c r="S33" i="1" s="1"/>
  <c r="R34" i="1"/>
  <c r="N38" i="1"/>
  <c r="P38" i="1" s="1" a="1"/>
  <c r="P38" i="1" s="1"/>
  <c r="Q36" i="1"/>
  <c r="M38" i="1"/>
  <c r="O38" i="1" s="1"/>
  <c r="S34" i="1" l="1" a="1"/>
  <c r="S34" i="1" s="1"/>
  <c r="R35" i="1"/>
  <c r="Q37" i="1"/>
  <c r="M39" i="1"/>
  <c r="O39" i="1" s="1"/>
  <c r="N39" i="1"/>
  <c r="P39" i="1" s="1" a="1"/>
  <c r="P39" i="1" s="1"/>
  <c r="S35" i="1" l="1" a="1"/>
  <c r="S35" i="1" s="1"/>
  <c r="R36" i="1"/>
  <c r="N40" i="1"/>
  <c r="P40" i="1" s="1" a="1"/>
  <c r="P40" i="1" s="1"/>
  <c r="M40" i="1"/>
  <c r="O40" i="1" s="1"/>
  <c r="Q38" i="1"/>
  <c r="S36" i="1" l="1" a="1"/>
  <c r="S36" i="1" s="1"/>
  <c r="R37" i="1"/>
  <c r="Q39" i="1"/>
  <c r="M41" i="1"/>
  <c r="O41" i="1" s="1"/>
  <c r="N41" i="1"/>
  <c r="P41" i="1" s="1" a="1"/>
  <c r="P41" i="1" s="1"/>
  <c r="S37" i="1" l="1" a="1"/>
  <c r="S37" i="1" s="1"/>
  <c r="R38" i="1"/>
  <c r="N42" i="1"/>
  <c r="P42" i="1" s="1" a="1"/>
  <c r="P42" i="1" s="1"/>
  <c r="Q40" i="1"/>
  <c r="M42" i="1"/>
  <c r="O42" i="1" s="1"/>
  <c r="S38" i="1" l="1" a="1"/>
  <c r="S38" i="1" s="1"/>
  <c r="R39" i="1"/>
  <c r="Q41" i="1"/>
  <c r="M43" i="1"/>
  <c r="O43" i="1" s="1"/>
  <c r="N43" i="1"/>
  <c r="P43" i="1" s="1" a="1"/>
  <c r="P43" i="1" s="1"/>
  <c r="S39" i="1" l="1" a="1"/>
  <c r="S39" i="1" s="1"/>
  <c r="R40" i="1"/>
  <c r="N44" i="1"/>
  <c r="P44" i="1" s="1" a="1"/>
  <c r="P44" i="1" s="1"/>
  <c r="M44" i="1"/>
  <c r="O44" i="1" s="1"/>
  <c r="Q42" i="1"/>
  <c r="S40" i="1" l="1" a="1"/>
  <c r="S40" i="1" s="1"/>
  <c r="R41" i="1"/>
  <c r="Q43" i="1"/>
  <c r="M45" i="1"/>
  <c r="O45" i="1" s="1"/>
  <c r="N45" i="1"/>
  <c r="P45" i="1" s="1" a="1"/>
  <c r="P45" i="1" s="1"/>
  <c r="S41" i="1" l="1" a="1"/>
  <c r="S41" i="1" s="1"/>
  <c r="R42" i="1"/>
  <c r="M46" i="1"/>
  <c r="O46" i="1" s="1"/>
  <c r="N46" i="1"/>
  <c r="P46" i="1" s="1" a="1"/>
  <c r="P46" i="1" s="1"/>
  <c r="Q44" i="1"/>
  <c r="S42" i="1" l="1" a="1"/>
  <c r="S42" i="1" s="1"/>
  <c r="R43" i="1"/>
  <c r="N47" i="1"/>
  <c r="P47" i="1" s="1" a="1"/>
  <c r="P47" i="1" s="1"/>
  <c r="M47" i="1"/>
  <c r="O47" i="1" s="1"/>
  <c r="Q45" i="1"/>
  <c r="S43" i="1" l="1" a="1"/>
  <c r="S43" i="1" s="1"/>
  <c r="R44" i="1"/>
  <c r="Q46" i="1"/>
  <c r="M48" i="1"/>
  <c r="O48" i="1" s="1"/>
  <c r="N48" i="1"/>
  <c r="P48" i="1" s="1" a="1"/>
  <c r="P48" i="1" s="1"/>
  <c r="S44" i="1" l="1" a="1"/>
  <c r="S44" i="1" s="1"/>
  <c r="R45" i="1"/>
  <c r="M49" i="1"/>
  <c r="O49" i="1" s="1"/>
  <c r="N49" i="1"/>
  <c r="P49" i="1" s="1" a="1"/>
  <c r="P49" i="1" s="1"/>
  <c r="Q47" i="1"/>
  <c r="S45" i="1" l="1" a="1"/>
  <c r="S45" i="1" s="1"/>
  <c r="R46" i="1"/>
  <c r="N50" i="1"/>
  <c r="P50" i="1" s="1" a="1"/>
  <c r="P50" i="1" s="1"/>
  <c r="Q48" i="1"/>
  <c r="M50" i="1"/>
  <c r="O50" i="1" s="1"/>
  <c r="S46" i="1" l="1" a="1"/>
  <c r="S46" i="1" s="1"/>
  <c r="R47" i="1"/>
  <c r="Q49" i="1"/>
  <c r="M51" i="1"/>
  <c r="O51" i="1" s="1"/>
  <c r="N51" i="1"/>
  <c r="P51" i="1" s="1" a="1"/>
  <c r="P51" i="1" s="1"/>
  <c r="S47" i="1" l="1" a="1"/>
  <c r="S47" i="1" s="1"/>
  <c r="R48" i="1"/>
  <c r="N52" i="1"/>
  <c r="P52" i="1" s="1" a="1"/>
  <c r="P52" i="1" s="1"/>
  <c r="M52" i="1"/>
  <c r="O52" i="1" s="1"/>
  <c r="Q50" i="1"/>
  <c r="S48" i="1" l="1" a="1"/>
  <c r="S48" i="1" s="1"/>
  <c r="R49" i="1"/>
  <c r="Q51" i="1"/>
  <c r="M53" i="1"/>
  <c r="O53" i="1" s="1"/>
  <c r="N53" i="1"/>
  <c r="P53" i="1" s="1" a="1"/>
  <c r="P53" i="1" s="1"/>
  <c r="S49" i="1" l="1" a="1"/>
  <c r="S49" i="1" s="1"/>
  <c r="R50" i="1"/>
  <c r="N54" i="1"/>
  <c r="P54" i="1" s="1" a="1"/>
  <c r="P54" i="1" s="1"/>
  <c r="M54" i="1"/>
  <c r="O54" i="1" s="1"/>
  <c r="Q52" i="1"/>
  <c r="S50" i="1" l="1" a="1"/>
  <c r="S50" i="1" s="1"/>
  <c r="R51" i="1"/>
  <c r="M55" i="1"/>
  <c r="O55" i="1" s="1"/>
  <c r="Q53" i="1"/>
  <c r="N55" i="1"/>
  <c r="P55" i="1" s="1" a="1"/>
  <c r="P55" i="1" s="1"/>
  <c r="S51" i="1" l="1" a="1"/>
  <c r="S51" i="1" s="1"/>
  <c r="R52" i="1"/>
  <c r="N56" i="1"/>
  <c r="P56" i="1" s="1" a="1"/>
  <c r="P56" i="1" s="1"/>
  <c r="Q54" i="1"/>
  <c r="M56" i="1"/>
  <c r="O56" i="1" s="1"/>
  <c r="S52" i="1" l="1" a="1"/>
  <c r="S52" i="1" s="1"/>
  <c r="R53" i="1"/>
  <c r="M57" i="1"/>
  <c r="O57" i="1" s="1"/>
  <c r="Q55" i="1"/>
  <c r="N57" i="1"/>
  <c r="P57" i="1" s="1" a="1"/>
  <c r="P57" i="1" s="1"/>
  <c r="S53" i="1" l="1" a="1"/>
  <c r="S53" i="1" s="1"/>
  <c r="R54" i="1"/>
  <c r="N58" i="1"/>
  <c r="P58" i="1" s="1" a="1"/>
  <c r="P58" i="1" s="1"/>
  <c r="Q56" i="1"/>
  <c r="M58" i="1"/>
  <c r="O58" i="1" s="1"/>
  <c r="S54" i="1" l="1" a="1"/>
  <c r="S54" i="1" s="1"/>
  <c r="R55" i="1"/>
  <c r="Q57" i="1"/>
  <c r="M59" i="1"/>
  <c r="O59" i="1" s="1"/>
  <c r="N59" i="1"/>
  <c r="P59" i="1" s="1" a="1"/>
  <c r="P59" i="1" s="1"/>
  <c r="S55" i="1" l="1" a="1"/>
  <c r="S55" i="1" s="1"/>
  <c r="R56" i="1"/>
  <c r="N60" i="1"/>
  <c r="P60" i="1" s="1" a="1"/>
  <c r="P60" i="1" s="1"/>
  <c r="M60" i="1"/>
  <c r="O60" i="1" s="1"/>
  <c r="Q58" i="1"/>
  <c r="S56" i="1" l="1" a="1"/>
  <c r="S56" i="1" s="1"/>
  <c r="R57" i="1"/>
  <c r="Q59" i="1"/>
  <c r="M61" i="1"/>
  <c r="O61" i="1" s="1"/>
  <c r="N61" i="1"/>
  <c r="P61" i="1" s="1" a="1"/>
  <c r="P61" i="1" s="1"/>
  <c r="S57" i="1" l="1" a="1"/>
  <c r="S57" i="1" s="1"/>
  <c r="R58" i="1"/>
  <c r="N62" i="1"/>
  <c r="P62" i="1" s="1" a="1"/>
  <c r="P62" i="1" s="1"/>
  <c r="M62" i="1"/>
  <c r="O62" i="1" s="1"/>
  <c r="Q60" i="1"/>
  <c r="S58" i="1" l="1" a="1"/>
  <c r="S58" i="1" s="1"/>
  <c r="R59" i="1"/>
  <c r="Q61" i="1"/>
  <c r="M63" i="1"/>
  <c r="O63" i="1" s="1"/>
  <c r="N63" i="1"/>
  <c r="P63" i="1" s="1" a="1"/>
  <c r="P63" i="1" s="1"/>
  <c r="S59" i="1" l="1" a="1"/>
  <c r="S59" i="1" s="1"/>
  <c r="R60" i="1"/>
  <c r="N64" i="1"/>
  <c r="P64" i="1" s="1" a="1"/>
  <c r="P64" i="1" s="1"/>
  <c r="Q62" i="1"/>
  <c r="M64" i="1"/>
  <c r="O64" i="1" s="1"/>
  <c r="S60" i="1" l="1" a="1"/>
  <c r="S60" i="1" s="1"/>
  <c r="R61" i="1"/>
  <c r="M65" i="1"/>
  <c r="O65" i="1" s="1"/>
  <c r="Q63" i="1"/>
  <c r="N65" i="1"/>
  <c r="P65" i="1" s="1" a="1"/>
  <c r="P65" i="1" s="1"/>
  <c r="S61" i="1" l="1" a="1"/>
  <c r="S61" i="1" s="1"/>
  <c r="R62" i="1"/>
  <c r="N66" i="1"/>
  <c r="P66" i="1" s="1" a="1"/>
  <c r="P66" i="1" s="1"/>
  <c r="Q64" i="1"/>
  <c r="M66" i="1"/>
  <c r="O66" i="1" s="1"/>
  <c r="S62" i="1" l="1" a="1"/>
  <c r="S62" i="1" s="1"/>
  <c r="R63" i="1"/>
  <c r="Q65" i="1"/>
  <c r="M67" i="1"/>
  <c r="O67" i="1" s="1"/>
  <c r="N67" i="1"/>
  <c r="P67" i="1" s="1" a="1"/>
  <c r="P67" i="1" s="1"/>
  <c r="S63" i="1" l="1" a="1"/>
  <c r="S63" i="1" s="1"/>
  <c r="R64" i="1"/>
  <c r="N68" i="1"/>
  <c r="P68" i="1" s="1" a="1"/>
  <c r="P68" i="1" s="1"/>
  <c r="M68" i="1"/>
  <c r="O68" i="1" s="1"/>
  <c r="Q66" i="1"/>
  <c r="S64" i="1" l="1" a="1"/>
  <c r="S64" i="1" s="1"/>
  <c r="R65" i="1"/>
  <c r="Q67" i="1"/>
  <c r="M69" i="1"/>
  <c r="O69" i="1" s="1"/>
  <c r="N69" i="1"/>
  <c r="P69" i="1" s="1" a="1"/>
  <c r="P69" i="1" s="1"/>
  <c r="S65" i="1" l="1" a="1"/>
  <c r="S65" i="1" s="1"/>
  <c r="R66" i="1"/>
  <c r="M70" i="1"/>
  <c r="O70" i="1" s="1"/>
  <c r="N70" i="1"/>
  <c r="P70" i="1" s="1" a="1"/>
  <c r="P70" i="1" s="1"/>
  <c r="Q68" i="1"/>
  <c r="S66" i="1" l="1" a="1"/>
  <c r="S66" i="1" s="1"/>
  <c r="R67" i="1"/>
  <c r="M71" i="1"/>
  <c r="O71" i="1" s="1"/>
  <c r="N71" i="1"/>
  <c r="P71" i="1" s="1" a="1"/>
  <c r="P71" i="1" s="1"/>
  <c r="Q69" i="1"/>
  <c r="S67" i="1" l="1" a="1"/>
  <c r="S67" i="1" s="1"/>
  <c r="R68" i="1"/>
  <c r="N72" i="1"/>
  <c r="P72" i="1" s="1" a="1"/>
  <c r="P72" i="1" s="1"/>
  <c r="Q70" i="1"/>
  <c r="M72" i="1"/>
  <c r="O72" i="1" s="1"/>
  <c r="S68" i="1" l="1" a="1"/>
  <c r="S68" i="1" s="1"/>
  <c r="R69" i="1"/>
  <c r="M73" i="1"/>
  <c r="O73" i="1" s="1"/>
  <c r="Q71" i="1"/>
  <c r="N73" i="1"/>
  <c r="P73" i="1" s="1" a="1"/>
  <c r="P73" i="1" s="1"/>
  <c r="S69" i="1" l="1" a="1"/>
  <c r="S69" i="1" s="1"/>
  <c r="R70" i="1"/>
  <c r="N74" i="1"/>
  <c r="P74" i="1" s="1" a="1"/>
  <c r="P74" i="1" s="1"/>
  <c r="M74" i="1"/>
  <c r="O74" i="1" s="1"/>
  <c r="Q72" i="1"/>
  <c r="S70" i="1" l="1" a="1"/>
  <c r="S70" i="1" s="1"/>
  <c r="R71" i="1"/>
  <c r="Q73" i="1"/>
  <c r="M75" i="1"/>
  <c r="O75" i="1" s="1"/>
  <c r="N75" i="1"/>
  <c r="P75" i="1" s="1" a="1"/>
  <c r="P75" i="1" s="1"/>
  <c r="S71" i="1" l="1" a="1"/>
  <c r="S71" i="1" s="1"/>
  <c r="R72" i="1"/>
  <c r="M76" i="1"/>
  <c r="O76" i="1" s="1"/>
  <c r="N76" i="1"/>
  <c r="P76" i="1" s="1" a="1"/>
  <c r="P76" i="1" s="1"/>
  <c r="Q74" i="1"/>
  <c r="S72" i="1" l="1" a="1"/>
  <c r="S72" i="1" s="1"/>
  <c r="R73" i="1"/>
  <c r="N77" i="1"/>
  <c r="P77" i="1" s="1" a="1"/>
  <c r="P77" i="1" s="1"/>
  <c r="Q75" i="1"/>
  <c r="M77" i="1"/>
  <c r="O77" i="1" s="1"/>
  <c r="S73" i="1" l="1" a="1"/>
  <c r="S73" i="1" s="1"/>
  <c r="R74" i="1"/>
  <c r="Q76" i="1"/>
  <c r="N78" i="1"/>
  <c r="P78" i="1" s="1" a="1"/>
  <c r="P78" i="1" s="1"/>
  <c r="M78" i="1"/>
  <c r="O78" i="1" s="1"/>
  <c r="S74" i="1" l="1" a="1"/>
  <c r="S74" i="1" s="1"/>
  <c r="R75" i="1"/>
  <c r="Q77" i="1"/>
  <c r="M79" i="1"/>
  <c r="O79" i="1" s="1"/>
  <c r="N79" i="1"/>
  <c r="P79" i="1" s="1" a="1"/>
  <c r="P79" i="1" s="1"/>
  <c r="S75" i="1" l="1" a="1"/>
  <c r="S75" i="1" s="1"/>
  <c r="R76" i="1"/>
  <c r="N80" i="1"/>
  <c r="P80" i="1" s="1" a="1"/>
  <c r="P80" i="1" s="1"/>
  <c r="Q78" i="1"/>
  <c r="M80" i="1"/>
  <c r="O80" i="1" s="1"/>
  <c r="S76" i="1" l="1" a="1"/>
  <c r="S76" i="1" s="1"/>
  <c r="R77" i="1"/>
  <c r="M81" i="1"/>
  <c r="O81" i="1" s="1"/>
  <c r="Q79" i="1"/>
  <c r="N81" i="1"/>
  <c r="P81" i="1" s="1" a="1"/>
  <c r="P81" i="1" s="1"/>
  <c r="S77" i="1" l="1" a="1"/>
  <c r="S77" i="1" s="1"/>
  <c r="R78" i="1"/>
  <c r="Q80" i="1"/>
  <c r="N82" i="1"/>
  <c r="P82" i="1" s="1" a="1"/>
  <c r="P82" i="1" s="1"/>
  <c r="M82" i="1"/>
  <c r="O82" i="1" s="1"/>
  <c r="S78" i="1" l="1" a="1"/>
  <c r="S78" i="1" s="1"/>
  <c r="R79" i="1"/>
  <c r="Q81" i="1"/>
  <c r="M83" i="1"/>
  <c r="O83" i="1" s="1"/>
  <c r="N83" i="1"/>
  <c r="P83" i="1" s="1" a="1"/>
  <c r="P83" i="1" s="1"/>
  <c r="S79" i="1" l="1" a="1"/>
  <c r="S79" i="1" s="1"/>
  <c r="R80" i="1"/>
  <c r="N84" i="1"/>
  <c r="P84" i="1" s="1" a="1"/>
  <c r="P84" i="1" s="1"/>
  <c r="M84" i="1"/>
  <c r="O84" i="1" s="1"/>
  <c r="Q82" i="1"/>
  <c r="S80" i="1" l="1" a="1"/>
  <c r="S80" i="1" s="1"/>
  <c r="R81" i="1"/>
  <c r="Q83" i="1"/>
  <c r="M85" i="1"/>
  <c r="O85" i="1" s="1"/>
  <c r="N85" i="1"/>
  <c r="P85" i="1" s="1" a="1"/>
  <c r="P85" i="1" s="1"/>
  <c r="S81" i="1" l="1" a="1"/>
  <c r="S81" i="1" s="1"/>
  <c r="R82" i="1"/>
  <c r="N86" i="1"/>
  <c r="P86" i="1" s="1" a="1"/>
  <c r="P86" i="1" s="1"/>
  <c r="M86" i="1"/>
  <c r="O86" i="1" s="1"/>
  <c r="Q84" i="1"/>
  <c r="S82" i="1" l="1" a="1"/>
  <c r="S82" i="1" s="1"/>
  <c r="R83" i="1"/>
  <c r="M87" i="1"/>
  <c r="O87" i="1" s="1"/>
  <c r="Q85" i="1"/>
  <c r="N87" i="1"/>
  <c r="P87" i="1" s="1" a="1"/>
  <c r="P87" i="1" s="1"/>
  <c r="S83" i="1" l="1" a="1"/>
  <c r="S83" i="1" s="1"/>
  <c r="R84" i="1"/>
  <c r="N88" i="1"/>
  <c r="P88" i="1" s="1" a="1"/>
  <c r="P88" i="1" s="1"/>
  <c r="Q86" i="1"/>
  <c r="M88" i="1"/>
  <c r="O88" i="1" s="1"/>
  <c r="S84" i="1" l="1" a="1"/>
  <c r="S84" i="1" s="1"/>
  <c r="R85" i="1"/>
  <c r="M89" i="1"/>
  <c r="O89" i="1" s="1"/>
  <c r="Q87" i="1"/>
  <c r="N89" i="1"/>
  <c r="P89" i="1" s="1" a="1"/>
  <c r="P89" i="1" s="1"/>
  <c r="S85" i="1" l="1" a="1"/>
  <c r="S85" i="1" s="1"/>
  <c r="R86" i="1"/>
  <c r="N90" i="1"/>
  <c r="P90" i="1" s="1" a="1"/>
  <c r="P90" i="1" s="1"/>
  <c r="Q88" i="1"/>
  <c r="M90" i="1"/>
  <c r="O90" i="1" s="1"/>
  <c r="S86" i="1" l="1" a="1"/>
  <c r="S86" i="1" s="1"/>
  <c r="R87" i="1"/>
  <c r="Q89" i="1"/>
  <c r="M91" i="1"/>
  <c r="O91" i="1" s="1"/>
  <c r="N91" i="1"/>
  <c r="P91" i="1" s="1" a="1"/>
  <c r="P91" i="1" s="1"/>
  <c r="S87" i="1" l="1" a="1"/>
  <c r="S87" i="1" s="1"/>
  <c r="R88" i="1"/>
  <c r="N92" i="1"/>
  <c r="P92" i="1" s="1" a="1"/>
  <c r="P92" i="1" s="1"/>
  <c r="M92" i="1"/>
  <c r="O92" i="1" s="1"/>
  <c r="Q90" i="1"/>
  <c r="S88" i="1" l="1" a="1"/>
  <c r="S88" i="1" s="1"/>
  <c r="R89" i="1"/>
  <c r="Q91" i="1"/>
  <c r="M93" i="1"/>
  <c r="O93" i="1" s="1"/>
  <c r="N93" i="1"/>
  <c r="P93" i="1" s="1" a="1"/>
  <c r="P93" i="1" s="1"/>
  <c r="S89" i="1" l="1" a="1"/>
  <c r="S89" i="1" s="1"/>
  <c r="R90" i="1"/>
  <c r="N94" i="1"/>
  <c r="P94" i="1" s="1" a="1"/>
  <c r="P94" i="1" s="1"/>
  <c r="M94" i="1"/>
  <c r="O94" i="1" s="1"/>
  <c r="Q92" i="1"/>
  <c r="S90" i="1" l="1" a="1"/>
  <c r="S90" i="1" s="1"/>
  <c r="R91" i="1"/>
  <c r="M95" i="1"/>
  <c r="O95" i="1" s="1"/>
  <c r="Q93" i="1"/>
  <c r="N95" i="1"/>
  <c r="P95" i="1" s="1" a="1"/>
  <c r="P95" i="1" s="1"/>
  <c r="S91" i="1" l="1" a="1"/>
  <c r="S91" i="1" s="1"/>
  <c r="R92" i="1"/>
  <c r="N96" i="1"/>
  <c r="P96" i="1" s="1" a="1"/>
  <c r="P96" i="1" s="1"/>
  <c r="Q94" i="1"/>
  <c r="M96" i="1"/>
  <c r="O96" i="1" s="1"/>
  <c r="S92" i="1" l="1" a="1"/>
  <c r="S92" i="1" s="1"/>
  <c r="R93" i="1"/>
  <c r="M97" i="1"/>
  <c r="O97" i="1" s="1"/>
  <c r="Q95" i="1"/>
  <c r="N97" i="1"/>
  <c r="P97" i="1" s="1" a="1"/>
  <c r="P97" i="1" s="1"/>
  <c r="S93" i="1" l="1" a="1"/>
  <c r="S93" i="1" s="1"/>
  <c r="R94" i="1"/>
  <c r="N98" i="1"/>
  <c r="P98" i="1" s="1" a="1"/>
  <c r="P98" i="1" s="1"/>
  <c r="Q96" i="1"/>
  <c r="M98" i="1"/>
  <c r="O98" i="1" s="1"/>
  <c r="S94" i="1" l="1" a="1"/>
  <c r="S94" i="1" s="1"/>
  <c r="R95" i="1"/>
  <c r="Q97" i="1"/>
  <c r="M99" i="1"/>
  <c r="O99" i="1" s="1"/>
  <c r="N99" i="1"/>
  <c r="P99" i="1" s="1" a="1"/>
  <c r="P99" i="1" s="1"/>
  <c r="S95" i="1" l="1" a="1"/>
  <c r="S95" i="1" s="1"/>
  <c r="R96" i="1"/>
  <c r="M100" i="1"/>
  <c r="O100" i="1" s="1"/>
  <c r="N100" i="1"/>
  <c r="P100" i="1" s="1" a="1"/>
  <c r="P100" i="1" s="1"/>
  <c r="Q98" i="1"/>
  <c r="S96" i="1" l="1" a="1"/>
  <c r="S96" i="1" s="1"/>
  <c r="R97" i="1"/>
  <c r="N101" i="1"/>
  <c r="P101" i="1" s="1" a="1"/>
  <c r="P101" i="1" s="1"/>
  <c r="Q99" i="1"/>
  <c r="M101" i="1"/>
  <c r="O101" i="1" s="1"/>
  <c r="S97" i="1" l="1" a="1"/>
  <c r="S97" i="1" s="1"/>
  <c r="R98" i="1"/>
  <c r="M102" i="1"/>
  <c r="O102" i="1" s="1"/>
  <c r="N102" i="1"/>
  <c r="P102" i="1" s="1" a="1"/>
  <c r="P102" i="1" s="1"/>
  <c r="Q100" i="1"/>
  <c r="S98" i="1" l="1" a="1"/>
  <c r="S98" i="1" s="1"/>
  <c r="R99" i="1"/>
  <c r="N103" i="1"/>
  <c r="P103" i="1" s="1" a="1"/>
  <c r="P103" i="1" s="1"/>
  <c r="M103" i="1"/>
  <c r="O103" i="1" s="1"/>
  <c r="Q101" i="1"/>
  <c r="S99" i="1" l="1" a="1"/>
  <c r="S99" i="1" s="1"/>
  <c r="R100" i="1"/>
  <c r="Q102" i="1"/>
  <c r="M104" i="1"/>
  <c r="O104" i="1" s="1"/>
  <c r="N104" i="1"/>
  <c r="P104" i="1" s="1" a="1"/>
  <c r="P104" i="1" s="1"/>
  <c r="S100" i="1" l="1" a="1"/>
  <c r="S100" i="1" s="1"/>
  <c r="R101" i="1"/>
  <c r="N105" i="1"/>
  <c r="P105" i="1" s="1" a="1"/>
  <c r="P105" i="1" s="1"/>
  <c r="M105" i="1"/>
  <c r="O105" i="1" s="1"/>
  <c r="Q103" i="1"/>
  <c r="S101" i="1" l="1" a="1"/>
  <c r="S101" i="1" s="1"/>
  <c r="R102" i="1"/>
  <c r="Q104" i="1"/>
  <c r="M106" i="1"/>
  <c r="O106" i="1" s="1"/>
  <c r="N106" i="1"/>
  <c r="P106" i="1" s="1" a="1"/>
  <c r="P106" i="1" s="1"/>
  <c r="S102" i="1" l="1" a="1"/>
  <c r="S102" i="1" s="1"/>
  <c r="R103" i="1"/>
  <c r="N107" i="1"/>
  <c r="P107" i="1" s="1" a="1"/>
  <c r="P107" i="1" s="1"/>
  <c r="Q105" i="1"/>
  <c r="M107" i="1"/>
  <c r="O107" i="1" s="1"/>
  <c r="S103" i="1" l="1" a="1"/>
  <c r="S103" i="1" s="1"/>
  <c r="R104" i="1"/>
  <c r="M108" i="1"/>
  <c r="O108" i="1" s="1"/>
  <c r="Q106" i="1"/>
  <c r="N108" i="1"/>
  <c r="P108" i="1" s="1" a="1"/>
  <c r="P108" i="1" s="1"/>
  <c r="S104" i="1" l="1" a="1"/>
  <c r="S104" i="1" s="1"/>
  <c r="R105" i="1"/>
  <c r="N109" i="1"/>
  <c r="P109" i="1" s="1" a="1"/>
  <c r="P109" i="1" s="1"/>
  <c r="Q107" i="1"/>
  <c r="M109" i="1"/>
  <c r="O109" i="1" s="1"/>
  <c r="S105" i="1" l="1" a="1"/>
  <c r="S105" i="1" s="1"/>
  <c r="R106" i="1"/>
  <c r="M110" i="1"/>
  <c r="O110" i="1" s="1"/>
  <c r="Q108" i="1"/>
  <c r="N110" i="1"/>
  <c r="P110" i="1" s="1" a="1"/>
  <c r="P110" i="1" s="1"/>
  <c r="S106" i="1" l="1" a="1"/>
  <c r="S106" i="1" s="1"/>
  <c r="R107" i="1"/>
  <c r="N111" i="1"/>
  <c r="P111" i="1" s="1" a="1"/>
  <c r="P111" i="1" s="1"/>
  <c r="M111" i="1"/>
  <c r="O111" i="1" s="1"/>
  <c r="Q109" i="1"/>
  <c r="S107" i="1" l="1" a="1"/>
  <c r="S107" i="1" s="1"/>
  <c r="R108" i="1"/>
  <c r="Q110" i="1"/>
  <c r="M112" i="1"/>
  <c r="O112" i="1" s="1"/>
  <c r="N112" i="1"/>
  <c r="P112" i="1" s="1" a="1"/>
  <c r="P112" i="1" s="1"/>
  <c r="S108" i="1" l="1" a="1"/>
  <c r="S108" i="1" s="1"/>
  <c r="R109" i="1"/>
  <c r="M113" i="1"/>
  <c r="O113" i="1" s="1"/>
  <c r="N113" i="1"/>
  <c r="P113" i="1" s="1" a="1"/>
  <c r="P113" i="1" s="1"/>
  <c r="Q111" i="1"/>
  <c r="S109" i="1" l="1" a="1"/>
  <c r="S109" i="1" s="1"/>
  <c r="R110" i="1"/>
  <c r="N114" i="1"/>
  <c r="P114" i="1" s="1" a="1"/>
  <c r="P114" i="1" s="1"/>
  <c r="M114" i="1"/>
  <c r="O114" i="1" s="1"/>
  <c r="Q112" i="1"/>
  <c r="S110" i="1" l="1" a="1"/>
  <c r="S110" i="1" s="1"/>
  <c r="R111" i="1"/>
  <c r="Q113" i="1"/>
  <c r="M115" i="1"/>
  <c r="O115" i="1" s="1"/>
  <c r="N115" i="1"/>
  <c r="P115" i="1" s="1" a="1"/>
  <c r="P115" i="1" s="1"/>
  <c r="S111" i="1" l="1" a="1"/>
  <c r="S111" i="1" s="1"/>
  <c r="R112" i="1"/>
  <c r="N116" i="1"/>
  <c r="P116" i="1" s="1" a="1"/>
  <c r="P116" i="1" s="1"/>
  <c r="M116" i="1"/>
  <c r="O116" i="1" s="1"/>
  <c r="Q114" i="1"/>
  <c r="S112" i="1" l="1" a="1"/>
  <c r="S112" i="1" s="1"/>
  <c r="R113" i="1"/>
  <c r="Q115" i="1"/>
  <c r="M117" i="1"/>
  <c r="O117" i="1" s="1"/>
  <c r="N117" i="1"/>
  <c r="P117" i="1" s="1" a="1"/>
  <c r="P117" i="1" s="1"/>
  <c r="S113" i="1" l="1" a="1"/>
  <c r="S113" i="1" s="1"/>
  <c r="R114" i="1"/>
  <c r="N118" i="1"/>
  <c r="P118" i="1" s="1" a="1"/>
  <c r="P118" i="1" s="1"/>
  <c r="M118" i="1"/>
  <c r="O118" i="1" s="1"/>
  <c r="Q116" i="1"/>
  <c r="S114" i="1" l="1" a="1"/>
  <c r="S114" i="1" s="1"/>
  <c r="R115" i="1"/>
  <c r="Q117" i="1"/>
  <c r="N119" i="1"/>
  <c r="P119" i="1" s="1" a="1"/>
  <c r="P119" i="1" s="1"/>
  <c r="M119" i="1"/>
  <c r="O119" i="1" s="1"/>
  <c r="S115" i="1" l="1" a="1"/>
  <c r="S115" i="1" s="1"/>
  <c r="R116" i="1"/>
  <c r="Q118" i="1"/>
  <c r="M120" i="1"/>
  <c r="O120" i="1" s="1"/>
  <c r="N120" i="1"/>
  <c r="P120" i="1" s="1" a="1"/>
  <c r="P120" i="1" s="1"/>
  <c r="S116" i="1" l="1" a="1"/>
  <c r="S116" i="1" s="1"/>
  <c r="R117" i="1"/>
  <c r="N121" i="1"/>
  <c r="P121" i="1" s="1" a="1"/>
  <c r="P121" i="1" s="1"/>
  <c r="Q119" i="1"/>
  <c r="M121" i="1"/>
  <c r="O121" i="1" s="1"/>
  <c r="S117" i="1" l="1" a="1"/>
  <c r="S117" i="1" s="1"/>
  <c r="R118" i="1"/>
  <c r="Q120" i="1"/>
  <c r="M122" i="1"/>
  <c r="O122" i="1" s="1"/>
  <c r="N122" i="1"/>
  <c r="P122" i="1" s="1" a="1"/>
  <c r="P122" i="1" s="1"/>
  <c r="S118" i="1" l="1" a="1"/>
  <c r="S118" i="1" s="1"/>
  <c r="R119" i="1"/>
  <c r="N123" i="1"/>
  <c r="P123" i="1" s="1" a="1"/>
  <c r="P123" i="1" s="1"/>
  <c r="Q121" i="1"/>
  <c r="M123" i="1"/>
  <c r="O123" i="1" s="1"/>
  <c r="S119" i="1" l="1" a="1"/>
  <c r="S119" i="1" s="1"/>
  <c r="R120" i="1"/>
  <c r="M124" i="1"/>
  <c r="O124" i="1" s="1"/>
  <c r="Q122" i="1"/>
  <c r="N124" i="1"/>
  <c r="P124" i="1" s="1" a="1"/>
  <c r="P124" i="1" s="1"/>
  <c r="S120" i="1" l="1" a="1"/>
  <c r="S120" i="1" s="1"/>
  <c r="R121" i="1"/>
  <c r="N125" i="1"/>
  <c r="P125" i="1" s="1" a="1"/>
  <c r="P125" i="1" s="1"/>
  <c r="Q123" i="1"/>
  <c r="M125" i="1"/>
  <c r="O125" i="1" s="1"/>
  <c r="S121" i="1" l="1" a="1"/>
  <c r="S121" i="1" s="1"/>
  <c r="R122" i="1"/>
  <c r="M126" i="1"/>
  <c r="O126" i="1" s="1"/>
  <c r="N126" i="1"/>
  <c r="P126" i="1" s="1" a="1"/>
  <c r="P126" i="1" s="1"/>
  <c r="Q124" i="1"/>
  <c r="S122" i="1" l="1" a="1"/>
  <c r="S122" i="1" s="1"/>
  <c r="R123" i="1"/>
  <c r="N127" i="1"/>
  <c r="P127" i="1" s="1" a="1"/>
  <c r="P127" i="1" s="1"/>
  <c r="M127" i="1"/>
  <c r="O127" i="1" s="1"/>
  <c r="Q125" i="1"/>
  <c r="S123" i="1" l="1" a="1"/>
  <c r="S123" i="1" s="1"/>
  <c r="R124" i="1"/>
  <c r="N128" i="1"/>
  <c r="P128" i="1" s="1" a="1"/>
  <c r="P128" i="1" s="1"/>
  <c r="Q126" i="1"/>
  <c r="M128" i="1"/>
  <c r="O128" i="1" s="1"/>
  <c r="S124" i="1" l="1" a="1"/>
  <c r="S124" i="1" s="1"/>
  <c r="R125" i="1"/>
  <c r="M129" i="1"/>
  <c r="O129" i="1" s="1"/>
  <c r="N129" i="1"/>
  <c r="P129" i="1" s="1" a="1"/>
  <c r="P129" i="1" s="1"/>
  <c r="Q127" i="1"/>
  <c r="S125" i="1" l="1" a="1"/>
  <c r="S125" i="1" s="1"/>
  <c r="R126" i="1"/>
  <c r="N130" i="1"/>
  <c r="P130" i="1" s="1" a="1"/>
  <c r="P130" i="1" s="1"/>
  <c r="Q128" i="1"/>
  <c r="M130" i="1"/>
  <c r="O130" i="1" s="1"/>
  <c r="S126" i="1" l="1" a="1"/>
  <c r="S126" i="1" s="1"/>
  <c r="R127" i="1"/>
  <c r="Q129" i="1"/>
  <c r="M131" i="1"/>
  <c r="O131" i="1" s="1"/>
  <c r="N131" i="1"/>
  <c r="P131" i="1" s="1" a="1"/>
  <c r="P131" i="1" s="1"/>
  <c r="S127" i="1" l="1" a="1"/>
  <c r="S127" i="1" s="1"/>
  <c r="R128" i="1"/>
  <c r="N132" i="1"/>
  <c r="P132" i="1" s="1" a="1"/>
  <c r="P132" i="1" s="1"/>
  <c r="M132" i="1"/>
  <c r="O132" i="1" s="1"/>
  <c r="Q130" i="1"/>
  <c r="S128" i="1" l="1" a="1"/>
  <c r="S128" i="1" s="1"/>
  <c r="R129" i="1"/>
  <c r="Q131" i="1"/>
  <c r="M133" i="1"/>
  <c r="O133" i="1" s="1"/>
  <c r="N133" i="1"/>
  <c r="P133" i="1" s="1" a="1"/>
  <c r="P133" i="1" s="1"/>
  <c r="S129" i="1" l="1" a="1"/>
  <c r="S129" i="1" s="1"/>
  <c r="R130" i="1"/>
  <c r="M134" i="1"/>
  <c r="O134" i="1" s="1"/>
  <c r="N134" i="1"/>
  <c r="P134" i="1" s="1" a="1"/>
  <c r="P134" i="1" s="1"/>
  <c r="Q132" i="1"/>
  <c r="S130" i="1" l="1" a="1"/>
  <c r="S130" i="1" s="1"/>
  <c r="R131" i="1"/>
  <c r="N135" i="1"/>
  <c r="P135" i="1" s="1" a="1"/>
  <c r="P135" i="1" s="1"/>
  <c r="M135" i="1"/>
  <c r="O135" i="1" s="1"/>
  <c r="Q133" i="1"/>
  <c r="S131" i="1" l="1" a="1"/>
  <c r="S131" i="1" s="1"/>
  <c r="R132" i="1"/>
  <c r="Q134" i="1"/>
  <c r="M136" i="1"/>
  <c r="O136" i="1" s="1"/>
  <c r="N136" i="1"/>
  <c r="P136" i="1" s="1" a="1"/>
  <c r="P136" i="1" s="1"/>
  <c r="S132" i="1" l="1" a="1"/>
  <c r="S132" i="1" s="1"/>
  <c r="R133" i="1"/>
  <c r="N137" i="1"/>
  <c r="P137" i="1" s="1" a="1"/>
  <c r="P137" i="1" s="1"/>
  <c r="M137" i="1"/>
  <c r="O137" i="1" s="1"/>
  <c r="Q135" i="1"/>
  <c r="S133" i="1" l="1" a="1"/>
  <c r="S133" i="1" s="1"/>
  <c r="R134" i="1"/>
  <c r="Q136" i="1"/>
  <c r="M138" i="1"/>
  <c r="O138" i="1" s="1"/>
  <c r="N138" i="1"/>
  <c r="P138" i="1" s="1" a="1"/>
  <c r="P138" i="1" s="1"/>
  <c r="S134" i="1" l="1" a="1"/>
  <c r="S134" i="1" s="1"/>
  <c r="R135" i="1"/>
  <c r="Q137" i="1"/>
  <c r="N139" i="1"/>
  <c r="P139" i="1" s="1" a="1"/>
  <c r="P139" i="1" s="1"/>
  <c r="M139" i="1"/>
  <c r="O139" i="1" s="1"/>
  <c r="S135" i="1" l="1" a="1"/>
  <c r="S135" i="1" s="1"/>
  <c r="R136" i="1"/>
  <c r="M140" i="1"/>
  <c r="O140" i="1" s="1"/>
  <c r="Q138" i="1"/>
  <c r="N140" i="1"/>
  <c r="P140" i="1" s="1" a="1"/>
  <c r="P140" i="1" s="1"/>
  <c r="S136" i="1" l="1" a="1"/>
  <c r="S136" i="1" s="1"/>
  <c r="R137" i="1"/>
  <c r="N141" i="1"/>
  <c r="P141" i="1" s="1" a="1"/>
  <c r="P141" i="1" s="1"/>
  <c r="Q139" i="1"/>
  <c r="M141" i="1"/>
  <c r="O141" i="1" s="1"/>
  <c r="S137" i="1" l="1" a="1"/>
  <c r="S137" i="1" s="1"/>
  <c r="R138" i="1"/>
  <c r="Q140" i="1"/>
  <c r="M142" i="1"/>
  <c r="O142" i="1" s="1"/>
  <c r="N142" i="1"/>
  <c r="P142" i="1" s="1" a="1"/>
  <c r="P142" i="1" s="1"/>
  <c r="S138" i="1" l="1" a="1"/>
  <c r="S138" i="1" s="1"/>
  <c r="R139" i="1"/>
  <c r="N143" i="1"/>
  <c r="P143" i="1" s="1" a="1"/>
  <c r="P143" i="1" s="1"/>
  <c r="M143" i="1"/>
  <c r="O143" i="1" s="1"/>
  <c r="Q141" i="1"/>
  <c r="S139" i="1" l="1" a="1"/>
  <c r="S139" i="1" s="1"/>
  <c r="R140" i="1"/>
  <c r="Q142" i="1"/>
  <c r="M144" i="1"/>
  <c r="O144" i="1" s="1"/>
  <c r="N144" i="1"/>
  <c r="P144" i="1" s="1" a="1"/>
  <c r="P144" i="1" s="1"/>
  <c r="S140" i="1" l="1" a="1"/>
  <c r="S140" i="1" s="1"/>
  <c r="R141" i="1"/>
  <c r="N145" i="1"/>
  <c r="P145" i="1" s="1" a="1"/>
  <c r="P145" i="1" s="1"/>
  <c r="M145" i="1"/>
  <c r="O145" i="1" s="1"/>
  <c r="Q143" i="1"/>
  <c r="S141" i="1" l="1" a="1"/>
  <c r="S141" i="1" s="1"/>
  <c r="R142" i="1"/>
  <c r="Q144" i="1"/>
  <c r="M146" i="1"/>
  <c r="O146" i="1" s="1"/>
  <c r="N146" i="1"/>
  <c r="P146" i="1" s="1" a="1"/>
  <c r="P146" i="1" s="1"/>
  <c r="S142" i="1" l="1" a="1"/>
  <c r="S142" i="1" s="1"/>
  <c r="R143" i="1"/>
  <c r="N147" i="1"/>
  <c r="P147" i="1" s="1" a="1"/>
  <c r="P147" i="1" s="1"/>
  <c r="Q145" i="1"/>
  <c r="M147" i="1"/>
  <c r="O147" i="1" s="1"/>
  <c r="S143" i="1" l="1" a="1"/>
  <c r="S143" i="1" s="1"/>
  <c r="R144" i="1"/>
  <c r="M148" i="1"/>
  <c r="O148" i="1" s="1"/>
  <c r="Q146" i="1"/>
  <c r="N148" i="1"/>
  <c r="P148" i="1" s="1" a="1"/>
  <c r="P148" i="1" s="1"/>
  <c r="S144" i="1" l="1" a="1"/>
  <c r="S144" i="1" s="1"/>
  <c r="R145" i="1"/>
  <c r="N149" i="1"/>
  <c r="P149" i="1" s="1" a="1"/>
  <c r="P149" i="1" s="1"/>
  <c r="M149" i="1"/>
  <c r="O149" i="1" s="1"/>
  <c r="Q147" i="1"/>
  <c r="S145" i="1" l="1" a="1"/>
  <c r="S145" i="1" s="1"/>
  <c r="R146" i="1"/>
  <c r="M150" i="1"/>
  <c r="O150" i="1" s="1"/>
  <c r="Q148" i="1"/>
  <c r="N150" i="1"/>
  <c r="P150" i="1" s="1" a="1"/>
  <c r="P150" i="1" s="1"/>
  <c r="S146" i="1" l="1" a="1"/>
  <c r="S146" i="1" s="1"/>
  <c r="R147" i="1"/>
  <c r="N151" i="1"/>
  <c r="P151" i="1" s="1" a="1"/>
  <c r="P151" i="1" s="1"/>
  <c r="Q149" i="1"/>
  <c r="M151" i="1"/>
  <c r="O151" i="1" s="1"/>
  <c r="S147" i="1" l="1" a="1"/>
  <c r="S147" i="1" s="1"/>
  <c r="R148" i="1"/>
  <c r="Q150" i="1"/>
  <c r="M152" i="1"/>
  <c r="O152" i="1" s="1"/>
  <c r="N152" i="1"/>
  <c r="P152" i="1" s="1" a="1"/>
  <c r="P152" i="1" s="1"/>
  <c r="S148" i="1" l="1" a="1"/>
  <c r="S148" i="1" s="1"/>
  <c r="R149" i="1"/>
  <c r="M153" i="1"/>
  <c r="O153" i="1" s="1"/>
  <c r="N153" i="1"/>
  <c r="P153" i="1" s="1" a="1"/>
  <c r="P153" i="1" s="1"/>
  <c r="Q151" i="1"/>
  <c r="S149" i="1" l="1" a="1"/>
  <c r="S149" i="1" s="1"/>
  <c r="R150" i="1"/>
  <c r="N154" i="1"/>
  <c r="P154" i="1" s="1" a="1"/>
  <c r="P154" i="1" s="1"/>
  <c r="Q152" i="1"/>
  <c r="M154" i="1"/>
  <c r="O154" i="1" s="1"/>
  <c r="S150" i="1" l="1" a="1"/>
  <c r="S150" i="1" s="1"/>
  <c r="R151" i="1"/>
  <c r="Q153" i="1"/>
  <c r="M155" i="1"/>
  <c r="O155" i="1" s="1"/>
  <c r="N155" i="1"/>
  <c r="P155" i="1" s="1" a="1"/>
  <c r="P155" i="1" s="1"/>
  <c r="S151" i="1" l="1" a="1"/>
  <c r="S151" i="1" s="1"/>
  <c r="R152" i="1"/>
  <c r="N156" i="1"/>
  <c r="P156" i="1" s="1" a="1"/>
  <c r="P156" i="1" s="1"/>
  <c r="M156" i="1"/>
  <c r="O156" i="1" s="1"/>
  <c r="Q154" i="1"/>
  <c r="S152" i="1" l="1" a="1"/>
  <c r="S152" i="1" s="1"/>
  <c r="R153" i="1"/>
  <c r="Q155" i="1"/>
  <c r="M157" i="1"/>
  <c r="O157" i="1" s="1"/>
  <c r="N157" i="1"/>
  <c r="P157" i="1" s="1" a="1"/>
  <c r="P157" i="1" s="1"/>
  <c r="S153" i="1" l="1" a="1"/>
  <c r="S153" i="1" s="1"/>
  <c r="R154" i="1"/>
  <c r="N158" i="1"/>
  <c r="P158" i="1" s="1" a="1"/>
  <c r="P158" i="1" s="1"/>
  <c r="M158" i="1"/>
  <c r="O158" i="1" s="1"/>
  <c r="Q156" i="1"/>
  <c r="S154" i="1" l="1" a="1"/>
  <c r="S154" i="1" s="1"/>
  <c r="R155" i="1"/>
  <c r="M159" i="1"/>
  <c r="O159" i="1" s="1"/>
  <c r="N159" i="1"/>
  <c r="P159" i="1" s="1" a="1"/>
  <c r="P159" i="1" s="1"/>
  <c r="Q157" i="1"/>
  <c r="S155" i="1" l="1" a="1"/>
  <c r="S155" i="1" s="1"/>
  <c r="R156" i="1"/>
  <c r="N160" i="1"/>
  <c r="P160" i="1" s="1" a="1"/>
  <c r="P160" i="1" s="1"/>
  <c r="Q158" i="1"/>
  <c r="M160" i="1"/>
  <c r="O160" i="1" s="1"/>
  <c r="S156" i="1" l="1" a="1"/>
  <c r="S156" i="1" s="1"/>
  <c r="R157" i="1"/>
  <c r="M161" i="1"/>
  <c r="O161" i="1" s="1"/>
  <c r="Q159" i="1"/>
  <c r="N161" i="1"/>
  <c r="P161" i="1" s="1" a="1"/>
  <c r="P161" i="1" s="1"/>
  <c r="S157" i="1" l="1" a="1"/>
  <c r="S157" i="1" s="1"/>
  <c r="R158" i="1"/>
  <c r="N162" i="1"/>
  <c r="P162" i="1" s="1" a="1"/>
  <c r="P162" i="1" s="1"/>
  <c r="Q160" i="1"/>
  <c r="M162" i="1"/>
  <c r="O162" i="1" s="1"/>
  <c r="S158" i="1" l="1" a="1"/>
  <c r="S158" i="1" s="1"/>
  <c r="R159" i="1"/>
  <c r="Q161" i="1"/>
  <c r="M163" i="1"/>
  <c r="O163" i="1" s="1"/>
  <c r="N163" i="1"/>
  <c r="P163" i="1" s="1" a="1"/>
  <c r="P163" i="1" s="1"/>
  <c r="S159" i="1" l="1" a="1"/>
  <c r="S159" i="1" s="1"/>
  <c r="R160" i="1"/>
  <c r="M164" i="1"/>
  <c r="O164" i="1" s="1"/>
  <c r="N164" i="1"/>
  <c r="P164" i="1" s="1" a="1"/>
  <c r="P164" i="1" s="1"/>
  <c r="Q162" i="1"/>
  <c r="S160" i="1" l="1" a="1"/>
  <c r="S160" i="1" s="1"/>
  <c r="R161" i="1"/>
  <c r="N165" i="1"/>
  <c r="P165" i="1" s="1" a="1"/>
  <c r="P165" i="1" s="1"/>
  <c r="Q163" i="1"/>
  <c r="M165" i="1"/>
  <c r="O165" i="1" s="1"/>
  <c r="S161" i="1" l="1" a="1"/>
  <c r="S161" i="1" s="1"/>
  <c r="R162" i="1"/>
  <c r="M166" i="1"/>
  <c r="O166" i="1" s="1"/>
  <c r="Q164" i="1"/>
  <c r="N166" i="1"/>
  <c r="P166" i="1" s="1" a="1"/>
  <c r="P166" i="1" s="1"/>
  <c r="S162" i="1" l="1" a="1"/>
  <c r="S162" i="1" s="1"/>
  <c r="R163" i="1"/>
  <c r="N167" i="1"/>
  <c r="P167" i="1" s="1" a="1"/>
  <c r="P167" i="1" s="1"/>
  <c r="M167" i="1"/>
  <c r="O167" i="1" s="1"/>
  <c r="Q165" i="1"/>
  <c r="S163" i="1" l="1" a="1"/>
  <c r="S163" i="1" s="1"/>
  <c r="R164" i="1"/>
  <c r="Q166" i="1"/>
  <c r="M168" i="1"/>
  <c r="O168" i="1" s="1"/>
  <c r="N168" i="1"/>
  <c r="P168" i="1" s="1" a="1"/>
  <c r="P168" i="1" s="1"/>
  <c r="S164" i="1" l="1" a="1"/>
  <c r="S164" i="1" s="1"/>
  <c r="R165" i="1"/>
  <c r="N169" i="1"/>
  <c r="P169" i="1" s="1" a="1"/>
  <c r="P169" i="1" s="1"/>
  <c r="M169" i="1"/>
  <c r="O169" i="1" s="1"/>
  <c r="Q167" i="1"/>
  <c r="S165" i="1" l="1" a="1"/>
  <c r="S165" i="1" s="1"/>
  <c r="R166" i="1"/>
  <c r="Q168" i="1"/>
  <c r="M170" i="1"/>
  <c r="O170" i="1" s="1"/>
  <c r="N170" i="1"/>
  <c r="P170" i="1" s="1" a="1"/>
  <c r="P170" i="1" s="1"/>
  <c r="S166" i="1" l="1" a="1"/>
  <c r="S166" i="1" s="1"/>
  <c r="R167" i="1"/>
  <c r="N171" i="1"/>
  <c r="P171" i="1" s="1" a="1"/>
  <c r="P171" i="1" s="1"/>
  <c r="Q169" i="1"/>
  <c r="M171" i="1"/>
  <c r="O171" i="1" s="1"/>
  <c r="S167" i="1" l="1" a="1"/>
  <c r="S167" i="1" s="1"/>
  <c r="R168" i="1"/>
  <c r="M172" i="1"/>
  <c r="O172" i="1" s="1"/>
  <c r="Q170" i="1"/>
  <c r="N172" i="1"/>
  <c r="P172" i="1" s="1" a="1"/>
  <c r="P172" i="1" s="1"/>
  <c r="S168" i="1" l="1" a="1"/>
  <c r="S168" i="1" s="1"/>
  <c r="R169" i="1"/>
  <c r="N173" i="1"/>
  <c r="P173" i="1" s="1" a="1"/>
  <c r="P173" i="1" s="1"/>
  <c r="Q171" i="1"/>
  <c r="M173" i="1"/>
  <c r="O173" i="1" s="1"/>
  <c r="S169" i="1" l="1" a="1"/>
  <c r="S169" i="1" s="1"/>
  <c r="R170" i="1"/>
  <c r="M174" i="1"/>
  <c r="O174" i="1" s="1"/>
  <c r="Q172" i="1"/>
  <c r="N174" i="1"/>
  <c r="P174" i="1" s="1" a="1"/>
  <c r="P174" i="1" s="1"/>
  <c r="S170" i="1" l="1" a="1"/>
  <c r="S170" i="1" s="1"/>
  <c r="R171" i="1"/>
  <c r="N175" i="1"/>
  <c r="P175" i="1" s="1" a="1"/>
  <c r="P175" i="1" s="1"/>
  <c r="M175" i="1"/>
  <c r="O175" i="1" s="1"/>
  <c r="Q173" i="1"/>
  <c r="S171" i="1" l="1" a="1"/>
  <c r="S171" i="1" s="1"/>
  <c r="R172" i="1"/>
  <c r="Q174" i="1"/>
  <c r="M176" i="1"/>
  <c r="O176" i="1" s="1"/>
  <c r="N176" i="1"/>
  <c r="P176" i="1" s="1" a="1"/>
  <c r="P176" i="1" s="1"/>
  <c r="S172" i="1" l="1" a="1"/>
  <c r="S172" i="1" s="1"/>
  <c r="R173" i="1"/>
  <c r="N177" i="1"/>
  <c r="P177" i="1" s="1" a="1"/>
  <c r="P177" i="1" s="1"/>
  <c r="Q175" i="1"/>
  <c r="M177" i="1"/>
  <c r="O177" i="1" s="1"/>
  <c r="S173" i="1" l="1" a="1"/>
  <c r="S173" i="1" s="1"/>
  <c r="R174" i="1"/>
  <c r="Q176" i="1"/>
  <c r="M178" i="1"/>
  <c r="O178" i="1" s="1"/>
  <c r="N178" i="1"/>
  <c r="P178" i="1" s="1" a="1"/>
  <c r="P178" i="1" s="1"/>
  <c r="S174" i="1" l="1" a="1"/>
  <c r="S174" i="1" s="1"/>
  <c r="R175" i="1"/>
  <c r="N179" i="1"/>
  <c r="P179" i="1" s="1" a="1"/>
  <c r="P179" i="1" s="1"/>
  <c r="Q177" i="1"/>
  <c r="M179" i="1"/>
  <c r="O179" i="1" s="1"/>
  <c r="S175" i="1" l="1" a="1"/>
  <c r="S175" i="1" s="1"/>
  <c r="R176" i="1"/>
  <c r="M180" i="1"/>
  <c r="O180" i="1" s="1"/>
  <c r="Q178" i="1"/>
  <c r="N180" i="1"/>
  <c r="P180" i="1" s="1" a="1"/>
  <c r="P180" i="1" s="1"/>
  <c r="S176" i="1" l="1" a="1"/>
  <c r="S176" i="1" s="1"/>
  <c r="R177" i="1"/>
  <c r="N181" i="1"/>
  <c r="P181" i="1" s="1" a="1"/>
  <c r="P181" i="1" s="1"/>
  <c r="Q179" i="1"/>
  <c r="M181" i="1"/>
  <c r="O181" i="1" s="1"/>
  <c r="S177" i="1" l="1" a="1"/>
  <c r="S177" i="1" s="1"/>
  <c r="R178" i="1"/>
  <c r="M182" i="1"/>
  <c r="O182" i="1" s="1"/>
  <c r="Q180" i="1"/>
  <c r="N182" i="1"/>
  <c r="P182" i="1" s="1" a="1"/>
  <c r="P182" i="1" s="1"/>
  <c r="S178" i="1" l="1" a="1"/>
  <c r="S178" i="1" s="1"/>
  <c r="R179" i="1"/>
  <c r="N183" i="1"/>
  <c r="P183" i="1" s="1" a="1"/>
  <c r="P183" i="1" s="1"/>
  <c r="M183" i="1"/>
  <c r="O183" i="1" s="1"/>
  <c r="Q181" i="1"/>
  <c r="S179" i="1" l="1" a="1"/>
  <c r="S179" i="1" s="1"/>
  <c r="R180" i="1"/>
  <c r="Q182" i="1"/>
  <c r="M184" i="1"/>
  <c r="O184" i="1" s="1"/>
  <c r="N184" i="1"/>
  <c r="P184" i="1" s="1" a="1"/>
  <c r="P184" i="1" s="1"/>
  <c r="S180" i="1" l="1" a="1"/>
  <c r="S180" i="1" s="1"/>
  <c r="R181" i="1"/>
  <c r="M185" i="1"/>
  <c r="O185" i="1" s="1"/>
  <c r="N185" i="1"/>
  <c r="P185" i="1" s="1" a="1"/>
  <c r="P185" i="1" s="1"/>
  <c r="Q183" i="1"/>
  <c r="S181" i="1" l="1" a="1"/>
  <c r="S181" i="1" s="1"/>
  <c r="R182" i="1"/>
  <c r="N186" i="1"/>
  <c r="P186" i="1" s="1" a="1"/>
  <c r="P186" i="1" s="1"/>
  <c r="Q184" i="1"/>
  <c r="M186" i="1"/>
  <c r="O186" i="1" s="1"/>
  <c r="S182" i="1" l="1" a="1"/>
  <c r="S182" i="1" s="1"/>
  <c r="R183" i="1"/>
  <c r="Q185" i="1"/>
  <c r="M187" i="1"/>
  <c r="O187" i="1" s="1"/>
  <c r="N187" i="1"/>
  <c r="P187" i="1" s="1" a="1"/>
  <c r="P187" i="1" s="1"/>
  <c r="S183" i="1" l="1" a="1"/>
  <c r="S183" i="1" s="1"/>
  <c r="R184" i="1"/>
  <c r="N188" i="1"/>
  <c r="P188" i="1" s="1" a="1"/>
  <c r="P188" i="1" s="1"/>
  <c r="M188" i="1"/>
  <c r="O188" i="1" s="1"/>
  <c r="Q186" i="1"/>
  <c r="S184" i="1" l="1" a="1"/>
  <c r="S184" i="1" s="1"/>
  <c r="R185" i="1"/>
  <c r="Q187" i="1"/>
  <c r="M189" i="1"/>
  <c r="O189" i="1" s="1"/>
  <c r="N189" i="1"/>
  <c r="P189" i="1" s="1" a="1"/>
  <c r="P189" i="1" s="1"/>
  <c r="S185" i="1" l="1" a="1"/>
  <c r="S185" i="1" s="1"/>
  <c r="R186" i="1"/>
  <c r="N190" i="1"/>
  <c r="P190" i="1" s="1" a="1"/>
  <c r="P190" i="1" s="1"/>
  <c r="M190" i="1"/>
  <c r="O190" i="1" s="1"/>
  <c r="Q188" i="1"/>
  <c r="S186" i="1" l="1" a="1"/>
  <c r="S186" i="1" s="1"/>
  <c r="R187" i="1"/>
  <c r="M191" i="1"/>
  <c r="O191" i="1" s="1"/>
  <c r="Q189" i="1"/>
  <c r="N191" i="1"/>
  <c r="P191" i="1" s="1" a="1"/>
  <c r="P191" i="1" s="1"/>
  <c r="S187" i="1" l="1" a="1"/>
  <c r="S187" i="1" s="1"/>
  <c r="R188" i="1"/>
  <c r="N192" i="1"/>
  <c r="P192" i="1" s="1" a="1"/>
  <c r="P192" i="1" s="1"/>
  <c r="Q190" i="1"/>
  <c r="M192" i="1"/>
  <c r="O192" i="1" s="1"/>
  <c r="S188" i="1" l="1" a="1"/>
  <c r="S188" i="1" s="1"/>
  <c r="R189" i="1"/>
  <c r="Q191" i="1"/>
  <c r="N193" i="1"/>
  <c r="P193" i="1" s="1" a="1"/>
  <c r="P193" i="1" s="1"/>
  <c r="M193" i="1"/>
  <c r="O193" i="1" s="1"/>
  <c r="S189" i="1" l="1" a="1"/>
  <c r="S189" i="1" s="1"/>
  <c r="R190" i="1"/>
  <c r="Q192" i="1"/>
  <c r="M194" i="1"/>
  <c r="O194" i="1" s="1"/>
  <c r="N194" i="1"/>
  <c r="P194" i="1" s="1" a="1"/>
  <c r="P194" i="1" s="1"/>
  <c r="S190" i="1" l="1" a="1"/>
  <c r="S190" i="1" s="1"/>
  <c r="R191" i="1"/>
  <c r="N195" i="1"/>
  <c r="P195" i="1" s="1" a="1"/>
  <c r="P195" i="1" s="1"/>
  <c r="Q193" i="1"/>
  <c r="M195" i="1"/>
  <c r="O195" i="1" s="1"/>
  <c r="S191" i="1" l="1" a="1"/>
  <c r="S191" i="1" s="1"/>
  <c r="R192" i="1"/>
  <c r="M196" i="1"/>
  <c r="O196" i="1" s="1"/>
  <c r="Q194" i="1"/>
  <c r="N196" i="1"/>
  <c r="P196" i="1" s="1" a="1"/>
  <c r="P196" i="1" s="1"/>
  <c r="S192" i="1" l="1" a="1"/>
  <c r="S192" i="1" s="1"/>
  <c r="R193" i="1"/>
  <c r="N197" i="1"/>
  <c r="P197" i="1" s="1" a="1"/>
  <c r="P197" i="1" s="1"/>
  <c r="Q195" i="1"/>
  <c r="M197" i="1"/>
  <c r="O197" i="1" s="1"/>
  <c r="S193" i="1" l="1" a="1"/>
  <c r="S193" i="1" s="1"/>
  <c r="R194" i="1"/>
  <c r="M198" i="1"/>
  <c r="O198" i="1" s="1"/>
  <c r="Q196" i="1"/>
  <c r="N198" i="1"/>
  <c r="P198" i="1" s="1" a="1"/>
  <c r="P198" i="1" s="1"/>
  <c r="S194" i="1" l="1" a="1"/>
  <c r="S194" i="1" s="1"/>
  <c r="R195" i="1"/>
  <c r="M199" i="1"/>
  <c r="O199" i="1" s="1"/>
  <c r="N199" i="1"/>
  <c r="P199" i="1" s="1" a="1"/>
  <c r="P199" i="1" s="1"/>
  <c r="Q197" i="1"/>
  <c r="S195" i="1" l="1" a="1"/>
  <c r="S195" i="1" s="1"/>
  <c r="R196" i="1"/>
  <c r="Q198" i="1"/>
  <c r="N200" i="1"/>
  <c r="P200" i="1" s="1" a="1"/>
  <c r="P200" i="1" s="1"/>
  <c r="M200" i="1"/>
  <c r="O200" i="1" s="1"/>
  <c r="S196" i="1" l="1" a="1"/>
  <c r="S196" i="1" s="1"/>
  <c r="R197" i="1"/>
  <c r="M201" i="1"/>
  <c r="O201" i="1" s="1"/>
  <c r="Q199" i="1"/>
  <c r="N201" i="1"/>
  <c r="P201" i="1" s="1" a="1"/>
  <c r="P201" i="1" s="1"/>
  <c r="S197" i="1" l="1" a="1"/>
  <c r="S197" i="1" s="1"/>
  <c r="R198" i="1"/>
  <c r="N202" i="1"/>
  <c r="P202" i="1" s="1" a="1"/>
  <c r="P202" i="1" s="1"/>
  <c r="Q200" i="1"/>
  <c r="M202" i="1"/>
  <c r="O202" i="1" s="1"/>
  <c r="S198" i="1" l="1" a="1"/>
  <c r="S198" i="1" s="1"/>
  <c r="R199" i="1"/>
  <c r="Q201" i="1"/>
  <c r="M203" i="1"/>
  <c r="O203" i="1" s="1"/>
  <c r="N203" i="1"/>
  <c r="P203" i="1" s="1" a="1"/>
  <c r="P203" i="1" s="1"/>
  <c r="S199" i="1" l="1" a="1"/>
  <c r="S199" i="1" s="1"/>
  <c r="R200" i="1"/>
  <c r="M204" i="1"/>
  <c r="O204" i="1" s="1"/>
  <c r="N204" i="1"/>
  <c r="P204" i="1" s="1" a="1"/>
  <c r="P204" i="1" s="1"/>
  <c r="Q202" i="1"/>
  <c r="S200" i="1" l="1" a="1"/>
  <c r="S200" i="1" s="1"/>
  <c r="R201" i="1"/>
  <c r="N205" i="1"/>
  <c r="P205" i="1" s="1" a="1"/>
  <c r="P205" i="1" s="1"/>
  <c r="Q203" i="1"/>
  <c r="M205" i="1"/>
  <c r="O205" i="1" s="1"/>
  <c r="S201" i="1" l="1" a="1"/>
  <c r="S201" i="1" s="1"/>
  <c r="R202" i="1"/>
  <c r="M206" i="1"/>
  <c r="O206" i="1" s="1"/>
  <c r="Q204" i="1"/>
  <c r="N206" i="1"/>
  <c r="P206" i="1" s="1" a="1"/>
  <c r="P206" i="1" s="1"/>
  <c r="S202" i="1" l="1" a="1"/>
  <c r="S202" i="1" s="1"/>
  <c r="R203" i="1"/>
  <c r="N207" i="1"/>
  <c r="P207" i="1" s="1" a="1"/>
  <c r="P207" i="1" s="1"/>
  <c r="M207" i="1"/>
  <c r="O207" i="1" s="1"/>
  <c r="Q205" i="1"/>
  <c r="S203" i="1" l="1" a="1"/>
  <c r="S203" i="1" s="1"/>
  <c r="R204" i="1"/>
  <c r="Q206" i="1"/>
  <c r="M208" i="1"/>
  <c r="O208" i="1" s="1"/>
  <c r="N208" i="1"/>
  <c r="P208" i="1" s="1" a="1"/>
  <c r="P208" i="1" s="1"/>
  <c r="S204" i="1" l="1" a="1"/>
  <c r="S204" i="1" s="1"/>
  <c r="R205" i="1"/>
  <c r="N209" i="1"/>
  <c r="P209" i="1" s="1" a="1"/>
  <c r="P209" i="1" s="1"/>
  <c r="M209" i="1"/>
  <c r="O209" i="1" s="1"/>
  <c r="Q207" i="1"/>
  <c r="S205" i="1" l="1" a="1"/>
  <c r="S205" i="1" s="1"/>
  <c r="R206" i="1"/>
  <c r="Q208" i="1"/>
  <c r="M210" i="1"/>
  <c r="O210" i="1" s="1"/>
  <c r="N210" i="1"/>
  <c r="P210" i="1" s="1" a="1"/>
  <c r="P210" i="1" s="1"/>
  <c r="S206" i="1" l="1" a="1"/>
  <c r="S206" i="1" s="1"/>
  <c r="R207" i="1"/>
  <c r="N211" i="1"/>
  <c r="P211" i="1" s="1" a="1"/>
  <c r="P211" i="1" s="1"/>
  <c r="Q209" i="1"/>
  <c r="M211" i="1"/>
  <c r="O211" i="1" s="1"/>
  <c r="S207" i="1" l="1" a="1"/>
  <c r="S207" i="1" s="1"/>
  <c r="R208" i="1"/>
  <c r="M212" i="1"/>
  <c r="O212" i="1" s="1"/>
  <c r="Q210" i="1"/>
  <c r="N212" i="1"/>
  <c r="P212" i="1" s="1" a="1"/>
  <c r="P212" i="1" s="1"/>
  <c r="S208" i="1" l="1" a="1"/>
  <c r="S208" i="1" s="1"/>
  <c r="R209" i="1"/>
  <c r="N213" i="1"/>
  <c r="P213" i="1" s="1" a="1"/>
  <c r="P213" i="1" s="1"/>
  <c r="Q211" i="1"/>
  <c r="M213" i="1"/>
  <c r="O213" i="1" s="1"/>
  <c r="S209" i="1" l="1" a="1"/>
  <c r="S209" i="1" s="1"/>
  <c r="R210" i="1"/>
  <c r="Q212" i="1"/>
  <c r="M214" i="1"/>
  <c r="O214" i="1" s="1"/>
  <c r="N214" i="1"/>
  <c r="P214" i="1" s="1" a="1"/>
  <c r="P214" i="1" s="1"/>
  <c r="S210" i="1" l="1" a="1"/>
  <c r="S210" i="1" s="1"/>
  <c r="R211" i="1"/>
  <c r="N215" i="1"/>
  <c r="P215" i="1" s="1" a="1"/>
  <c r="P215" i="1" s="1"/>
  <c r="M215" i="1"/>
  <c r="O215" i="1" s="1"/>
  <c r="Q213" i="1"/>
  <c r="S211" i="1" l="1" a="1"/>
  <c r="S211" i="1" s="1"/>
  <c r="R212" i="1"/>
  <c r="Q214" i="1"/>
  <c r="M216" i="1"/>
  <c r="O216" i="1" s="1"/>
  <c r="N216" i="1"/>
  <c r="P216" i="1" s="1" a="1"/>
  <c r="P216" i="1" s="1"/>
  <c r="S212" i="1" l="1" a="1"/>
  <c r="S212" i="1" s="1"/>
  <c r="R213" i="1"/>
  <c r="N217" i="1"/>
  <c r="P217" i="1" s="1" a="1"/>
  <c r="P217" i="1" s="1"/>
  <c r="M217" i="1"/>
  <c r="O217" i="1" s="1"/>
  <c r="Q215" i="1"/>
  <c r="S213" i="1" l="1" a="1"/>
  <c r="S213" i="1" s="1"/>
  <c r="R214" i="1"/>
  <c r="Q216" i="1"/>
  <c r="M218" i="1"/>
  <c r="O218" i="1" s="1"/>
  <c r="N218" i="1"/>
  <c r="P218" i="1" s="1" a="1"/>
  <c r="P218" i="1" s="1"/>
  <c r="S214" i="1" l="1" a="1"/>
  <c r="S214" i="1" s="1"/>
  <c r="R215" i="1"/>
  <c r="N219" i="1"/>
  <c r="P219" i="1" s="1" a="1"/>
  <c r="P219" i="1" s="1"/>
  <c r="Q217" i="1"/>
  <c r="M219" i="1"/>
  <c r="O219" i="1" s="1"/>
  <c r="S215" i="1" l="1" a="1"/>
  <c r="S215" i="1" s="1"/>
  <c r="R216" i="1"/>
  <c r="M220" i="1"/>
  <c r="O220" i="1" s="1"/>
  <c r="Q218" i="1"/>
  <c r="N220" i="1"/>
  <c r="P220" i="1" s="1" a="1"/>
  <c r="P220" i="1" s="1"/>
  <c r="S216" i="1" l="1" a="1"/>
  <c r="S216" i="1" s="1"/>
  <c r="R217" i="1"/>
  <c r="N221" i="1"/>
  <c r="P221" i="1" s="1" a="1"/>
  <c r="P221" i="1" s="1"/>
  <c r="Q219" i="1"/>
  <c r="M221" i="1"/>
  <c r="O221" i="1" s="1"/>
  <c r="S217" i="1" l="1" a="1"/>
  <c r="S217" i="1" s="1"/>
  <c r="R218" i="1"/>
  <c r="M222" i="1"/>
  <c r="O222" i="1" s="1"/>
  <c r="Q220" i="1"/>
  <c r="N222" i="1"/>
  <c r="P222" i="1" s="1" a="1"/>
  <c r="P222" i="1" s="1"/>
  <c r="S218" i="1" l="1" a="1"/>
  <c r="S218" i="1" s="1"/>
  <c r="R219" i="1"/>
  <c r="N223" i="1"/>
  <c r="P223" i="1" s="1" a="1"/>
  <c r="P223" i="1" s="1"/>
  <c r="M223" i="1"/>
  <c r="O223" i="1" s="1"/>
  <c r="Q221" i="1"/>
  <c r="S219" i="1" l="1" a="1"/>
  <c r="S219" i="1" s="1"/>
  <c r="R220" i="1"/>
  <c r="Q222" i="1"/>
  <c r="M224" i="1"/>
  <c r="O224" i="1" s="1"/>
  <c r="N224" i="1"/>
  <c r="P224" i="1" s="1" a="1"/>
  <c r="P224" i="1" s="1"/>
  <c r="S220" i="1" l="1" a="1"/>
  <c r="S220" i="1" s="1"/>
  <c r="R221" i="1"/>
  <c r="N225" i="1"/>
  <c r="P225" i="1" s="1" a="1"/>
  <c r="P225" i="1" s="1"/>
  <c r="M225" i="1"/>
  <c r="O225" i="1" s="1"/>
  <c r="Q223" i="1"/>
  <c r="S221" i="1" l="1" a="1"/>
  <c r="S221" i="1" s="1"/>
  <c r="R222" i="1"/>
  <c r="Q224" i="1"/>
  <c r="M226" i="1"/>
  <c r="O226" i="1" s="1"/>
  <c r="N226" i="1"/>
  <c r="P226" i="1" s="1" a="1"/>
  <c r="P226" i="1" s="1"/>
  <c r="S222" i="1" l="1" a="1"/>
  <c r="S222" i="1" s="1"/>
  <c r="R223" i="1"/>
  <c r="N227" i="1"/>
  <c r="P227" i="1" s="1" a="1"/>
  <c r="P227" i="1" s="1"/>
  <c r="Q225" i="1"/>
  <c r="M227" i="1"/>
  <c r="O227" i="1" s="1"/>
  <c r="S223" i="1" l="1" a="1"/>
  <c r="S223" i="1" s="1"/>
  <c r="R224" i="1"/>
  <c r="Q226" i="1"/>
  <c r="N228" i="1"/>
  <c r="P228" i="1" s="1" a="1"/>
  <c r="P228" i="1" s="1"/>
  <c r="M228" i="1"/>
  <c r="O228" i="1" s="1"/>
  <c r="S224" i="1" l="1" a="1"/>
  <c r="S224" i="1" s="1"/>
  <c r="R225" i="1"/>
  <c r="Q227" i="1"/>
  <c r="M229" i="1"/>
  <c r="O229" i="1" s="1"/>
  <c r="N229" i="1"/>
  <c r="P229" i="1" s="1" a="1"/>
  <c r="P229" i="1" s="1"/>
  <c r="S225" i="1" l="1" a="1"/>
  <c r="S225" i="1" s="1"/>
  <c r="R226" i="1"/>
  <c r="N230" i="1"/>
  <c r="P230" i="1" s="1" a="1"/>
  <c r="P230" i="1" s="1"/>
  <c r="M230" i="1"/>
  <c r="O230" i="1" s="1"/>
  <c r="Q228" i="1"/>
  <c r="S226" i="1" l="1" a="1"/>
  <c r="S226" i="1" s="1"/>
  <c r="R227" i="1"/>
  <c r="M231" i="1"/>
  <c r="O231" i="1" s="1"/>
  <c r="Q229" i="1"/>
  <c r="N231" i="1"/>
  <c r="P231" i="1" s="1" a="1"/>
  <c r="P231" i="1" s="1"/>
  <c r="S227" i="1" l="1" a="1"/>
  <c r="S227" i="1" s="1"/>
  <c r="R228" i="1"/>
  <c r="N232" i="1"/>
  <c r="P232" i="1" s="1" a="1"/>
  <c r="P232" i="1" s="1"/>
  <c r="Q230" i="1"/>
  <c r="M232" i="1"/>
  <c r="O232" i="1" s="1"/>
  <c r="S228" i="1" l="1" a="1"/>
  <c r="S228" i="1" s="1"/>
  <c r="R229" i="1"/>
  <c r="M233" i="1"/>
  <c r="O233" i="1" s="1"/>
  <c r="Q231" i="1"/>
  <c r="N233" i="1"/>
  <c r="P233" i="1" s="1" a="1"/>
  <c r="P233" i="1" s="1"/>
  <c r="S229" i="1" l="1" a="1"/>
  <c r="S229" i="1" s="1"/>
  <c r="R230" i="1"/>
  <c r="N234" i="1"/>
  <c r="P234" i="1" s="1" a="1"/>
  <c r="P234" i="1" s="1"/>
  <c r="Q232" i="1"/>
  <c r="M234" i="1"/>
  <c r="O234" i="1" s="1"/>
  <c r="S230" i="1" l="1" a="1"/>
  <c r="S230" i="1" s="1"/>
  <c r="R231" i="1"/>
  <c r="Q233" i="1"/>
  <c r="M235" i="1"/>
  <c r="O235" i="1" s="1"/>
  <c r="N235" i="1"/>
  <c r="P235" i="1" s="1" a="1"/>
  <c r="P235" i="1" s="1"/>
  <c r="S231" i="1" l="1" a="1"/>
  <c r="S231" i="1" s="1"/>
  <c r="R232" i="1"/>
  <c r="N236" i="1"/>
  <c r="P236" i="1" s="1" a="1"/>
  <c r="P236" i="1" s="1"/>
  <c r="Q234" i="1"/>
  <c r="M236" i="1"/>
  <c r="O236" i="1" s="1"/>
  <c r="S232" i="1" l="1" a="1"/>
  <c r="S232" i="1" s="1"/>
  <c r="R233" i="1"/>
  <c r="Q235" i="1"/>
  <c r="M237" i="1"/>
  <c r="O237" i="1" s="1"/>
  <c r="N237" i="1"/>
  <c r="P237" i="1" s="1" a="1"/>
  <c r="P237" i="1" s="1"/>
  <c r="S233" i="1" l="1" a="1"/>
  <c r="S233" i="1" s="1"/>
  <c r="R234" i="1"/>
  <c r="M238" i="1"/>
  <c r="O238" i="1" s="1"/>
  <c r="N238" i="1"/>
  <c r="P238" i="1" s="1" a="1"/>
  <c r="P238" i="1" s="1"/>
  <c r="Q236" i="1"/>
  <c r="S234" i="1" l="1" a="1"/>
  <c r="S234" i="1" s="1"/>
  <c r="R235" i="1"/>
  <c r="N239" i="1"/>
  <c r="P239" i="1" s="1" a="1"/>
  <c r="P239" i="1" s="1"/>
  <c r="M239" i="1"/>
  <c r="O239" i="1" s="1"/>
  <c r="Q237" i="1"/>
  <c r="S235" i="1" l="1" a="1"/>
  <c r="S235" i="1" s="1"/>
  <c r="R236" i="1"/>
  <c r="Q238" i="1"/>
  <c r="M240" i="1"/>
  <c r="O240" i="1" s="1"/>
  <c r="N240" i="1"/>
  <c r="P240" i="1" s="1" a="1"/>
  <c r="P240" i="1" s="1"/>
  <c r="S236" i="1" l="1" a="1"/>
  <c r="S236" i="1" s="1"/>
  <c r="R237" i="1"/>
  <c r="N241" i="1"/>
  <c r="P241" i="1" s="1" a="1"/>
  <c r="P241" i="1" s="1"/>
  <c r="M241" i="1"/>
  <c r="O241" i="1" s="1"/>
  <c r="Q239" i="1"/>
  <c r="S237" i="1" l="1" a="1"/>
  <c r="S237" i="1" s="1"/>
  <c r="R238" i="1"/>
  <c r="Q240" i="1"/>
  <c r="M242" i="1"/>
  <c r="O242" i="1" s="1"/>
  <c r="N242" i="1"/>
  <c r="P242" i="1" s="1" a="1"/>
  <c r="P242" i="1" s="1"/>
  <c r="S238" i="1" l="1" a="1"/>
  <c r="S238" i="1" s="1"/>
  <c r="R239" i="1"/>
  <c r="M243" i="1"/>
  <c r="O243" i="1" s="1"/>
  <c r="Q241" i="1"/>
  <c r="N243" i="1"/>
  <c r="P243" i="1" s="1" a="1"/>
  <c r="P243" i="1" s="1"/>
  <c r="S239" i="1" l="1" a="1"/>
  <c r="S239" i="1" s="1"/>
  <c r="R240" i="1"/>
  <c r="N244" i="1"/>
  <c r="P244" i="1" s="1" a="1"/>
  <c r="P244" i="1" s="1"/>
  <c r="M244" i="1"/>
  <c r="O244" i="1" s="1"/>
  <c r="Q242" i="1"/>
  <c r="S240" i="1" l="1" a="1"/>
  <c r="S240" i="1" s="1"/>
  <c r="R241" i="1"/>
  <c r="Q243" i="1"/>
  <c r="M245" i="1"/>
  <c r="O245" i="1" s="1"/>
  <c r="N245" i="1"/>
  <c r="P245" i="1" s="1" a="1"/>
  <c r="P245" i="1" s="1"/>
  <c r="S241" i="1" l="1" a="1"/>
  <c r="S241" i="1" s="1"/>
  <c r="R242" i="1"/>
  <c r="N246" i="1"/>
  <c r="P246" i="1" s="1" a="1"/>
  <c r="P246" i="1" s="1"/>
  <c r="M246" i="1"/>
  <c r="O246" i="1" s="1"/>
  <c r="Q244" i="1"/>
  <c r="S242" i="1" l="1" a="1"/>
  <c r="S242" i="1" s="1"/>
  <c r="R243" i="1"/>
  <c r="M247" i="1"/>
  <c r="O247" i="1" s="1"/>
  <c r="Q245" i="1"/>
  <c r="N247" i="1"/>
  <c r="P247" i="1" s="1" a="1"/>
  <c r="P247" i="1" s="1"/>
  <c r="S243" i="1" l="1" a="1"/>
  <c r="S243" i="1" s="1"/>
  <c r="R244" i="1"/>
  <c r="N248" i="1"/>
  <c r="P248" i="1" s="1" a="1"/>
  <c r="P248" i="1" s="1"/>
  <c r="Q246" i="1"/>
  <c r="M248" i="1"/>
  <c r="O248" i="1" s="1"/>
  <c r="S244" i="1" l="1" a="1"/>
  <c r="S244" i="1" s="1"/>
  <c r="R245" i="1"/>
  <c r="M249" i="1"/>
  <c r="O249" i="1" s="1"/>
  <c r="Q247" i="1"/>
  <c r="N249" i="1"/>
  <c r="P249" i="1" s="1" a="1"/>
  <c r="P249" i="1" s="1"/>
  <c r="S245" i="1" l="1" a="1"/>
  <c r="S245" i="1" s="1"/>
  <c r="R246" i="1"/>
  <c r="N250" i="1"/>
  <c r="P250" i="1" s="1" a="1"/>
  <c r="P250" i="1" s="1"/>
  <c r="Q248" i="1"/>
  <c r="M250" i="1"/>
  <c r="O250" i="1" s="1"/>
  <c r="S246" i="1" l="1" a="1"/>
  <c r="S246" i="1" s="1"/>
  <c r="R247" i="1"/>
  <c r="Q249" i="1"/>
  <c r="M251" i="1"/>
  <c r="O251" i="1" s="1"/>
  <c r="N251" i="1"/>
  <c r="P251" i="1" s="1" a="1"/>
  <c r="P251" i="1" s="1"/>
  <c r="S247" i="1" l="1" a="1"/>
  <c r="S247" i="1" s="1"/>
  <c r="R248" i="1"/>
  <c r="N252" i="1"/>
  <c r="P252" i="1" s="1" a="1"/>
  <c r="P252" i="1" s="1"/>
  <c r="M252" i="1"/>
  <c r="O252" i="1" s="1"/>
  <c r="Q250" i="1"/>
  <c r="S248" i="1" l="1" a="1"/>
  <c r="S248" i="1" s="1"/>
  <c r="R249" i="1"/>
  <c r="Q251" i="1"/>
  <c r="M253" i="1"/>
  <c r="O253" i="1" s="1"/>
  <c r="N253" i="1"/>
  <c r="P253" i="1" s="1" a="1"/>
  <c r="P253" i="1" s="1"/>
  <c r="S249" i="1" l="1" a="1"/>
  <c r="S249" i="1" s="1"/>
  <c r="R250" i="1"/>
  <c r="N254" i="1"/>
  <c r="P254" i="1" s="1" a="1"/>
  <c r="P254" i="1" s="1"/>
  <c r="M254" i="1"/>
  <c r="O254" i="1" s="1"/>
  <c r="Q252" i="1"/>
  <c r="S250" i="1" l="1" a="1"/>
  <c r="S250" i="1" s="1"/>
  <c r="R251" i="1"/>
  <c r="Q253" i="1"/>
  <c r="M255" i="1"/>
  <c r="O255" i="1" s="1"/>
  <c r="N255" i="1"/>
  <c r="P255" i="1" s="1" a="1"/>
  <c r="P255" i="1" s="1"/>
  <c r="S251" i="1" l="1" a="1"/>
  <c r="S251" i="1" s="1"/>
  <c r="R252" i="1"/>
  <c r="Q254" i="1"/>
  <c r="M256" i="1"/>
  <c r="O256" i="1" s="1"/>
  <c r="N256" i="1"/>
  <c r="P256" i="1" s="1" a="1"/>
  <c r="P256" i="1" s="1"/>
  <c r="S252" i="1" l="1" a="1"/>
  <c r="S252" i="1" s="1"/>
  <c r="R253" i="1"/>
  <c r="N257" i="1"/>
  <c r="P257" i="1" s="1" a="1"/>
  <c r="P257" i="1" s="1"/>
  <c r="Q255" i="1"/>
  <c r="M257" i="1"/>
  <c r="O257" i="1" s="1"/>
  <c r="S253" i="1" l="1" a="1"/>
  <c r="S253" i="1" s="1"/>
  <c r="R254" i="1"/>
  <c r="Q256" i="1"/>
  <c r="M258" i="1"/>
  <c r="O258" i="1" s="1"/>
  <c r="N258" i="1"/>
  <c r="P258" i="1" s="1" a="1"/>
  <c r="P258" i="1" s="1"/>
  <c r="S254" i="1" l="1" a="1"/>
  <c r="S254" i="1" s="1"/>
  <c r="R255" i="1"/>
  <c r="N259" i="1"/>
  <c r="P259" i="1" s="1" a="1"/>
  <c r="P259" i="1" s="1"/>
  <c r="Q257" i="1"/>
  <c r="M259" i="1"/>
  <c r="O259" i="1" s="1"/>
  <c r="S255" i="1" l="1" a="1"/>
  <c r="S255" i="1" s="1"/>
  <c r="R256" i="1"/>
  <c r="M260" i="1"/>
  <c r="O260" i="1" s="1"/>
  <c r="N260" i="1"/>
  <c r="P260" i="1" s="1" a="1"/>
  <c r="P260" i="1" s="1"/>
  <c r="Q258" i="1"/>
  <c r="S256" i="1" l="1" a="1"/>
  <c r="S256" i="1" s="1"/>
  <c r="R257" i="1"/>
  <c r="N261" i="1"/>
  <c r="P261" i="1" s="1" a="1"/>
  <c r="P261" i="1" s="1"/>
  <c r="Q259" i="1"/>
  <c r="M261" i="1"/>
  <c r="O261" i="1" s="1"/>
  <c r="S257" i="1" l="1" a="1"/>
  <c r="S257" i="1" s="1"/>
  <c r="R258" i="1"/>
  <c r="M262" i="1"/>
  <c r="O262" i="1" s="1"/>
  <c r="Q260" i="1"/>
  <c r="N262" i="1"/>
  <c r="P262" i="1" s="1" a="1"/>
  <c r="P262" i="1" s="1"/>
  <c r="S258" i="1" l="1" a="1"/>
  <c r="S258" i="1" s="1"/>
  <c r="R259" i="1"/>
  <c r="N263" i="1"/>
  <c r="P263" i="1" s="1" a="1"/>
  <c r="P263" i="1" s="1"/>
  <c r="M263" i="1"/>
  <c r="O263" i="1" s="1"/>
  <c r="Q261" i="1"/>
  <c r="S259" i="1" l="1" a="1"/>
  <c r="S259" i="1" s="1"/>
  <c r="R260" i="1"/>
  <c r="Q262" i="1"/>
  <c r="M264" i="1"/>
  <c r="O264" i="1" s="1"/>
  <c r="N264" i="1"/>
  <c r="P264" i="1" s="1" a="1"/>
  <c r="P264" i="1" s="1"/>
  <c r="S260" i="1" l="1" a="1"/>
  <c r="S260" i="1" s="1"/>
  <c r="R261" i="1"/>
  <c r="N265" i="1"/>
  <c r="P265" i="1" s="1" a="1"/>
  <c r="P265" i="1" s="1"/>
  <c r="M265" i="1"/>
  <c r="O265" i="1" s="1"/>
  <c r="Q263" i="1"/>
  <c r="S261" i="1" l="1" a="1"/>
  <c r="S261" i="1" s="1"/>
  <c r="R262" i="1"/>
  <c r="Q264" i="1"/>
  <c r="M266" i="1"/>
  <c r="O266" i="1" s="1"/>
  <c r="N266" i="1"/>
  <c r="P266" i="1" s="1" a="1"/>
  <c r="P266" i="1" s="1"/>
  <c r="S262" i="1" l="1" a="1"/>
  <c r="S262" i="1" s="1"/>
  <c r="R263" i="1"/>
  <c r="N267" i="1"/>
  <c r="P267" i="1" s="1" a="1"/>
  <c r="P267" i="1" s="1"/>
  <c r="Q265" i="1"/>
  <c r="M267" i="1"/>
  <c r="O267" i="1" s="1"/>
  <c r="S263" i="1" l="1" a="1"/>
  <c r="S263" i="1" s="1"/>
  <c r="R264" i="1"/>
  <c r="M268" i="1"/>
  <c r="O268" i="1" s="1"/>
  <c r="Q266" i="1"/>
  <c r="N268" i="1"/>
  <c r="P268" i="1" s="1" a="1"/>
  <c r="P268" i="1" s="1"/>
  <c r="S264" i="1" l="1" a="1"/>
  <c r="S264" i="1" s="1"/>
  <c r="R265" i="1"/>
  <c r="N269" i="1"/>
  <c r="P269" i="1" s="1" a="1"/>
  <c r="P269" i="1" s="1"/>
  <c r="Q267" i="1"/>
  <c r="M269" i="1"/>
  <c r="O269" i="1" s="1"/>
  <c r="S265" i="1" l="1" a="1"/>
  <c r="S265" i="1" s="1"/>
  <c r="R266" i="1"/>
  <c r="M270" i="1"/>
  <c r="O270" i="1" s="1"/>
  <c r="Q268" i="1"/>
  <c r="N270" i="1"/>
  <c r="P270" i="1" s="1" a="1"/>
  <c r="P270" i="1" s="1"/>
  <c r="S266" i="1" l="1" a="1"/>
  <c r="S266" i="1" s="1"/>
  <c r="R267" i="1"/>
  <c r="N271" i="1"/>
  <c r="P271" i="1" s="1" a="1"/>
  <c r="P271" i="1" s="1"/>
  <c r="M271" i="1"/>
  <c r="O271" i="1" s="1"/>
  <c r="Q269" i="1"/>
  <c r="S267" i="1" l="1" a="1"/>
  <c r="S267" i="1" s="1"/>
  <c r="R268" i="1"/>
  <c r="Q270" i="1"/>
  <c r="M272" i="1"/>
  <c r="O272" i="1" s="1"/>
  <c r="N272" i="1"/>
  <c r="P272" i="1" s="1" a="1"/>
  <c r="P272" i="1" s="1"/>
  <c r="S268" i="1" l="1" a="1"/>
  <c r="S268" i="1" s="1"/>
  <c r="R269" i="1"/>
  <c r="N273" i="1"/>
  <c r="P273" i="1" s="1" a="1"/>
  <c r="P273" i="1" s="1"/>
  <c r="M273" i="1"/>
  <c r="O273" i="1" s="1"/>
  <c r="Q271" i="1"/>
  <c r="S269" i="1" l="1" a="1"/>
  <c r="S269" i="1" s="1"/>
  <c r="R270" i="1"/>
  <c r="Q272" i="1"/>
  <c r="M274" i="1"/>
  <c r="O274" i="1" s="1"/>
  <c r="N274" i="1"/>
  <c r="P274" i="1" s="1" a="1"/>
  <c r="P274" i="1" s="1"/>
  <c r="S270" i="1" l="1" a="1"/>
  <c r="S270" i="1" s="1"/>
  <c r="R271" i="1"/>
  <c r="N275" i="1"/>
  <c r="P275" i="1" s="1" a="1"/>
  <c r="P275" i="1" s="1"/>
  <c r="Q273" i="1"/>
  <c r="M275" i="1"/>
  <c r="O275" i="1" s="1"/>
  <c r="S271" i="1" l="1" a="1"/>
  <c r="S271" i="1" s="1"/>
  <c r="R272" i="1"/>
  <c r="M276" i="1"/>
  <c r="O276" i="1" s="1"/>
  <c r="Q274" i="1"/>
  <c r="N276" i="1"/>
  <c r="P276" i="1" s="1" a="1"/>
  <c r="P276" i="1" s="1"/>
  <c r="S272" i="1" l="1" a="1"/>
  <c r="S272" i="1" s="1"/>
  <c r="R273" i="1"/>
  <c r="N277" i="1"/>
  <c r="P277" i="1" s="1" a="1"/>
  <c r="P277" i="1" s="1"/>
  <c r="M277" i="1"/>
  <c r="O277" i="1" s="1"/>
  <c r="Q275" i="1"/>
  <c r="S273" i="1" l="1" a="1"/>
  <c r="S273" i="1" s="1"/>
  <c r="R274" i="1"/>
  <c r="M278" i="1"/>
  <c r="O278" i="1" s="1"/>
  <c r="Q276" i="1"/>
  <c r="N278" i="1"/>
  <c r="P278" i="1" s="1" a="1"/>
  <c r="P278" i="1" s="1"/>
  <c r="S274" i="1" l="1" a="1"/>
  <c r="S274" i="1" s="1"/>
  <c r="R275" i="1"/>
  <c r="N279" i="1"/>
  <c r="P279" i="1" s="1" a="1"/>
  <c r="P279" i="1" s="1"/>
  <c r="M279" i="1"/>
  <c r="O279" i="1" s="1"/>
  <c r="Q277" i="1"/>
  <c r="S275" i="1" l="1" a="1"/>
  <c r="S275" i="1" s="1"/>
  <c r="R276" i="1"/>
  <c r="Q278" i="1"/>
  <c r="M280" i="1"/>
  <c r="O280" i="1" s="1"/>
  <c r="N280" i="1"/>
  <c r="P280" i="1" s="1" a="1"/>
  <c r="P280" i="1" s="1"/>
  <c r="S276" i="1" l="1" a="1"/>
  <c r="S276" i="1" s="1"/>
  <c r="R277" i="1"/>
  <c r="N281" i="1"/>
  <c r="P281" i="1" s="1" a="1"/>
  <c r="P281" i="1" s="1"/>
  <c r="M281" i="1"/>
  <c r="O281" i="1" s="1"/>
  <c r="Q279" i="1"/>
  <c r="S277" i="1" l="1" a="1"/>
  <c r="S277" i="1" s="1"/>
  <c r="R278" i="1"/>
  <c r="Q280" i="1"/>
  <c r="M282" i="1"/>
  <c r="O282" i="1" s="1"/>
  <c r="N282" i="1"/>
  <c r="P282" i="1" s="1" a="1"/>
  <c r="P282" i="1" s="1"/>
  <c r="S278" i="1" l="1" a="1"/>
  <c r="S278" i="1" s="1"/>
  <c r="R279" i="1"/>
  <c r="N283" i="1"/>
  <c r="P283" i="1" s="1" a="1"/>
  <c r="P283" i="1" s="1"/>
  <c r="Q281" i="1"/>
  <c r="M283" i="1"/>
  <c r="O283" i="1" s="1"/>
  <c r="S279" i="1" l="1" a="1"/>
  <c r="S279" i="1" s="1"/>
  <c r="R280" i="1"/>
  <c r="M284" i="1"/>
  <c r="O284" i="1" s="1"/>
  <c r="Q282" i="1"/>
  <c r="N284" i="1"/>
  <c r="P284" i="1" s="1" a="1"/>
  <c r="P284" i="1" s="1"/>
  <c r="S280" i="1" l="1" a="1"/>
  <c r="S280" i="1" s="1"/>
  <c r="R281" i="1"/>
  <c r="Q284" i="1"/>
  <c r="N285" i="1"/>
  <c r="P285" i="1" s="1" a="1"/>
  <c r="P285" i="1" s="1"/>
  <c r="Q283" i="1"/>
  <c r="M285" i="1"/>
  <c r="O285" i="1" s="1"/>
  <c r="S281" i="1" l="1" a="1"/>
  <c r="S281" i="1" s="1"/>
  <c r="R282" i="1"/>
  <c r="M286" i="1"/>
  <c r="O286" i="1" s="1"/>
  <c r="N286" i="1"/>
  <c r="P286" i="1" s="1" a="1"/>
  <c r="P286" i="1" s="1"/>
  <c r="S282" i="1" l="1" a="1"/>
  <c r="S282" i="1" s="1"/>
  <c r="R283" i="1"/>
  <c r="N287" i="1"/>
  <c r="P287" i="1" s="1" a="1"/>
  <c r="P287" i="1" s="1"/>
  <c r="M287" i="1"/>
  <c r="O287" i="1" s="1"/>
  <c r="Q285" i="1"/>
  <c r="S283" i="1" l="1" a="1"/>
  <c r="S283" i="1" s="1"/>
  <c r="R284" i="1"/>
  <c r="Q286" i="1"/>
  <c r="M288" i="1"/>
  <c r="O288" i="1" s="1"/>
  <c r="N288" i="1"/>
  <c r="P288" i="1" s="1" a="1"/>
  <c r="P288" i="1" s="1"/>
  <c r="S284" i="1" l="1" a="1"/>
  <c r="S284" i="1" s="1"/>
  <c r="R285" i="1"/>
  <c r="N289" i="1"/>
  <c r="P289" i="1" s="1" a="1"/>
  <c r="P289" i="1" s="1"/>
  <c r="M289" i="1"/>
  <c r="O289" i="1" s="1"/>
  <c r="Q287" i="1"/>
  <c r="S285" i="1" l="1" a="1"/>
  <c r="S285" i="1" s="1"/>
  <c r="R286" i="1"/>
  <c r="Q288" i="1"/>
  <c r="M290" i="1"/>
  <c r="O290" i="1" s="1"/>
  <c r="N290" i="1"/>
  <c r="P290" i="1" s="1" a="1"/>
  <c r="P290" i="1" s="1"/>
  <c r="S286" i="1" l="1" a="1"/>
  <c r="S286" i="1" s="1"/>
  <c r="R287" i="1"/>
  <c r="N291" i="1"/>
  <c r="P291" i="1" s="1" a="1"/>
  <c r="P291" i="1" s="1"/>
  <c r="Q289" i="1"/>
  <c r="M291" i="1"/>
  <c r="O291" i="1" s="1"/>
  <c r="S287" i="1" l="1" a="1"/>
  <c r="S287" i="1" s="1"/>
  <c r="R288" i="1"/>
  <c r="M292" i="1"/>
  <c r="O292" i="1" s="1"/>
  <c r="Q290" i="1"/>
  <c r="N292" i="1"/>
  <c r="P292" i="1" s="1" a="1"/>
  <c r="P292" i="1" s="1"/>
  <c r="S288" i="1" l="1" a="1"/>
  <c r="S288" i="1" s="1"/>
  <c r="R289" i="1"/>
  <c r="N293" i="1"/>
  <c r="P293" i="1" s="1" a="1"/>
  <c r="P293" i="1" s="1"/>
  <c r="Q291" i="1"/>
  <c r="M293" i="1"/>
  <c r="O293" i="1" s="1"/>
  <c r="S289" i="1" l="1" a="1"/>
  <c r="S289" i="1" s="1"/>
  <c r="R290" i="1"/>
  <c r="M294" i="1"/>
  <c r="O294" i="1" s="1"/>
  <c r="Q292" i="1"/>
  <c r="N294" i="1"/>
  <c r="P294" i="1" s="1" a="1"/>
  <c r="P294" i="1" s="1"/>
  <c r="S290" i="1" l="1" a="1"/>
  <c r="S290" i="1" s="1"/>
  <c r="R291" i="1"/>
  <c r="M295" i="1"/>
  <c r="O295" i="1" s="1"/>
  <c r="N295" i="1"/>
  <c r="P295" i="1" s="1" a="1"/>
  <c r="P295" i="1" s="1"/>
  <c r="Q293" i="1"/>
  <c r="S291" i="1" l="1" a="1"/>
  <c r="S291" i="1" s="1"/>
  <c r="R292" i="1"/>
  <c r="N296" i="1"/>
  <c r="P296" i="1" s="1" a="1"/>
  <c r="P296" i="1" s="1"/>
  <c r="Q294" i="1"/>
  <c r="M296" i="1"/>
  <c r="O296" i="1" s="1"/>
  <c r="S292" i="1" l="1" a="1"/>
  <c r="S292" i="1" s="1"/>
  <c r="R293" i="1"/>
  <c r="M297" i="1"/>
  <c r="O297" i="1" s="1"/>
  <c r="Q295" i="1"/>
  <c r="N297" i="1"/>
  <c r="P297" i="1" s="1" a="1"/>
  <c r="P297" i="1" s="1"/>
  <c r="S293" i="1" l="1" a="1"/>
  <c r="S293" i="1" s="1"/>
  <c r="R294" i="1"/>
  <c r="N298" i="1"/>
  <c r="P298" i="1" s="1" a="1"/>
  <c r="P298" i="1" s="1"/>
  <c r="Q296" i="1"/>
  <c r="M298" i="1"/>
  <c r="O298" i="1" s="1"/>
  <c r="S294" i="1" l="1" a="1"/>
  <c r="S294" i="1" s="1"/>
  <c r="R295" i="1"/>
  <c r="Q297" i="1"/>
  <c r="M299" i="1"/>
  <c r="O299" i="1" s="1"/>
  <c r="N299" i="1"/>
  <c r="P299" i="1" s="1" a="1"/>
  <c r="P299" i="1" s="1"/>
  <c r="S295" i="1" l="1" a="1"/>
  <c r="S295" i="1" s="1"/>
  <c r="R296" i="1"/>
  <c r="N300" i="1"/>
  <c r="P300" i="1" s="1" a="1"/>
  <c r="P300" i="1" s="1"/>
  <c r="M300" i="1"/>
  <c r="O300" i="1" s="1"/>
  <c r="Q298" i="1"/>
  <c r="S296" i="1" l="1" a="1"/>
  <c r="S296" i="1" s="1"/>
  <c r="R297" i="1"/>
  <c r="Q299" i="1"/>
  <c r="M301" i="1"/>
  <c r="O301" i="1" s="1"/>
  <c r="N301" i="1"/>
  <c r="P301" i="1" s="1" a="1"/>
  <c r="P301" i="1" s="1"/>
  <c r="S297" i="1" l="1" a="1"/>
  <c r="S297" i="1" s="1"/>
  <c r="R298" i="1"/>
  <c r="N302" i="1"/>
  <c r="P302" i="1" s="1" a="1"/>
  <c r="P302" i="1" s="1"/>
  <c r="M302" i="1"/>
  <c r="O302" i="1" s="1"/>
  <c r="Q300" i="1"/>
  <c r="S298" i="1" l="1" a="1"/>
  <c r="S298" i="1" s="1"/>
  <c r="R299" i="1"/>
  <c r="M303" i="1"/>
  <c r="O303" i="1" s="1"/>
  <c r="Q301" i="1"/>
  <c r="N303" i="1"/>
  <c r="P303" i="1" s="1" a="1"/>
  <c r="P303" i="1" s="1"/>
  <c r="S299" i="1" l="1" a="1"/>
  <c r="S299" i="1" s="1"/>
  <c r="R300" i="1"/>
  <c r="N304" i="1"/>
  <c r="P304" i="1" s="1" a="1"/>
  <c r="P304" i="1" s="1"/>
  <c r="Q302" i="1"/>
  <c r="M304" i="1"/>
  <c r="O304" i="1" s="1"/>
  <c r="S300" i="1" l="1" a="1"/>
  <c r="S300" i="1" s="1"/>
  <c r="R301" i="1"/>
  <c r="M305" i="1"/>
  <c r="O305" i="1" s="1"/>
  <c r="Q303" i="1"/>
  <c r="N305" i="1"/>
  <c r="P305" i="1" s="1" a="1"/>
  <c r="P305" i="1" s="1"/>
  <c r="S301" i="1" l="1" a="1"/>
  <c r="S301" i="1" s="1"/>
  <c r="R302" i="1"/>
  <c r="N306" i="1"/>
  <c r="P306" i="1" s="1" a="1"/>
  <c r="P306" i="1" s="1"/>
  <c r="Q304" i="1"/>
  <c r="M306" i="1"/>
  <c r="O306" i="1" s="1"/>
  <c r="S302" i="1" l="1" a="1"/>
  <c r="S302" i="1" s="1"/>
  <c r="R303" i="1"/>
  <c r="Q305" i="1"/>
  <c r="M307" i="1"/>
  <c r="O307" i="1" s="1"/>
  <c r="N307" i="1"/>
  <c r="P307" i="1" s="1" a="1"/>
  <c r="P307" i="1" s="1"/>
  <c r="S303" i="1" l="1" a="1"/>
  <c r="S303" i="1" s="1"/>
  <c r="R304" i="1"/>
  <c r="N308" i="1"/>
  <c r="P308" i="1" s="1" a="1"/>
  <c r="P308" i="1" s="1"/>
  <c r="M308" i="1"/>
  <c r="O308" i="1" s="1"/>
  <c r="Q306" i="1"/>
  <c r="S304" i="1" l="1" a="1"/>
  <c r="S304" i="1" s="1"/>
  <c r="R305" i="1"/>
  <c r="Q307" i="1"/>
  <c r="M309" i="1"/>
  <c r="O309" i="1" s="1"/>
  <c r="N309" i="1"/>
  <c r="P309" i="1" s="1" a="1"/>
  <c r="P309" i="1" s="1"/>
  <c r="S305" i="1" l="1" a="1"/>
  <c r="S305" i="1" s="1"/>
  <c r="R306" i="1"/>
  <c r="N310" i="1"/>
  <c r="P310" i="1" s="1" a="1"/>
  <c r="P310" i="1" s="1"/>
  <c r="M310" i="1"/>
  <c r="O310" i="1" s="1"/>
  <c r="Q308" i="1"/>
  <c r="S306" i="1" l="1" a="1"/>
  <c r="S306" i="1" s="1"/>
  <c r="R307" i="1"/>
  <c r="Q309" i="1"/>
  <c r="M311" i="1"/>
  <c r="O311" i="1" s="1"/>
  <c r="N311" i="1"/>
  <c r="P311" i="1" s="1" a="1"/>
  <c r="P311" i="1" s="1"/>
  <c r="S307" i="1" l="1" a="1"/>
  <c r="S307" i="1" s="1"/>
  <c r="R308" i="1"/>
  <c r="N312" i="1"/>
  <c r="P312" i="1" s="1" a="1"/>
  <c r="P312" i="1" s="1"/>
  <c r="Q310" i="1"/>
  <c r="M312" i="1"/>
  <c r="O312" i="1" s="1"/>
  <c r="S308" i="1" l="1" a="1"/>
  <c r="S308" i="1" s="1"/>
  <c r="R309" i="1"/>
  <c r="Q311" i="1"/>
  <c r="M313" i="1"/>
  <c r="O313" i="1" s="1"/>
  <c r="N313" i="1"/>
  <c r="P313" i="1" s="1" a="1"/>
  <c r="P313" i="1" s="1"/>
  <c r="S309" i="1" l="1" a="1"/>
  <c r="S309" i="1" s="1"/>
  <c r="R310" i="1"/>
  <c r="N314" i="1"/>
  <c r="P314" i="1" s="1" a="1"/>
  <c r="P314" i="1" s="1"/>
  <c r="Q312" i="1"/>
  <c r="M314" i="1"/>
  <c r="O314" i="1" s="1"/>
  <c r="S310" i="1" l="1" a="1"/>
  <c r="S310" i="1" s="1"/>
  <c r="R311" i="1"/>
  <c r="Q313" i="1"/>
  <c r="M315" i="1"/>
  <c r="O315" i="1" s="1"/>
  <c r="N315" i="1"/>
  <c r="P315" i="1" s="1" a="1"/>
  <c r="P315" i="1" s="1"/>
  <c r="S311" i="1" l="1" a="1"/>
  <c r="S311" i="1" s="1"/>
  <c r="R312" i="1"/>
  <c r="N316" i="1"/>
  <c r="P316" i="1" s="1" a="1"/>
  <c r="P316" i="1" s="1"/>
  <c r="M316" i="1"/>
  <c r="O316" i="1" s="1"/>
  <c r="Q314" i="1"/>
  <c r="S312" i="1" l="1" a="1"/>
  <c r="S312" i="1" s="1"/>
  <c r="R313" i="1"/>
  <c r="Q315" i="1"/>
  <c r="M317" i="1"/>
  <c r="O317" i="1" s="1"/>
  <c r="N317" i="1"/>
  <c r="P317" i="1" s="1" a="1"/>
  <c r="P317" i="1" s="1"/>
  <c r="S313" i="1" l="1" a="1"/>
  <c r="S313" i="1" s="1"/>
  <c r="R314" i="1"/>
  <c r="N318" i="1"/>
  <c r="P318" i="1" s="1" a="1"/>
  <c r="P318" i="1" s="1"/>
  <c r="M318" i="1"/>
  <c r="O318" i="1" s="1"/>
  <c r="Q316" i="1"/>
  <c r="S314" i="1" l="1" a="1"/>
  <c r="S314" i="1" s="1"/>
  <c r="R315" i="1"/>
  <c r="Q317" i="1"/>
  <c r="M319" i="1"/>
  <c r="O319" i="1" s="1"/>
  <c r="N319" i="1"/>
  <c r="P319" i="1" s="1" a="1"/>
  <c r="P319" i="1" s="1"/>
  <c r="S315" i="1" l="1" a="1"/>
  <c r="S315" i="1" s="1"/>
  <c r="R316" i="1"/>
  <c r="N320" i="1"/>
  <c r="P320" i="1" s="1" a="1"/>
  <c r="P320" i="1" s="1"/>
  <c r="Q318" i="1"/>
  <c r="M320" i="1"/>
  <c r="O320" i="1" s="1"/>
  <c r="S316" i="1" l="1" a="1"/>
  <c r="S316" i="1" s="1"/>
  <c r="R317" i="1"/>
  <c r="Q319" i="1"/>
  <c r="M321" i="1"/>
  <c r="O321" i="1" s="1"/>
  <c r="N321" i="1"/>
  <c r="P321" i="1" s="1" a="1"/>
  <c r="P321" i="1" s="1"/>
  <c r="S317" i="1" l="1" a="1"/>
  <c r="S317" i="1" s="1"/>
  <c r="R318" i="1"/>
  <c r="N322" i="1"/>
  <c r="P322" i="1" s="1" a="1"/>
  <c r="P322" i="1" s="1"/>
  <c r="Q320" i="1"/>
  <c r="M322" i="1"/>
  <c r="O322" i="1" s="1"/>
  <c r="S318" i="1" l="1" a="1"/>
  <c r="S318" i="1" s="1"/>
  <c r="R319" i="1"/>
  <c r="Q321" i="1"/>
  <c r="M323" i="1"/>
  <c r="O323" i="1" s="1"/>
  <c r="N323" i="1"/>
  <c r="P323" i="1" s="1" a="1"/>
  <c r="P323" i="1" s="1"/>
  <c r="S319" i="1" l="1" a="1"/>
  <c r="S319" i="1" s="1"/>
  <c r="R320" i="1"/>
  <c r="N324" i="1"/>
  <c r="P324" i="1" s="1" a="1"/>
  <c r="P324" i="1" s="1"/>
  <c r="M324" i="1"/>
  <c r="O324" i="1" s="1"/>
  <c r="Q322" i="1"/>
  <c r="S320" i="1" l="1" a="1"/>
  <c r="S320" i="1" s="1"/>
  <c r="R321" i="1"/>
  <c r="Q323" i="1"/>
  <c r="M325" i="1"/>
  <c r="O325" i="1" s="1"/>
  <c r="N325" i="1"/>
  <c r="P325" i="1" s="1" a="1"/>
  <c r="P325" i="1" s="1"/>
  <c r="S321" i="1" l="1" a="1"/>
  <c r="S321" i="1" s="1"/>
  <c r="R322" i="1"/>
  <c r="N326" i="1"/>
  <c r="P326" i="1" s="1" a="1"/>
  <c r="P326" i="1" s="1"/>
  <c r="M326" i="1"/>
  <c r="O326" i="1" s="1"/>
  <c r="Q324" i="1"/>
  <c r="S322" i="1" l="1" a="1"/>
  <c r="S322" i="1" s="1"/>
  <c r="R323" i="1"/>
  <c r="M327" i="1"/>
  <c r="O327" i="1" s="1"/>
  <c r="Q325" i="1"/>
  <c r="N327" i="1"/>
  <c r="P327" i="1" s="1" a="1"/>
  <c r="P327" i="1" s="1"/>
  <c r="S323" i="1" l="1" a="1"/>
  <c r="S323" i="1" s="1"/>
  <c r="R324" i="1"/>
  <c r="N328" i="1"/>
  <c r="P328" i="1" s="1" a="1"/>
  <c r="P328" i="1" s="1"/>
  <c r="Q326" i="1"/>
  <c r="M328" i="1"/>
  <c r="O328" i="1" s="1"/>
  <c r="S324" i="1" l="1" a="1"/>
  <c r="S324" i="1" s="1"/>
  <c r="R325" i="1"/>
  <c r="M329" i="1"/>
  <c r="O329" i="1" s="1"/>
  <c r="Q327" i="1"/>
  <c r="N329" i="1"/>
  <c r="P329" i="1" s="1" a="1"/>
  <c r="P329" i="1" s="1"/>
  <c r="S325" i="1" l="1" a="1"/>
  <c r="S325" i="1" s="1"/>
  <c r="R326" i="1"/>
  <c r="N330" i="1"/>
  <c r="P330" i="1" s="1" a="1"/>
  <c r="P330" i="1" s="1"/>
  <c r="Q328" i="1"/>
  <c r="M330" i="1"/>
  <c r="O330" i="1" s="1"/>
  <c r="S326" i="1" l="1" a="1"/>
  <c r="S326" i="1" s="1"/>
  <c r="R327" i="1"/>
  <c r="Q329" i="1"/>
  <c r="M331" i="1"/>
  <c r="O331" i="1" s="1"/>
  <c r="N331" i="1"/>
  <c r="P331" i="1" s="1" a="1"/>
  <c r="P331" i="1" s="1"/>
  <c r="S327" i="1" l="1" a="1"/>
  <c r="S327" i="1" s="1"/>
  <c r="R328" i="1"/>
  <c r="M332" i="1"/>
  <c r="O332" i="1" s="1"/>
  <c r="N332" i="1"/>
  <c r="P332" i="1" s="1" a="1"/>
  <c r="P332" i="1" s="1"/>
  <c r="Q330" i="1"/>
  <c r="S328" i="1" l="1" a="1"/>
  <c r="S328" i="1" s="1"/>
  <c r="R329" i="1"/>
  <c r="N333" i="1"/>
  <c r="P333" i="1" s="1" a="1"/>
  <c r="P333" i="1" s="1"/>
  <c r="Q331" i="1"/>
  <c r="M333" i="1"/>
  <c r="O333" i="1" s="1"/>
  <c r="S329" i="1" l="1" a="1"/>
  <c r="S329" i="1" s="1"/>
  <c r="R330" i="1"/>
  <c r="M334" i="1"/>
  <c r="O334" i="1" s="1"/>
  <c r="Q332" i="1"/>
  <c r="N334" i="1"/>
  <c r="P334" i="1" s="1" a="1"/>
  <c r="P334" i="1" s="1"/>
  <c r="S330" i="1" l="1" a="1"/>
  <c r="S330" i="1" s="1"/>
  <c r="R331" i="1"/>
  <c r="M335" i="1"/>
  <c r="O335" i="1" s="1"/>
  <c r="N335" i="1"/>
  <c r="P335" i="1" s="1" a="1"/>
  <c r="P335" i="1" s="1"/>
  <c r="Q333" i="1"/>
  <c r="S331" i="1" l="1" a="1"/>
  <c r="S331" i="1" s="1"/>
  <c r="R332" i="1"/>
  <c r="N336" i="1"/>
  <c r="P336" i="1" s="1" a="1"/>
  <c r="P336" i="1" s="1"/>
  <c r="Q334" i="1"/>
  <c r="M336" i="1"/>
  <c r="O336" i="1" s="1"/>
  <c r="S332" i="1" l="1" a="1"/>
  <c r="S332" i="1" s="1"/>
  <c r="R333" i="1"/>
  <c r="M337" i="1"/>
  <c r="O337" i="1" s="1"/>
  <c r="Q335" i="1"/>
  <c r="N337" i="1"/>
  <c r="P337" i="1" s="1" a="1"/>
  <c r="P337" i="1" s="1"/>
  <c r="S333" i="1" l="1" a="1"/>
  <c r="S333" i="1" s="1"/>
  <c r="R334" i="1"/>
  <c r="N338" i="1"/>
  <c r="P338" i="1" s="1" a="1"/>
  <c r="P338" i="1" s="1"/>
  <c r="Q336" i="1"/>
  <c r="M338" i="1"/>
  <c r="O338" i="1" s="1"/>
  <c r="S334" i="1" l="1" a="1"/>
  <c r="S334" i="1" s="1"/>
  <c r="R335" i="1"/>
  <c r="Q337" i="1"/>
  <c r="N339" i="1"/>
  <c r="P339" i="1" s="1" a="1"/>
  <c r="P339" i="1" s="1"/>
  <c r="M339" i="1"/>
  <c r="O339" i="1" s="1"/>
  <c r="S335" i="1" l="1" a="1"/>
  <c r="S335" i="1" s="1"/>
  <c r="R336" i="1"/>
  <c r="M340" i="1"/>
  <c r="O340" i="1" s="1"/>
  <c r="Q338" i="1"/>
  <c r="N340" i="1"/>
  <c r="P340" i="1" s="1" a="1"/>
  <c r="P340" i="1" s="1"/>
  <c r="S336" i="1" l="1" a="1"/>
  <c r="S336" i="1" s="1"/>
  <c r="R337" i="1"/>
  <c r="N341" i="1"/>
  <c r="P341" i="1" s="1" a="1"/>
  <c r="P341" i="1" s="1"/>
  <c r="Q339" i="1"/>
  <c r="M341" i="1"/>
  <c r="O341" i="1" s="1"/>
  <c r="S337" i="1" l="1" a="1"/>
  <c r="S337" i="1" s="1"/>
  <c r="R338" i="1"/>
  <c r="M342" i="1"/>
  <c r="O342" i="1" s="1"/>
  <c r="N342" i="1"/>
  <c r="P342" i="1" s="1" a="1"/>
  <c r="P342" i="1" s="1"/>
  <c r="Q340" i="1"/>
  <c r="S338" i="1" l="1" a="1"/>
  <c r="S338" i="1" s="1"/>
  <c r="R339" i="1"/>
  <c r="N343" i="1"/>
  <c r="P343" i="1" s="1" a="1"/>
  <c r="P343" i="1" s="1"/>
  <c r="M343" i="1"/>
  <c r="O343" i="1" s="1"/>
  <c r="Q341" i="1"/>
  <c r="S339" i="1" l="1" a="1"/>
  <c r="S339" i="1" s="1"/>
  <c r="R340" i="1"/>
  <c r="Q342" i="1"/>
  <c r="M344" i="1"/>
  <c r="O344" i="1" s="1"/>
  <c r="N344" i="1"/>
  <c r="P344" i="1" s="1" a="1"/>
  <c r="P344" i="1" s="1"/>
  <c r="S340" i="1" l="1" a="1"/>
  <c r="S340" i="1" s="1"/>
  <c r="R341" i="1"/>
  <c r="N345" i="1"/>
  <c r="P345" i="1" s="1" a="1"/>
  <c r="P345" i="1" s="1"/>
  <c r="M345" i="1"/>
  <c r="O345" i="1" s="1"/>
  <c r="Q343" i="1"/>
  <c r="S341" i="1" l="1" a="1"/>
  <c r="S341" i="1" s="1"/>
  <c r="R342" i="1"/>
  <c r="Q344" i="1"/>
  <c r="M346" i="1"/>
  <c r="O346" i="1" s="1"/>
  <c r="N346" i="1"/>
  <c r="P346" i="1" s="1" a="1"/>
  <c r="P346" i="1" s="1"/>
  <c r="S342" i="1" l="1" a="1"/>
  <c r="S342" i="1" s="1"/>
  <c r="R343" i="1"/>
  <c r="N347" i="1"/>
  <c r="P347" i="1" s="1" a="1"/>
  <c r="P347" i="1" s="1"/>
  <c r="Q345" i="1"/>
  <c r="M347" i="1"/>
  <c r="O347" i="1" s="1"/>
  <c r="S343" i="1" l="1" a="1"/>
  <c r="S343" i="1" s="1"/>
  <c r="R344" i="1"/>
  <c r="M348" i="1"/>
  <c r="O348" i="1" s="1"/>
  <c r="Q346" i="1"/>
  <c r="N348" i="1"/>
  <c r="P348" i="1" s="1" a="1"/>
  <c r="P348" i="1" s="1"/>
  <c r="S344" i="1" l="1" a="1"/>
  <c r="S344" i="1" s="1"/>
  <c r="R345" i="1"/>
  <c r="N349" i="1"/>
  <c r="P349" i="1" s="1" a="1"/>
  <c r="P349" i="1" s="1"/>
  <c r="Q347" i="1"/>
  <c r="M349" i="1"/>
  <c r="O349" i="1" s="1"/>
  <c r="S345" i="1" l="1" a="1"/>
  <c r="S345" i="1" s="1"/>
  <c r="R346" i="1"/>
  <c r="M350" i="1"/>
  <c r="O350" i="1" s="1"/>
  <c r="Q348" i="1"/>
  <c r="N350" i="1"/>
  <c r="P350" i="1" s="1" a="1"/>
  <c r="P350" i="1" s="1"/>
  <c r="S346" i="1" l="1" a="1"/>
  <c r="S346" i="1" s="1"/>
  <c r="R347" i="1"/>
  <c r="N351" i="1"/>
  <c r="P351" i="1" s="1" a="1"/>
  <c r="P351" i="1" s="1"/>
  <c r="M351" i="1"/>
  <c r="O351" i="1" s="1"/>
  <c r="Q349" i="1"/>
  <c r="S347" i="1" l="1" a="1"/>
  <c r="S347" i="1" s="1"/>
  <c r="R348" i="1"/>
  <c r="Q350" i="1"/>
  <c r="M352" i="1"/>
  <c r="O352" i="1" s="1"/>
  <c r="N352" i="1"/>
  <c r="P352" i="1" s="1" a="1"/>
  <c r="P352" i="1" s="1"/>
  <c r="S348" i="1" l="1" a="1"/>
  <c r="S348" i="1" s="1"/>
  <c r="R349" i="1"/>
  <c r="N353" i="1"/>
  <c r="P353" i="1" s="1" a="1"/>
  <c r="P353" i="1" s="1"/>
  <c r="M353" i="1"/>
  <c r="O353" i="1" s="1"/>
  <c r="Q351" i="1"/>
  <c r="S349" i="1" l="1" a="1"/>
  <c r="S349" i="1" s="1"/>
  <c r="R350" i="1"/>
  <c r="Q352" i="1"/>
  <c r="M354" i="1"/>
  <c r="O354" i="1" s="1"/>
  <c r="N354" i="1"/>
  <c r="P354" i="1" s="1" a="1"/>
  <c r="P354" i="1" s="1"/>
  <c r="S350" i="1" l="1" a="1"/>
  <c r="S350" i="1" s="1"/>
  <c r="R351" i="1"/>
  <c r="N355" i="1"/>
  <c r="P355" i="1" s="1" a="1"/>
  <c r="P355" i="1" s="1"/>
  <c r="Q353" i="1"/>
  <c r="M355" i="1"/>
  <c r="O355" i="1" s="1"/>
  <c r="S351" i="1" l="1" a="1"/>
  <c r="S351" i="1" s="1"/>
  <c r="R352" i="1"/>
  <c r="M356" i="1"/>
  <c r="O356" i="1" s="1"/>
  <c r="Q354" i="1"/>
  <c r="N356" i="1"/>
  <c r="P356" i="1" s="1" a="1"/>
  <c r="P356" i="1" s="1"/>
  <c r="S352" i="1" l="1" a="1"/>
  <c r="S352" i="1" s="1"/>
  <c r="R353" i="1"/>
  <c r="N357" i="1"/>
  <c r="P357" i="1" s="1" a="1"/>
  <c r="P357" i="1" s="1"/>
  <c r="Q355" i="1"/>
  <c r="M357" i="1"/>
  <c r="O357" i="1" s="1"/>
  <c r="S353" i="1" l="1" a="1"/>
  <c r="S353" i="1" s="1"/>
  <c r="R354" i="1"/>
  <c r="M358" i="1"/>
  <c r="O358" i="1" s="1"/>
  <c r="Q356" i="1"/>
  <c r="N358" i="1"/>
  <c r="P358" i="1" s="1" a="1"/>
  <c r="P358" i="1" s="1"/>
  <c r="S354" i="1" l="1" a="1"/>
  <c r="S354" i="1" s="1"/>
  <c r="R355" i="1"/>
  <c r="N359" i="1"/>
  <c r="P359" i="1" s="1" a="1"/>
  <c r="P359" i="1" s="1"/>
  <c r="M359" i="1"/>
  <c r="O359" i="1" s="1"/>
  <c r="Q357" i="1"/>
  <c r="S355" i="1" l="1" a="1"/>
  <c r="S355" i="1" s="1"/>
  <c r="R356" i="1"/>
  <c r="Q358" i="1"/>
  <c r="M360" i="1"/>
  <c r="O360" i="1" s="1"/>
  <c r="N360" i="1"/>
  <c r="P360" i="1" s="1" a="1"/>
  <c r="P360" i="1" s="1"/>
  <c r="S356" i="1" l="1" a="1"/>
  <c r="S356" i="1" s="1"/>
  <c r="R357" i="1"/>
  <c r="N361" i="1"/>
  <c r="P361" i="1" s="1" a="1"/>
  <c r="P361" i="1" s="1"/>
  <c r="M361" i="1"/>
  <c r="O361" i="1" s="1"/>
  <c r="Q359" i="1"/>
  <c r="S357" i="1" l="1" a="1"/>
  <c r="S357" i="1" s="1"/>
  <c r="R358" i="1"/>
  <c r="Q360" i="1"/>
  <c r="M362" i="1"/>
  <c r="O362" i="1" s="1"/>
  <c r="N362" i="1"/>
  <c r="P362" i="1" s="1" a="1"/>
  <c r="P362" i="1" s="1"/>
  <c r="S358" i="1" l="1" a="1"/>
  <c r="S358" i="1" s="1"/>
  <c r="R359" i="1"/>
  <c r="N363" i="1"/>
  <c r="P363" i="1" s="1" a="1"/>
  <c r="P363" i="1" s="1"/>
  <c r="Q361" i="1"/>
  <c r="M363" i="1"/>
  <c r="O363" i="1" s="1"/>
  <c r="S359" i="1" l="1" a="1"/>
  <c r="S359" i="1" s="1"/>
  <c r="R360" i="1"/>
  <c r="Q362" i="1"/>
  <c r="M364" i="1"/>
  <c r="O364" i="1" s="1"/>
  <c r="N364" i="1"/>
  <c r="P364" i="1" s="1" a="1"/>
  <c r="P364" i="1" s="1"/>
  <c r="S360" i="1" l="1" a="1"/>
  <c r="S360" i="1" s="1"/>
  <c r="R361" i="1"/>
  <c r="N365" i="1"/>
  <c r="P365" i="1" s="1" a="1"/>
  <c r="P365" i="1" s="1"/>
  <c r="Q363" i="1"/>
  <c r="M365" i="1"/>
  <c r="O365" i="1" s="1"/>
  <c r="S361" i="1" l="1" a="1"/>
  <c r="S361" i="1" s="1"/>
  <c r="R362" i="1"/>
  <c r="Q364" i="1"/>
  <c r="M366" i="1"/>
  <c r="O366" i="1" s="1"/>
  <c r="N366" i="1"/>
  <c r="P366" i="1" s="1" a="1"/>
  <c r="P366" i="1" s="1"/>
  <c r="S362" i="1" l="1" a="1"/>
  <c r="S362" i="1" s="1"/>
  <c r="R363" i="1"/>
  <c r="N367" i="1"/>
  <c r="P367" i="1" s="1" a="1"/>
  <c r="P367" i="1" s="1"/>
  <c r="M367" i="1"/>
  <c r="O367" i="1" s="1"/>
  <c r="Q365" i="1"/>
  <c r="S363" i="1" l="1" a="1"/>
  <c r="S363" i="1" s="1"/>
  <c r="R364" i="1"/>
  <c r="Q366" i="1"/>
  <c r="M368" i="1"/>
  <c r="O368" i="1" s="1"/>
  <c r="N368" i="1"/>
  <c r="P368" i="1" s="1" a="1"/>
  <c r="P368" i="1" s="1"/>
  <c r="S364" i="1" l="1" a="1"/>
  <c r="S364" i="1" s="1"/>
  <c r="R365" i="1"/>
  <c r="N369" i="1"/>
  <c r="P369" i="1" s="1" a="1"/>
  <c r="P369" i="1" s="1"/>
  <c r="M369" i="1"/>
  <c r="O369" i="1" s="1"/>
  <c r="Q367" i="1"/>
  <c r="S365" i="1" l="1" a="1"/>
  <c r="S365" i="1" s="1"/>
  <c r="R366" i="1"/>
  <c r="Q368" i="1"/>
  <c r="M370" i="1"/>
  <c r="O370" i="1" s="1"/>
  <c r="N370" i="1"/>
  <c r="P370" i="1" s="1" a="1"/>
  <c r="P370" i="1" s="1"/>
  <c r="S366" i="1" l="1" a="1"/>
  <c r="S366" i="1" s="1"/>
  <c r="R367" i="1"/>
  <c r="N371" i="1"/>
  <c r="P371" i="1" s="1" a="1"/>
  <c r="P371" i="1" s="1"/>
  <c r="Q369" i="1"/>
  <c r="M371" i="1"/>
  <c r="O371" i="1" s="1"/>
  <c r="S367" i="1" l="1" a="1"/>
  <c r="S367" i="1" s="1"/>
  <c r="R368" i="1"/>
  <c r="M372" i="1"/>
  <c r="O372" i="1" s="1"/>
  <c r="Q370" i="1"/>
  <c r="N372" i="1"/>
  <c r="P372" i="1" s="1" a="1"/>
  <c r="P372" i="1" s="1"/>
  <c r="S368" i="1" l="1" a="1"/>
  <c r="S368" i="1" s="1"/>
  <c r="R369" i="1"/>
  <c r="N373" i="1"/>
  <c r="P373" i="1" s="1" a="1"/>
  <c r="P373" i="1" s="1"/>
  <c r="Q371" i="1"/>
  <c r="M373" i="1"/>
  <c r="O373" i="1" s="1"/>
  <c r="S369" i="1" l="1" a="1"/>
  <c r="S369" i="1" s="1"/>
  <c r="R370" i="1"/>
  <c r="M374" i="1"/>
  <c r="O374" i="1" s="1"/>
  <c r="Q372" i="1"/>
  <c r="N374" i="1"/>
  <c r="P374" i="1" s="1" a="1"/>
  <c r="P374" i="1" s="1"/>
  <c r="S370" i="1" l="1" a="1"/>
  <c r="S370" i="1" s="1"/>
  <c r="R371" i="1"/>
  <c r="N375" i="1"/>
  <c r="P375" i="1" s="1" a="1"/>
  <c r="P375" i="1" s="1"/>
  <c r="M375" i="1"/>
  <c r="O375" i="1" s="1"/>
  <c r="Q373" i="1"/>
  <c r="S371" i="1" l="1" a="1"/>
  <c r="S371" i="1" s="1"/>
  <c r="R372" i="1"/>
  <c r="Q374" i="1"/>
  <c r="M376" i="1"/>
  <c r="O376" i="1" s="1"/>
  <c r="N376" i="1"/>
  <c r="P376" i="1" s="1" a="1"/>
  <c r="P376" i="1" s="1"/>
  <c r="S372" i="1" l="1" a="1"/>
  <c r="S372" i="1" s="1"/>
  <c r="R373" i="1"/>
  <c r="N377" i="1"/>
  <c r="P377" i="1" s="1" a="1"/>
  <c r="P377" i="1" s="1"/>
  <c r="M377" i="1"/>
  <c r="O377" i="1" s="1"/>
  <c r="Q375" i="1"/>
  <c r="S373" i="1" l="1" a="1"/>
  <c r="S373" i="1" s="1"/>
  <c r="R374" i="1"/>
  <c r="Q376" i="1"/>
  <c r="M378" i="1"/>
  <c r="O378" i="1" s="1"/>
  <c r="N378" i="1"/>
  <c r="P378" i="1" s="1" a="1"/>
  <c r="P378" i="1" s="1"/>
  <c r="S374" i="1" l="1" a="1"/>
  <c r="S374" i="1" s="1"/>
  <c r="R375" i="1"/>
  <c r="N379" i="1"/>
  <c r="P379" i="1" s="1" a="1"/>
  <c r="P379" i="1" s="1"/>
  <c r="Q377" i="1"/>
  <c r="M379" i="1"/>
  <c r="O379" i="1" s="1"/>
  <c r="S375" i="1" l="1" a="1"/>
  <c r="S375" i="1" s="1"/>
  <c r="R376" i="1"/>
  <c r="M380" i="1"/>
  <c r="O380" i="1" s="1"/>
  <c r="Q378" i="1"/>
  <c r="N380" i="1"/>
  <c r="P380" i="1" s="1" a="1"/>
  <c r="P380" i="1" s="1"/>
  <c r="S376" i="1" l="1" a="1"/>
  <c r="S376" i="1" s="1"/>
  <c r="R377" i="1"/>
  <c r="N381" i="1"/>
  <c r="P381" i="1" s="1" a="1"/>
  <c r="P381" i="1" s="1"/>
  <c r="Q379" i="1"/>
  <c r="M381" i="1"/>
  <c r="O381" i="1" s="1"/>
  <c r="S377" i="1" l="1" a="1"/>
  <c r="S377" i="1" s="1"/>
  <c r="R378" i="1"/>
  <c r="M382" i="1"/>
  <c r="O382" i="1" s="1"/>
  <c r="Q380" i="1"/>
  <c r="N382" i="1"/>
  <c r="P382" i="1" s="1" a="1"/>
  <c r="P382" i="1" s="1"/>
  <c r="S378" i="1" l="1" a="1"/>
  <c r="S378" i="1" s="1"/>
  <c r="R379" i="1"/>
  <c r="N383" i="1"/>
  <c r="P383" i="1" s="1" a="1"/>
  <c r="P383" i="1" s="1"/>
  <c r="M383" i="1"/>
  <c r="O383" i="1" s="1"/>
  <c r="Q381" i="1"/>
  <c r="S379" i="1" l="1" a="1"/>
  <c r="S379" i="1" s="1"/>
  <c r="R380" i="1"/>
  <c r="Q382" i="1"/>
  <c r="M384" i="1"/>
  <c r="O384" i="1" s="1"/>
  <c r="N384" i="1"/>
  <c r="P384" i="1" s="1" a="1"/>
  <c r="P384" i="1" s="1"/>
  <c r="S380" i="1" l="1" a="1"/>
  <c r="S380" i="1" s="1"/>
  <c r="R381" i="1"/>
  <c r="M385" i="1"/>
  <c r="O385" i="1" s="1"/>
  <c r="N385" i="1"/>
  <c r="P385" i="1" s="1" a="1"/>
  <c r="P385" i="1" s="1"/>
  <c r="Q383" i="1"/>
  <c r="S381" i="1" l="1" a="1"/>
  <c r="S381" i="1" s="1"/>
  <c r="R382" i="1"/>
  <c r="N386" i="1"/>
  <c r="P386" i="1" s="1" a="1"/>
  <c r="P386" i="1" s="1"/>
  <c r="Q384" i="1"/>
  <c r="M386" i="1"/>
  <c r="O386" i="1" s="1"/>
  <c r="S382" i="1" l="1" a="1"/>
  <c r="S382" i="1" s="1"/>
  <c r="R383" i="1"/>
  <c r="Q385" i="1"/>
  <c r="M387" i="1"/>
  <c r="O387" i="1" s="1"/>
  <c r="N387" i="1"/>
  <c r="P387" i="1" s="1" a="1"/>
  <c r="P387" i="1" s="1"/>
  <c r="S383" i="1" l="1" a="1"/>
  <c r="S383" i="1" s="1"/>
  <c r="R384" i="1"/>
  <c r="N388" i="1"/>
  <c r="P388" i="1" s="1" a="1"/>
  <c r="P388" i="1" s="1"/>
  <c r="M388" i="1"/>
  <c r="O388" i="1" s="1"/>
  <c r="Q386" i="1"/>
  <c r="S384" i="1" l="1" a="1"/>
  <c r="S384" i="1" s="1"/>
  <c r="R385" i="1"/>
  <c r="Q387" i="1"/>
  <c r="M389" i="1"/>
  <c r="O389" i="1" s="1"/>
  <c r="N389" i="1"/>
  <c r="P389" i="1" s="1" a="1"/>
  <c r="P389" i="1" s="1"/>
  <c r="S385" i="1" l="1" a="1"/>
  <c r="S385" i="1" s="1"/>
  <c r="R386" i="1"/>
  <c r="N390" i="1"/>
  <c r="P390" i="1" s="1" a="1"/>
  <c r="P390" i="1" s="1"/>
  <c r="M390" i="1"/>
  <c r="O390" i="1" s="1"/>
  <c r="Q388" i="1"/>
  <c r="S386" i="1" l="1" a="1"/>
  <c r="S386" i="1" s="1"/>
  <c r="R387" i="1"/>
  <c r="M391" i="1"/>
  <c r="O391" i="1" s="1"/>
  <c r="Q389" i="1"/>
  <c r="N391" i="1"/>
  <c r="P391" i="1" s="1" a="1"/>
  <c r="P391" i="1" s="1"/>
  <c r="S387" i="1" l="1" a="1"/>
  <c r="S387" i="1" s="1"/>
  <c r="R388" i="1"/>
  <c r="N392" i="1"/>
  <c r="P392" i="1" s="1" a="1"/>
  <c r="P392" i="1" s="1"/>
  <c r="Q390" i="1"/>
  <c r="M392" i="1"/>
  <c r="O392" i="1" s="1"/>
  <c r="S388" i="1" l="1" a="1"/>
  <c r="S388" i="1" s="1"/>
  <c r="R389" i="1"/>
  <c r="Q391" i="1"/>
  <c r="M393" i="1"/>
  <c r="O393" i="1" s="1"/>
  <c r="N393" i="1"/>
  <c r="P393" i="1" s="1" a="1"/>
  <c r="P393" i="1" s="1"/>
  <c r="S389" i="1" l="1" a="1"/>
  <c r="S389" i="1" s="1"/>
  <c r="R390" i="1"/>
  <c r="N394" i="1"/>
  <c r="P394" i="1" s="1" a="1"/>
  <c r="P394" i="1" s="1"/>
  <c r="Q392" i="1"/>
  <c r="M394" i="1"/>
  <c r="O394" i="1" s="1"/>
  <c r="S390" i="1" l="1" a="1"/>
  <c r="S390" i="1" s="1"/>
  <c r="R391" i="1"/>
  <c r="Q393" i="1"/>
  <c r="M395" i="1"/>
  <c r="O395" i="1" s="1"/>
  <c r="N395" i="1"/>
  <c r="P395" i="1" s="1" a="1"/>
  <c r="P395" i="1" s="1"/>
  <c r="S391" i="1" l="1" a="1"/>
  <c r="S391" i="1" s="1"/>
  <c r="R392" i="1"/>
  <c r="N396" i="1"/>
  <c r="P396" i="1" s="1" a="1"/>
  <c r="P396" i="1" s="1"/>
  <c r="M396" i="1"/>
  <c r="O396" i="1" s="1"/>
  <c r="Q394" i="1"/>
  <c r="S392" i="1" l="1" a="1"/>
  <c r="S392" i="1" s="1"/>
  <c r="R393" i="1"/>
  <c r="Q395" i="1"/>
  <c r="M397" i="1"/>
  <c r="O397" i="1" s="1"/>
  <c r="N397" i="1"/>
  <c r="P397" i="1" s="1" a="1"/>
  <c r="P397" i="1" s="1"/>
  <c r="S393" i="1" l="1" a="1"/>
  <c r="S393" i="1" s="1"/>
  <c r="R394" i="1"/>
  <c r="N398" i="1"/>
  <c r="P398" i="1" s="1" a="1"/>
  <c r="P398" i="1" s="1"/>
  <c r="M398" i="1"/>
  <c r="O398" i="1" s="1"/>
  <c r="Q396" i="1"/>
  <c r="S394" i="1" l="1" a="1"/>
  <c r="S394" i="1" s="1"/>
  <c r="R395" i="1"/>
  <c r="M399" i="1"/>
  <c r="O399" i="1" s="1"/>
  <c r="Q397" i="1"/>
  <c r="N399" i="1"/>
  <c r="P399" i="1" s="1" a="1"/>
  <c r="P399" i="1" s="1"/>
  <c r="S395" i="1" l="1" a="1"/>
  <c r="S395" i="1" s="1"/>
  <c r="R396" i="1"/>
  <c r="N400" i="1"/>
  <c r="P400" i="1" s="1" a="1"/>
  <c r="P400" i="1" s="1"/>
  <c r="Q398" i="1"/>
  <c r="M400" i="1"/>
  <c r="O400" i="1" s="1"/>
  <c r="S396" i="1" l="1" a="1"/>
  <c r="S396" i="1" s="1"/>
  <c r="R397" i="1"/>
  <c r="M401" i="1"/>
  <c r="O401" i="1" s="1"/>
  <c r="Q399" i="1"/>
  <c r="N401" i="1"/>
  <c r="P401" i="1" s="1" a="1"/>
  <c r="P401" i="1" s="1"/>
  <c r="S397" i="1" l="1" a="1"/>
  <c r="S397" i="1" s="1"/>
  <c r="R398" i="1"/>
  <c r="Q400" i="1"/>
  <c r="N402" i="1"/>
  <c r="P402" i="1" s="1" a="1"/>
  <c r="P402" i="1" s="1"/>
  <c r="M402" i="1"/>
  <c r="O402" i="1" s="1"/>
  <c r="S398" i="1" l="1" a="1"/>
  <c r="S398" i="1" s="1"/>
  <c r="R399" i="1"/>
  <c r="Q401" i="1"/>
  <c r="M403" i="1"/>
  <c r="O403" i="1" s="1"/>
  <c r="N403" i="1"/>
  <c r="P403" i="1" s="1" a="1"/>
  <c r="P403" i="1" s="1"/>
  <c r="S399" i="1" l="1" a="1"/>
  <c r="S399" i="1" s="1"/>
  <c r="R400" i="1"/>
  <c r="M404" i="1"/>
  <c r="O404" i="1" s="1"/>
  <c r="N404" i="1"/>
  <c r="P404" i="1" s="1" a="1"/>
  <c r="P404" i="1" s="1"/>
  <c r="Q402" i="1"/>
  <c r="S400" i="1" l="1" a="1"/>
  <c r="S400" i="1" s="1"/>
  <c r="R401" i="1"/>
  <c r="N405" i="1"/>
  <c r="P405" i="1" s="1" a="1"/>
  <c r="P405" i="1" s="1"/>
  <c r="Q403" i="1"/>
  <c r="M405" i="1"/>
  <c r="O405" i="1" s="1"/>
  <c r="S401" i="1" l="1" a="1"/>
  <c r="S401" i="1" s="1"/>
  <c r="R402" i="1"/>
  <c r="M406" i="1"/>
  <c r="O406" i="1" s="1"/>
  <c r="Q404" i="1"/>
  <c r="N406" i="1"/>
  <c r="P406" i="1" s="1" a="1"/>
  <c r="P406" i="1" s="1"/>
  <c r="S402" i="1" l="1" a="1"/>
  <c r="S402" i="1" s="1"/>
  <c r="R403" i="1"/>
  <c r="N407" i="1"/>
  <c r="P407" i="1" s="1" a="1"/>
  <c r="P407" i="1" s="1"/>
  <c r="M407" i="1"/>
  <c r="O407" i="1" s="1"/>
  <c r="Q405" i="1"/>
  <c r="S403" i="1" l="1" a="1"/>
  <c r="S403" i="1" s="1"/>
  <c r="R404" i="1"/>
  <c r="Q406" i="1"/>
  <c r="M408" i="1"/>
  <c r="O408" i="1" s="1"/>
  <c r="N408" i="1"/>
  <c r="P408" i="1" s="1" a="1"/>
  <c r="P408" i="1" s="1"/>
  <c r="S404" i="1" l="1" a="1"/>
  <c r="S404" i="1" s="1"/>
  <c r="R405" i="1"/>
  <c r="N409" i="1"/>
  <c r="P409" i="1" s="1" a="1"/>
  <c r="P409" i="1" s="1"/>
  <c r="Q407" i="1"/>
  <c r="M409" i="1"/>
  <c r="O409" i="1" s="1"/>
  <c r="S405" i="1" l="1" a="1"/>
  <c r="S405" i="1" s="1"/>
  <c r="R406" i="1"/>
  <c r="Q408" i="1"/>
  <c r="M410" i="1"/>
  <c r="O410" i="1" s="1"/>
  <c r="N410" i="1"/>
  <c r="P410" i="1" s="1" a="1"/>
  <c r="P410" i="1" s="1"/>
  <c r="S406" i="1" l="1" a="1"/>
  <c r="S406" i="1" s="1"/>
  <c r="R407" i="1"/>
  <c r="N411" i="1"/>
  <c r="P411" i="1" s="1" a="1"/>
  <c r="P411" i="1" s="1"/>
  <c r="Q409" i="1"/>
  <c r="M411" i="1"/>
  <c r="O411" i="1" s="1"/>
  <c r="S407" i="1" l="1" a="1"/>
  <c r="S407" i="1" s="1"/>
  <c r="R408" i="1"/>
  <c r="M412" i="1"/>
  <c r="O412" i="1" s="1"/>
  <c r="Q410" i="1"/>
  <c r="N412" i="1"/>
  <c r="P412" i="1" s="1" a="1"/>
  <c r="P412" i="1" s="1"/>
  <c r="S408" i="1" l="1" a="1"/>
  <c r="S408" i="1" s="1"/>
  <c r="R409" i="1"/>
  <c r="N413" i="1"/>
  <c r="P413" i="1" s="1" a="1"/>
  <c r="P413" i="1" s="1"/>
  <c r="Q411" i="1"/>
  <c r="M413" i="1"/>
  <c r="O413" i="1" s="1"/>
  <c r="S409" i="1" l="1" a="1"/>
  <c r="S409" i="1" s="1"/>
  <c r="R410" i="1"/>
  <c r="M414" i="1"/>
  <c r="O414" i="1" s="1"/>
  <c r="Q412" i="1"/>
  <c r="N414" i="1"/>
  <c r="P414" i="1" s="1" a="1"/>
  <c r="P414" i="1" s="1"/>
  <c r="S410" i="1" l="1" a="1"/>
  <c r="S410" i="1" s="1"/>
  <c r="R411" i="1"/>
  <c r="M415" i="1"/>
  <c r="O415" i="1" s="1"/>
  <c r="N415" i="1"/>
  <c r="P415" i="1" s="1" a="1"/>
  <c r="P415" i="1" s="1"/>
  <c r="Q413" i="1"/>
  <c r="S411" i="1" l="1" a="1"/>
  <c r="S411" i="1" s="1"/>
  <c r="R412" i="1"/>
  <c r="N416" i="1"/>
  <c r="P416" i="1" s="1" a="1"/>
  <c r="P416" i="1" s="1"/>
  <c r="Q414" i="1"/>
  <c r="M416" i="1"/>
  <c r="O416" i="1" s="1"/>
  <c r="S412" i="1" l="1" a="1"/>
  <c r="S412" i="1" s="1"/>
  <c r="R413" i="1"/>
  <c r="M417" i="1"/>
  <c r="O417" i="1" s="1"/>
  <c r="Q415" i="1"/>
  <c r="N417" i="1"/>
  <c r="P417" i="1" s="1" a="1"/>
  <c r="P417" i="1" s="1"/>
  <c r="S413" i="1" l="1" a="1"/>
  <c r="S413" i="1" s="1"/>
  <c r="R414" i="1"/>
  <c r="N418" i="1"/>
  <c r="P418" i="1" s="1" a="1"/>
  <c r="P418" i="1" s="1"/>
  <c r="Q416" i="1"/>
  <c r="M418" i="1"/>
  <c r="O418" i="1" s="1"/>
  <c r="S414" i="1" l="1" a="1"/>
  <c r="S414" i="1" s="1"/>
  <c r="R415" i="1"/>
  <c r="Q417" i="1"/>
  <c r="M419" i="1"/>
  <c r="O419" i="1" s="1"/>
  <c r="N419" i="1"/>
  <c r="P419" i="1" s="1" a="1"/>
  <c r="P419" i="1" s="1"/>
  <c r="S415" i="1" l="1" a="1"/>
  <c r="S415" i="1" s="1"/>
  <c r="R416" i="1"/>
  <c r="N420" i="1"/>
  <c r="P420" i="1" s="1" a="1"/>
  <c r="P420" i="1" s="1"/>
  <c r="M420" i="1"/>
  <c r="O420" i="1" s="1"/>
  <c r="Q418" i="1"/>
  <c r="S416" i="1" l="1" a="1"/>
  <c r="S416" i="1" s="1"/>
  <c r="R417" i="1"/>
  <c r="Q419" i="1"/>
  <c r="M421" i="1"/>
  <c r="O421" i="1" s="1"/>
  <c r="N421" i="1"/>
  <c r="P421" i="1" s="1" a="1"/>
  <c r="P421" i="1" s="1"/>
  <c r="S417" i="1" l="1" a="1"/>
  <c r="S417" i="1" s="1"/>
  <c r="R418" i="1"/>
  <c r="N422" i="1"/>
  <c r="P422" i="1" s="1" a="1"/>
  <c r="P422" i="1" s="1"/>
  <c r="M422" i="1"/>
  <c r="O422" i="1" s="1"/>
  <c r="Q420" i="1"/>
  <c r="S418" i="1" l="1" a="1"/>
  <c r="S418" i="1" s="1"/>
  <c r="R419" i="1"/>
  <c r="M423" i="1"/>
  <c r="O423" i="1" s="1"/>
  <c r="Q421" i="1"/>
  <c r="N423" i="1"/>
  <c r="P423" i="1" s="1" a="1"/>
  <c r="P423" i="1" s="1"/>
  <c r="S419" i="1" l="1" a="1"/>
  <c r="S419" i="1" s="1"/>
  <c r="R420" i="1"/>
  <c r="N424" i="1"/>
  <c r="P424" i="1" s="1" a="1"/>
  <c r="P424" i="1" s="1"/>
  <c r="M424" i="1"/>
  <c r="O424" i="1" s="1"/>
  <c r="Q422" i="1"/>
  <c r="S420" i="1" l="1" a="1"/>
  <c r="S420" i="1" s="1"/>
  <c r="R421" i="1"/>
  <c r="M425" i="1"/>
  <c r="O425" i="1" s="1"/>
  <c r="Q423" i="1"/>
  <c r="N425" i="1"/>
  <c r="P425" i="1" s="1" a="1"/>
  <c r="P425" i="1" s="1"/>
  <c r="S421" i="1" l="1" a="1"/>
  <c r="S421" i="1" s="1"/>
  <c r="R422" i="1"/>
  <c r="N426" i="1"/>
  <c r="P426" i="1" s="1" a="1"/>
  <c r="P426" i="1" s="1"/>
  <c r="Q424" i="1"/>
  <c r="M426" i="1"/>
  <c r="O426" i="1" s="1"/>
  <c r="S422" i="1" l="1" a="1"/>
  <c r="S422" i="1" s="1"/>
  <c r="R423" i="1"/>
  <c r="Q425" i="1"/>
  <c r="M427" i="1"/>
  <c r="O427" i="1" s="1"/>
  <c r="N427" i="1"/>
  <c r="P427" i="1" s="1" a="1"/>
  <c r="P427" i="1" s="1"/>
  <c r="S423" i="1" l="1" a="1"/>
  <c r="S423" i="1" s="1"/>
  <c r="R424" i="1"/>
  <c r="N428" i="1"/>
  <c r="P428" i="1" s="1" a="1"/>
  <c r="P428" i="1" s="1"/>
  <c r="M428" i="1"/>
  <c r="O428" i="1" s="1"/>
  <c r="Q426" i="1"/>
  <c r="S424" i="1" l="1" a="1"/>
  <c r="S424" i="1" s="1"/>
  <c r="R425" i="1"/>
  <c r="Q427" i="1"/>
  <c r="M429" i="1"/>
  <c r="O429" i="1" s="1"/>
  <c r="N429" i="1"/>
  <c r="P429" i="1" s="1" a="1"/>
  <c r="P429" i="1" s="1"/>
  <c r="S425" i="1" l="1" a="1"/>
  <c r="S425" i="1" s="1"/>
  <c r="R426" i="1"/>
  <c r="N430" i="1"/>
  <c r="P430" i="1" s="1" a="1"/>
  <c r="P430" i="1" s="1"/>
  <c r="M430" i="1"/>
  <c r="O430" i="1" s="1"/>
  <c r="Q428" i="1"/>
  <c r="S426" i="1" l="1" a="1"/>
  <c r="S426" i="1" s="1"/>
  <c r="R427" i="1"/>
  <c r="Q429" i="1"/>
  <c r="M431" i="1"/>
  <c r="O431" i="1" s="1"/>
  <c r="N431" i="1"/>
  <c r="P431" i="1" s="1" a="1"/>
  <c r="P431" i="1" s="1"/>
  <c r="S427" i="1" l="1" a="1"/>
  <c r="S427" i="1" s="1"/>
  <c r="R428" i="1"/>
  <c r="N432" i="1"/>
  <c r="P432" i="1" s="1" a="1"/>
  <c r="P432" i="1" s="1"/>
  <c r="Q430" i="1"/>
  <c r="M432" i="1"/>
  <c r="O432" i="1" s="1"/>
  <c r="S428" i="1" l="1" a="1"/>
  <c r="S428" i="1" s="1"/>
  <c r="R429" i="1"/>
  <c r="Q431" i="1"/>
  <c r="M433" i="1"/>
  <c r="O433" i="1" s="1"/>
  <c r="N433" i="1"/>
  <c r="P433" i="1" s="1" a="1"/>
  <c r="P433" i="1" s="1"/>
  <c r="S429" i="1" l="1" a="1"/>
  <c r="S429" i="1" s="1"/>
  <c r="R430" i="1"/>
  <c r="N434" i="1"/>
  <c r="P434" i="1" s="1" a="1"/>
  <c r="P434" i="1" s="1"/>
  <c r="Q432" i="1"/>
  <c r="M434" i="1"/>
  <c r="O434" i="1" s="1"/>
  <c r="S430" i="1" l="1" a="1"/>
  <c r="S430" i="1" s="1"/>
  <c r="R431" i="1"/>
  <c r="Q433" i="1"/>
  <c r="M435" i="1"/>
  <c r="O435" i="1" s="1"/>
  <c r="N435" i="1"/>
  <c r="P435" i="1" s="1" a="1"/>
  <c r="P435" i="1" s="1"/>
  <c r="S431" i="1" l="1" a="1"/>
  <c r="S431" i="1" s="1"/>
  <c r="R432" i="1"/>
  <c r="N436" i="1"/>
  <c r="P436" i="1" s="1" a="1"/>
  <c r="P436" i="1" s="1"/>
  <c r="Q434" i="1"/>
  <c r="M436" i="1"/>
  <c r="O436" i="1" s="1"/>
  <c r="S432" i="1" l="1" a="1"/>
  <c r="S432" i="1" s="1"/>
  <c r="R433" i="1"/>
  <c r="Q435" i="1"/>
  <c r="M437" i="1"/>
  <c r="O437" i="1" s="1"/>
  <c r="N437" i="1"/>
  <c r="P437" i="1" s="1" a="1"/>
  <c r="P437" i="1" s="1"/>
  <c r="S433" i="1" l="1" a="1"/>
  <c r="S433" i="1" s="1"/>
  <c r="R434" i="1"/>
  <c r="Q437" i="1"/>
  <c r="N438" i="1"/>
  <c r="P438" i="1" s="1" a="1"/>
  <c r="P438" i="1" s="1"/>
  <c r="Q436" i="1"/>
  <c r="M438" i="1"/>
  <c r="O438" i="1" s="1"/>
  <c r="S434" i="1" l="1" a="1"/>
  <c r="S434" i="1" s="1"/>
  <c r="R435" i="1"/>
  <c r="N439" i="1"/>
  <c r="P439" i="1" s="1" a="1"/>
  <c r="P439" i="1" s="1"/>
  <c r="M439" i="1"/>
  <c r="O439" i="1" s="1"/>
  <c r="S435" i="1" l="1" a="1"/>
  <c r="S435" i="1" s="1"/>
  <c r="R436" i="1"/>
  <c r="Q438" i="1"/>
  <c r="M440" i="1"/>
  <c r="O440" i="1" s="1"/>
  <c r="N440" i="1"/>
  <c r="P440" i="1" s="1" a="1"/>
  <c r="P440" i="1" s="1"/>
  <c r="S436" i="1" l="1" a="1"/>
  <c r="S436" i="1" s="1"/>
  <c r="R437" i="1"/>
  <c r="M441" i="1"/>
  <c r="O441" i="1" s="1"/>
  <c r="N441" i="1"/>
  <c r="P441" i="1" s="1" a="1"/>
  <c r="P441" i="1" s="1"/>
  <c r="Q439" i="1"/>
  <c r="S437" i="1" l="1" a="1"/>
  <c r="S437" i="1" s="1"/>
  <c r="R438" i="1"/>
  <c r="N442" i="1"/>
  <c r="P442" i="1" s="1" a="1"/>
  <c r="P442" i="1" s="1"/>
  <c r="Q440" i="1"/>
  <c r="M442" i="1"/>
  <c r="O442" i="1" s="1"/>
  <c r="S438" i="1" l="1" a="1"/>
  <c r="S438" i="1" s="1"/>
  <c r="R439" i="1"/>
  <c r="Q441" i="1"/>
  <c r="M443" i="1"/>
  <c r="O443" i="1" s="1"/>
  <c r="N443" i="1"/>
  <c r="P443" i="1" s="1" a="1"/>
  <c r="P443" i="1" s="1"/>
  <c r="S439" i="1" l="1" a="1"/>
  <c r="S439" i="1" s="1"/>
  <c r="R440" i="1"/>
  <c r="N444" i="1"/>
  <c r="P444" i="1" s="1" a="1"/>
  <c r="P444" i="1" s="1"/>
  <c r="M444" i="1"/>
  <c r="O444" i="1" s="1"/>
  <c r="Q442" i="1"/>
  <c r="S440" i="1" l="1" a="1"/>
  <c r="S440" i="1" s="1"/>
  <c r="R441" i="1"/>
  <c r="N445" i="1"/>
  <c r="P445" i="1" s="1" a="1"/>
  <c r="P445" i="1" s="1"/>
  <c r="Q443" i="1"/>
  <c r="M445" i="1"/>
  <c r="O445" i="1" s="1"/>
  <c r="S441" i="1" l="1" a="1"/>
  <c r="S441" i="1" s="1"/>
  <c r="R442" i="1"/>
  <c r="Q444" i="1"/>
  <c r="M446" i="1"/>
  <c r="O446" i="1" s="1"/>
  <c r="N446" i="1"/>
  <c r="P446" i="1" s="1" a="1"/>
  <c r="P446" i="1" s="1"/>
  <c r="S442" i="1" l="1" a="1"/>
  <c r="S442" i="1" s="1"/>
  <c r="R443" i="1"/>
  <c r="N447" i="1"/>
  <c r="P447" i="1" s="1" a="1"/>
  <c r="P447" i="1" s="1"/>
  <c r="M447" i="1"/>
  <c r="O447" i="1" s="1"/>
  <c r="Q445" i="1"/>
  <c r="S443" i="1" l="1" a="1"/>
  <c r="S443" i="1" s="1"/>
  <c r="R444" i="1"/>
  <c r="Q446" i="1"/>
  <c r="M448" i="1"/>
  <c r="O448" i="1" s="1"/>
  <c r="N448" i="1"/>
  <c r="P448" i="1" s="1" a="1"/>
  <c r="P448" i="1" s="1"/>
  <c r="S444" i="1" l="1" a="1"/>
  <c r="S444" i="1" s="1"/>
  <c r="R445" i="1"/>
  <c r="N449" i="1"/>
  <c r="P449" i="1" s="1" a="1"/>
  <c r="P449" i="1" s="1"/>
  <c r="M449" i="1"/>
  <c r="O449" i="1" s="1"/>
  <c r="Q447" i="1"/>
  <c r="S445" i="1" l="1" a="1"/>
  <c r="S445" i="1" s="1"/>
  <c r="R446" i="1"/>
  <c r="Q448" i="1"/>
  <c r="M450" i="1"/>
  <c r="O450" i="1" s="1"/>
  <c r="N450" i="1"/>
  <c r="P450" i="1" s="1" a="1"/>
  <c r="P450" i="1" s="1"/>
  <c r="S446" i="1" l="1" a="1"/>
  <c r="S446" i="1" s="1"/>
  <c r="R447" i="1"/>
  <c r="Q449" i="1"/>
  <c r="N451" i="1"/>
  <c r="P451" i="1" s="1" a="1"/>
  <c r="P451" i="1" s="1"/>
  <c r="M451" i="1"/>
  <c r="O451" i="1" s="1"/>
  <c r="S447" i="1" l="1" a="1"/>
  <c r="S447" i="1" s="1"/>
  <c r="R448" i="1"/>
  <c r="M452" i="1"/>
  <c r="O452" i="1" s="1"/>
  <c r="Q450" i="1"/>
  <c r="N452" i="1"/>
  <c r="P452" i="1" s="1" a="1"/>
  <c r="P452" i="1" s="1"/>
  <c r="S448" i="1" l="1" a="1"/>
  <c r="S448" i="1" s="1"/>
  <c r="R449" i="1"/>
  <c r="N453" i="1"/>
  <c r="P453" i="1" s="1" a="1"/>
  <c r="P453" i="1" s="1"/>
  <c r="Q451" i="1"/>
  <c r="M453" i="1"/>
  <c r="O453" i="1" s="1"/>
  <c r="S449" i="1" l="1" a="1"/>
  <c r="S449" i="1" s="1"/>
  <c r="R450" i="1"/>
  <c r="M454" i="1"/>
  <c r="O454" i="1" s="1"/>
  <c r="Q452" i="1"/>
  <c r="N454" i="1"/>
  <c r="P454" i="1" s="1" a="1"/>
  <c r="P454" i="1" s="1"/>
  <c r="S450" i="1" l="1" a="1"/>
  <c r="S450" i="1" s="1"/>
  <c r="R451" i="1"/>
  <c r="N455" i="1"/>
  <c r="P455" i="1" s="1" a="1"/>
  <c r="P455" i="1" s="1"/>
  <c r="M455" i="1"/>
  <c r="O455" i="1" s="1"/>
  <c r="Q453" i="1"/>
  <c r="S451" i="1" l="1" a="1"/>
  <c r="S451" i="1" s="1"/>
  <c r="R452" i="1"/>
  <c r="Q454" i="1"/>
  <c r="M456" i="1"/>
  <c r="O456" i="1" s="1"/>
  <c r="N456" i="1"/>
  <c r="P456" i="1" s="1" a="1"/>
  <c r="P456" i="1" s="1"/>
  <c r="S452" i="1" l="1" a="1"/>
  <c r="S452" i="1" s="1"/>
  <c r="R453" i="1"/>
  <c r="N457" i="1"/>
  <c r="P457" i="1" s="1" a="1"/>
  <c r="P457" i="1" s="1"/>
  <c r="M457" i="1"/>
  <c r="O457" i="1" s="1"/>
  <c r="Q455" i="1"/>
  <c r="S453" i="1" l="1" a="1"/>
  <c r="S453" i="1" s="1"/>
  <c r="R454" i="1"/>
  <c r="Q456" i="1"/>
  <c r="M458" i="1"/>
  <c r="O458" i="1" s="1"/>
  <c r="N458" i="1"/>
  <c r="P458" i="1" s="1" a="1"/>
  <c r="P458" i="1" s="1"/>
  <c r="S454" i="1" l="1" a="1"/>
  <c r="S454" i="1" s="1"/>
  <c r="R455" i="1"/>
  <c r="N459" i="1"/>
  <c r="P459" i="1" s="1" a="1"/>
  <c r="P459" i="1" s="1"/>
  <c r="Q457" i="1"/>
  <c r="M459" i="1"/>
  <c r="O459" i="1" s="1"/>
  <c r="S455" i="1" l="1" a="1"/>
  <c r="S455" i="1" s="1"/>
  <c r="R456" i="1"/>
  <c r="M460" i="1"/>
  <c r="O460" i="1" s="1"/>
  <c r="Q458" i="1"/>
  <c r="N460" i="1"/>
  <c r="P460" i="1" s="1" a="1"/>
  <c r="P460" i="1" s="1"/>
  <c r="S456" i="1" l="1" a="1"/>
  <c r="S456" i="1" s="1"/>
  <c r="R457" i="1"/>
  <c r="N461" i="1"/>
  <c r="P461" i="1" s="1" a="1"/>
  <c r="P461" i="1" s="1"/>
  <c r="Q459" i="1"/>
  <c r="M461" i="1"/>
  <c r="O461" i="1" s="1"/>
  <c r="S457" i="1" l="1" a="1"/>
  <c r="S457" i="1" s="1"/>
  <c r="R458" i="1"/>
  <c r="M462" i="1"/>
  <c r="O462" i="1" s="1"/>
  <c r="Q460" i="1"/>
  <c r="N462" i="1"/>
  <c r="P462" i="1" s="1" a="1"/>
  <c r="P462" i="1" s="1"/>
  <c r="S458" i="1" l="1" a="1"/>
  <c r="S458" i="1" s="1"/>
  <c r="R459" i="1"/>
  <c r="N463" i="1"/>
  <c r="P463" i="1" s="1" a="1"/>
  <c r="P463" i="1" s="1"/>
  <c r="M463" i="1"/>
  <c r="O463" i="1" s="1"/>
  <c r="Q461" i="1"/>
  <c r="S459" i="1" l="1" a="1"/>
  <c r="S459" i="1" s="1"/>
  <c r="R460" i="1"/>
  <c r="Q462" i="1"/>
  <c r="M464" i="1"/>
  <c r="O464" i="1" s="1"/>
  <c r="N464" i="1"/>
  <c r="P464" i="1" s="1" a="1"/>
  <c r="P464" i="1" s="1"/>
  <c r="S460" i="1" l="1" a="1"/>
  <c r="S460" i="1" s="1"/>
  <c r="R461" i="1"/>
  <c r="N465" i="1"/>
  <c r="P465" i="1" s="1" a="1"/>
  <c r="P465" i="1" s="1"/>
  <c r="M465" i="1"/>
  <c r="O465" i="1" s="1"/>
  <c r="Q463" i="1"/>
  <c r="S461" i="1" l="1" a="1"/>
  <c r="S461" i="1" s="1"/>
  <c r="R462" i="1"/>
  <c r="Q464" i="1"/>
  <c r="M466" i="1"/>
  <c r="O466" i="1" s="1"/>
  <c r="N466" i="1"/>
  <c r="P466" i="1" s="1" a="1"/>
  <c r="P466" i="1" s="1"/>
  <c r="S462" i="1" l="1" a="1"/>
  <c r="S462" i="1" s="1"/>
  <c r="R463" i="1"/>
  <c r="N467" i="1"/>
  <c r="P467" i="1" s="1" a="1"/>
  <c r="P467" i="1" s="1"/>
  <c r="Q465" i="1"/>
  <c r="M467" i="1"/>
  <c r="O467" i="1" s="1"/>
  <c r="S463" i="1" l="1" a="1"/>
  <c r="S463" i="1" s="1"/>
  <c r="R464" i="1"/>
  <c r="M468" i="1"/>
  <c r="O468" i="1" s="1"/>
  <c r="Q466" i="1"/>
  <c r="N468" i="1"/>
  <c r="P468" i="1" s="1" a="1"/>
  <c r="P468" i="1" s="1"/>
  <c r="S464" i="1" l="1" a="1"/>
  <c r="S464" i="1" s="1"/>
  <c r="R465" i="1"/>
  <c r="N469" i="1"/>
  <c r="P469" i="1" s="1" a="1"/>
  <c r="P469" i="1" s="1"/>
  <c r="Q467" i="1"/>
  <c r="M469" i="1"/>
  <c r="O469" i="1" s="1"/>
  <c r="S465" i="1" l="1" a="1"/>
  <c r="S465" i="1" s="1"/>
  <c r="R466" i="1"/>
  <c r="M470" i="1"/>
  <c r="O470" i="1" s="1"/>
  <c r="Q468" i="1"/>
  <c r="N470" i="1"/>
  <c r="P470" i="1" s="1" a="1"/>
  <c r="P470" i="1" s="1"/>
  <c r="S466" i="1" l="1" a="1"/>
  <c r="S466" i="1" s="1"/>
  <c r="R467" i="1"/>
  <c r="N471" i="1"/>
  <c r="P471" i="1" s="1" a="1"/>
  <c r="P471" i="1" s="1"/>
  <c r="M471" i="1"/>
  <c r="O471" i="1" s="1"/>
  <c r="Q469" i="1"/>
  <c r="S467" i="1" l="1" a="1"/>
  <c r="S467" i="1" s="1"/>
  <c r="R468" i="1"/>
  <c r="Q470" i="1"/>
  <c r="M472" i="1"/>
  <c r="O472" i="1" s="1"/>
  <c r="N472" i="1"/>
  <c r="P472" i="1" s="1" a="1"/>
  <c r="P472" i="1" s="1"/>
  <c r="S468" i="1" l="1" a="1"/>
  <c r="S468" i="1" s="1"/>
  <c r="R469" i="1"/>
  <c r="N473" i="1"/>
  <c r="P473" i="1" s="1" a="1"/>
  <c r="P473" i="1" s="1"/>
  <c r="M473" i="1"/>
  <c r="O473" i="1" s="1"/>
  <c r="Q471" i="1"/>
  <c r="S469" i="1" l="1" a="1"/>
  <c r="S469" i="1" s="1"/>
  <c r="R470" i="1"/>
  <c r="Q472" i="1"/>
  <c r="M474" i="1"/>
  <c r="O474" i="1" s="1"/>
  <c r="N474" i="1"/>
  <c r="P474" i="1" s="1" a="1"/>
  <c r="P474" i="1" s="1"/>
  <c r="S470" i="1" l="1" a="1"/>
  <c r="S470" i="1" s="1"/>
  <c r="R471" i="1"/>
  <c r="N475" i="1"/>
  <c r="P475" i="1" s="1" a="1"/>
  <c r="P475" i="1" s="1"/>
  <c r="Q473" i="1"/>
  <c r="M475" i="1"/>
  <c r="O475" i="1" s="1"/>
  <c r="S471" i="1" l="1" a="1"/>
  <c r="S471" i="1" s="1"/>
  <c r="R472" i="1"/>
  <c r="M476" i="1"/>
  <c r="O476" i="1" s="1"/>
  <c r="Q474" i="1"/>
  <c r="N476" i="1"/>
  <c r="P476" i="1" s="1" a="1"/>
  <c r="P476" i="1" s="1"/>
  <c r="S472" i="1" l="1" a="1"/>
  <c r="S472" i="1" s="1"/>
  <c r="R473" i="1"/>
  <c r="N477" i="1"/>
  <c r="P477" i="1" s="1" a="1"/>
  <c r="P477" i="1" s="1"/>
  <c r="Q475" i="1"/>
  <c r="M477" i="1"/>
  <c r="O477" i="1" s="1"/>
  <c r="S473" i="1" l="1" a="1"/>
  <c r="S473" i="1" s="1"/>
  <c r="R474" i="1"/>
  <c r="M478" i="1"/>
  <c r="O478" i="1" s="1"/>
  <c r="Q476" i="1"/>
  <c r="N478" i="1"/>
  <c r="P478" i="1" s="1" a="1"/>
  <c r="P478" i="1" s="1"/>
  <c r="S474" i="1" l="1" a="1"/>
  <c r="S474" i="1" s="1"/>
  <c r="R475" i="1"/>
  <c r="N479" i="1"/>
  <c r="P479" i="1" s="1" a="1"/>
  <c r="P479" i="1" s="1"/>
  <c r="M479" i="1"/>
  <c r="O479" i="1" s="1"/>
  <c r="Q477" i="1"/>
  <c r="S475" i="1" l="1" a="1"/>
  <c r="S475" i="1" s="1"/>
  <c r="R476" i="1"/>
  <c r="Q478" i="1"/>
  <c r="M480" i="1"/>
  <c r="O480" i="1" s="1"/>
  <c r="N480" i="1"/>
  <c r="P480" i="1" s="1" a="1"/>
  <c r="P480" i="1" s="1"/>
  <c r="S476" i="1" l="1" a="1"/>
  <c r="S476" i="1" s="1"/>
  <c r="R477" i="1"/>
  <c r="M481" i="1"/>
  <c r="O481" i="1" s="1"/>
  <c r="N481" i="1"/>
  <c r="P481" i="1" s="1" a="1"/>
  <c r="P481" i="1" s="1"/>
  <c r="Q479" i="1"/>
  <c r="S477" i="1" l="1" a="1"/>
  <c r="S477" i="1" s="1"/>
  <c r="R478" i="1"/>
  <c r="N482" i="1"/>
  <c r="P482" i="1" s="1" a="1"/>
  <c r="P482" i="1" s="1"/>
  <c r="Q480" i="1"/>
  <c r="M482" i="1"/>
  <c r="O482" i="1" s="1"/>
  <c r="S478" i="1" l="1" a="1"/>
  <c r="S478" i="1" s="1"/>
  <c r="R479" i="1"/>
  <c r="Q481" i="1"/>
  <c r="M483" i="1"/>
  <c r="O483" i="1" s="1"/>
  <c r="N483" i="1"/>
  <c r="P483" i="1" s="1" a="1"/>
  <c r="P483" i="1" s="1"/>
  <c r="S479" i="1" l="1" a="1"/>
  <c r="S479" i="1" s="1"/>
  <c r="R480" i="1"/>
  <c r="M484" i="1"/>
  <c r="O484" i="1" s="1"/>
  <c r="N484" i="1"/>
  <c r="P484" i="1" s="1" a="1"/>
  <c r="P484" i="1" s="1"/>
  <c r="Q482" i="1"/>
  <c r="S480" i="1" l="1" a="1"/>
  <c r="S480" i="1" s="1"/>
  <c r="R481" i="1"/>
  <c r="N485" i="1"/>
  <c r="P485" i="1" s="1" a="1"/>
  <c r="P485" i="1" s="1"/>
  <c r="Q483" i="1"/>
  <c r="M485" i="1"/>
  <c r="O485" i="1" s="1"/>
  <c r="S481" i="1" l="1" a="1"/>
  <c r="S481" i="1" s="1"/>
  <c r="R482" i="1"/>
  <c r="Q484" i="1"/>
  <c r="M486" i="1"/>
  <c r="O486" i="1" s="1"/>
  <c r="N486" i="1"/>
  <c r="P486" i="1" s="1" a="1"/>
  <c r="P486" i="1" s="1"/>
  <c r="S482" i="1" l="1" a="1"/>
  <c r="S482" i="1" s="1"/>
  <c r="R483" i="1"/>
  <c r="N487" i="1"/>
  <c r="P487" i="1" s="1" a="1"/>
  <c r="P487" i="1" s="1"/>
  <c r="M487" i="1"/>
  <c r="O487" i="1" s="1"/>
  <c r="Q485" i="1"/>
  <c r="S483" i="1" l="1" a="1"/>
  <c r="S483" i="1" s="1"/>
  <c r="R484" i="1"/>
  <c r="Q486" i="1"/>
  <c r="M488" i="1"/>
  <c r="O488" i="1" s="1"/>
  <c r="N488" i="1"/>
  <c r="P488" i="1" s="1" a="1"/>
  <c r="P488" i="1" s="1"/>
  <c r="S484" i="1" l="1" a="1"/>
  <c r="S484" i="1" s="1"/>
  <c r="R485" i="1"/>
  <c r="N489" i="1"/>
  <c r="P489" i="1" s="1" a="1"/>
  <c r="P489" i="1" s="1"/>
  <c r="M489" i="1"/>
  <c r="O489" i="1" s="1"/>
  <c r="Q487" i="1"/>
  <c r="S485" i="1" l="1" a="1"/>
  <c r="S485" i="1" s="1"/>
  <c r="R486" i="1"/>
  <c r="Q488" i="1"/>
  <c r="M490" i="1"/>
  <c r="O490" i="1" s="1"/>
  <c r="N490" i="1"/>
  <c r="P490" i="1" s="1" a="1"/>
  <c r="P490" i="1" s="1"/>
  <c r="S486" i="1" l="1" a="1"/>
  <c r="S486" i="1" s="1"/>
  <c r="R487" i="1"/>
  <c r="N491" i="1"/>
  <c r="P491" i="1" s="1" a="1"/>
  <c r="P491" i="1" s="1"/>
  <c r="Q489" i="1"/>
  <c r="M491" i="1"/>
  <c r="O491" i="1" s="1"/>
  <c r="S487" i="1" l="1" a="1"/>
  <c r="S487" i="1" s="1"/>
  <c r="R488" i="1"/>
  <c r="M492" i="1"/>
  <c r="O492" i="1" s="1"/>
  <c r="Q490" i="1"/>
  <c r="N492" i="1"/>
  <c r="P492" i="1" s="1" a="1"/>
  <c r="P492" i="1" s="1"/>
  <c r="S488" i="1" l="1" a="1"/>
  <c r="S488" i="1" s="1"/>
  <c r="R489" i="1"/>
  <c r="N493" i="1"/>
  <c r="P493" i="1" s="1" a="1"/>
  <c r="P493" i="1" s="1"/>
  <c r="Q491" i="1"/>
  <c r="M493" i="1"/>
  <c r="O493" i="1" s="1"/>
  <c r="S489" i="1" l="1" a="1"/>
  <c r="S489" i="1" s="1"/>
  <c r="R490" i="1"/>
  <c r="M494" i="1"/>
  <c r="O494" i="1" s="1"/>
  <c r="Q492" i="1"/>
  <c r="N494" i="1"/>
  <c r="P494" i="1" s="1" a="1"/>
  <c r="P494" i="1" s="1"/>
  <c r="S490" i="1" l="1" a="1"/>
  <c r="S490" i="1" s="1"/>
  <c r="R491" i="1"/>
  <c r="N495" i="1"/>
  <c r="P495" i="1" s="1" a="1"/>
  <c r="P495" i="1" s="1"/>
  <c r="M495" i="1"/>
  <c r="O495" i="1" s="1"/>
  <c r="Q493" i="1"/>
  <c r="S491" i="1" l="1" a="1"/>
  <c r="S491" i="1" s="1"/>
  <c r="R492" i="1"/>
  <c r="Q494" i="1"/>
  <c r="M496" i="1"/>
  <c r="O496" i="1" s="1"/>
  <c r="N496" i="1"/>
  <c r="P496" i="1" s="1" a="1"/>
  <c r="P496" i="1" s="1"/>
  <c r="S492" i="1" l="1" a="1"/>
  <c r="S492" i="1" s="1"/>
  <c r="R493" i="1"/>
  <c r="M497" i="1"/>
  <c r="O497" i="1" s="1"/>
  <c r="N497" i="1"/>
  <c r="P497" i="1" s="1" a="1"/>
  <c r="P497" i="1" s="1"/>
  <c r="Q495" i="1"/>
  <c r="S493" i="1" l="1" a="1"/>
  <c r="S493" i="1" s="1"/>
  <c r="R494" i="1"/>
  <c r="N498" i="1"/>
  <c r="P498" i="1" s="1" a="1"/>
  <c r="P498" i="1" s="1"/>
  <c r="Q496" i="1"/>
  <c r="M498" i="1"/>
  <c r="O498" i="1" s="1"/>
  <c r="S494" i="1" l="1" a="1"/>
  <c r="S494" i="1" s="1"/>
  <c r="R495" i="1"/>
  <c r="Q497" i="1"/>
  <c r="M499" i="1"/>
  <c r="O499" i="1" s="1"/>
  <c r="N499" i="1"/>
  <c r="P499" i="1" s="1" a="1"/>
  <c r="P499" i="1" s="1"/>
  <c r="S495" i="1" l="1" a="1"/>
  <c r="S495" i="1" s="1"/>
  <c r="R496" i="1"/>
  <c r="N500" i="1"/>
  <c r="P500" i="1" s="1" a="1"/>
  <c r="P500" i="1" s="1"/>
  <c r="M500" i="1"/>
  <c r="O500" i="1" s="1"/>
  <c r="Q498" i="1"/>
  <c r="S496" i="1" l="1" a="1"/>
  <c r="S496" i="1" s="1"/>
  <c r="R497" i="1"/>
  <c r="Q499" i="1"/>
  <c r="M501" i="1"/>
  <c r="O501" i="1" s="1"/>
  <c r="N501" i="1"/>
  <c r="P501" i="1" s="1" a="1"/>
  <c r="P501" i="1" s="1"/>
  <c r="S497" i="1" l="1" a="1"/>
  <c r="S497" i="1" s="1"/>
  <c r="R498" i="1"/>
  <c r="N502" i="1"/>
  <c r="P502" i="1" s="1" a="1"/>
  <c r="P502" i="1" s="1"/>
  <c r="M502" i="1"/>
  <c r="O502" i="1" s="1"/>
  <c r="Q500" i="1"/>
  <c r="S498" i="1" l="1" a="1"/>
  <c r="S498" i="1" s="1"/>
  <c r="R499" i="1"/>
  <c r="M503" i="1"/>
  <c r="O503" i="1" s="1"/>
  <c r="Q501" i="1"/>
  <c r="N503" i="1"/>
  <c r="P503" i="1" s="1" a="1"/>
  <c r="P503" i="1" s="1"/>
  <c r="S499" i="1" l="1" a="1"/>
  <c r="S499" i="1" s="1"/>
  <c r="R500" i="1"/>
  <c r="N504" i="1"/>
  <c r="P504" i="1" s="1" a="1"/>
  <c r="P504" i="1" s="1"/>
  <c r="Q502" i="1"/>
  <c r="M504" i="1"/>
  <c r="O504" i="1" s="1"/>
  <c r="S500" i="1" l="1" a="1"/>
  <c r="S500" i="1" s="1"/>
  <c r="R501" i="1"/>
  <c r="M505" i="1"/>
  <c r="O505" i="1" s="1"/>
  <c r="Q503" i="1"/>
  <c r="N505" i="1"/>
  <c r="P505" i="1" s="1" a="1"/>
  <c r="P505" i="1" s="1"/>
  <c r="S501" i="1" l="1" a="1"/>
  <c r="S501" i="1" s="1"/>
  <c r="R502" i="1"/>
  <c r="N506" i="1"/>
  <c r="P506" i="1" s="1" a="1"/>
  <c r="P506" i="1" s="1"/>
  <c r="Q504" i="1"/>
  <c r="M506" i="1"/>
  <c r="O506" i="1" s="1"/>
  <c r="S502" i="1" l="1" a="1"/>
  <c r="S502" i="1" s="1"/>
  <c r="R503" i="1"/>
  <c r="Q505" i="1"/>
  <c r="M507" i="1"/>
  <c r="O507" i="1" s="1"/>
  <c r="N507" i="1"/>
  <c r="P507" i="1" s="1" a="1"/>
  <c r="P507" i="1" s="1"/>
  <c r="S503" i="1" l="1" a="1"/>
  <c r="S503" i="1" s="1"/>
  <c r="R504" i="1"/>
  <c r="N508" i="1"/>
  <c r="P508" i="1" s="1" a="1"/>
  <c r="P508" i="1" s="1"/>
  <c r="Q506" i="1"/>
  <c r="M508" i="1"/>
  <c r="O508" i="1" s="1"/>
  <c r="S504" i="1" l="1" a="1"/>
  <c r="S504" i="1" s="1"/>
  <c r="R505" i="1"/>
  <c r="Q507" i="1"/>
  <c r="M509" i="1"/>
  <c r="O509" i="1" s="1"/>
  <c r="N509" i="1"/>
  <c r="P509" i="1" s="1" a="1"/>
  <c r="P509" i="1" s="1"/>
  <c r="S505" i="1" l="1" a="1"/>
  <c r="S505" i="1" s="1"/>
  <c r="R506" i="1"/>
  <c r="M510" i="1"/>
  <c r="O510" i="1" s="1"/>
  <c r="N510" i="1"/>
  <c r="P510" i="1" s="1" a="1"/>
  <c r="P510" i="1" s="1"/>
  <c r="Q508" i="1"/>
  <c r="S506" i="1" l="1" a="1"/>
  <c r="S506" i="1" s="1"/>
  <c r="R507" i="1"/>
  <c r="M511" i="1"/>
  <c r="O511" i="1" s="1"/>
  <c r="N511" i="1"/>
  <c r="P511" i="1" s="1" a="1"/>
  <c r="P511" i="1" s="1"/>
  <c r="Q509" i="1"/>
  <c r="S507" i="1" l="1" a="1"/>
  <c r="S507" i="1" s="1"/>
  <c r="R508" i="1"/>
  <c r="N512" i="1"/>
  <c r="P512" i="1" s="1" a="1"/>
  <c r="P512" i="1" s="1"/>
  <c r="Q510" i="1"/>
  <c r="M512" i="1"/>
  <c r="O512" i="1" s="1"/>
  <c r="S508" i="1" l="1" a="1"/>
  <c r="S508" i="1" s="1"/>
  <c r="R509" i="1"/>
  <c r="M513" i="1"/>
  <c r="O513" i="1" s="1"/>
  <c r="Q511" i="1"/>
  <c r="N513" i="1"/>
  <c r="P513" i="1" s="1" a="1"/>
  <c r="P513" i="1" s="1"/>
  <c r="S509" i="1" l="1" a="1"/>
  <c r="S509" i="1" s="1"/>
  <c r="R510" i="1"/>
  <c r="N514" i="1"/>
  <c r="P514" i="1" s="1" a="1"/>
  <c r="P514" i="1" s="1"/>
  <c r="Q512" i="1"/>
  <c r="M514" i="1"/>
  <c r="O514" i="1" s="1"/>
  <c r="S510" i="1" l="1" a="1"/>
  <c r="S510" i="1" s="1"/>
  <c r="R511" i="1"/>
  <c r="Q513" i="1"/>
  <c r="M515" i="1"/>
  <c r="O515" i="1" s="1"/>
  <c r="N515" i="1"/>
  <c r="P515" i="1" s="1" a="1"/>
  <c r="P515" i="1" s="1"/>
  <c r="S511" i="1" l="1" a="1"/>
  <c r="S511" i="1" s="1"/>
  <c r="R512" i="1"/>
  <c r="N516" i="1"/>
  <c r="P516" i="1" s="1" a="1"/>
  <c r="P516" i="1" s="1"/>
  <c r="M516" i="1"/>
  <c r="O516" i="1" s="1"/>
  <c r="Q514" i="1"/>
  <c r="S512" i="1" l="1" a="1"/>
  <c r="S512" i="1" s="1"/>
  <c r="R513" i="1"/>
  <c r="N517" i="1"/>
  <c r="P517" i="1" s="1" a="1"/>
  <c r="P517" i="1" s="1"/>
  <c r="Q515" i="1"/>
  <c r="M517" i="1"/>
  <c r="O517" i="1" s="1"/>
  <c r="S513" i="1" l="1" a="1"/>
  <c r="S513" i="1" s="1"/>
  <c r="R514" i="1"/>
  <c r="M518" i="1"/>
  <c r="O518" i="1" s="1"/>
  <c r="Q516" i="1"/>
  <c r="N518" i="1"/>
  <c r="P518" i="1" s="1" a="1"/>
  <c r="P518" i="1" s="1"/>
  <c r="S514" i="1" l="1" a="1"/>
  <c r="S514" i="1" s="1"/>
  <c r="R515" i="1"/>
  <c r="N519" i="1"/>
  <c r="P519" i="1" s="1" a="1"/>
  <c r="P519" i="1" s="1"/>
  <c r="M519" i="1"/>
  <c r="O519" i="1" s="1"/>
  <c r="Q517" i="1"/>
  <c r="S515" i="1" l="1" a="1"/>
  <c r="S515" i="1" s="1"/>
  <c r="R516" i="1"/>
  <c r="Q518" i="1"/>
  <c r="M520" i="1"/>
  <c r="O520" i="1" s="1"/>
  <c r="N520" i="1"/>
  <c r="P520" i="1" s="1" a="1"/>
  <c r="P520" i="1" s="1"/>
  <c r="S516" i="1" l="1" a="1"/>
  <c r="S516" i="1" s="1"/>
  <c r="R517" i="1"/>
  <c r="N521" i="1"/>
  <c r="P521" i="1" s="1" a="1"/>
  <c r="P521" i="1" s="1"/>
  <c r="M521" i="1"/>
  <c r="O521" i="1" s="1"/>
  <c r="Q519" i="1"/>
  <c r="S517" i="1" l="1" a="1"/>
  <c r="S517" i="1" s="1"/>
  <c r="R518" i="1"/>
  <c r="Q520" i="1"/>
  <c r="M522" i="1"/>
  <c r="O522" i="1" s="1"/>
  <c r="N522" i="1"/>
  <c r="P522" i="1" s="1" a="1"/>
  <c r="P522" i="1" s="1"/>
  <c r="S518" i="1" l="1" a="1"/>
  <c r="S518" i="1" s="1"/>
  <c r="R519" i="1"/>
  <c r="Q521" i="1"/>
  <c r="N523" i="1"/>
  <c r="P523" i="1" s="1" a="1"/>
  <c r="P523" i="1" s="1"/>
  <c r="M523" i="1"/>
  <c r="O523" i="1" s="1"/>
  <c r="S519" i="1" l="1" a="1"/>
  <c r="S519" i="1" s="1"/>
  <c r="R520" i="1"/>
  <c r="M524" i="1"/>
  <c r="O524" i="1" s="1"/>
  <c r="Q522" i="1"/>
  <c r="N524" i="1"/>
  <c r="P524" i="1" s="1" a="1"/>
  <c r="P524" i="1" s="1"/>
  <c r="S520" i="1" l="1" a="1"/>
  <c r="S520" i="1" s="1"/>
  <c r="R521" i="1"/>
  <c r="N525" i="1"/>
  <c r="P525" i="1" s="1" a="1"/>
  <c r="P525" i="1" s="1"/>
  <c r="Q523" i="1"/>
  <c r="M525" i="1"/>
  <c r="O525" i="1" s="1"/>
  <c r="S521" i="1" l="1" a="1"/>
  <c r="S521" i="1" s="1"/>
  <c r="R522" i="1"/>
  <c r="M526" i="1"/>
  <c r="O526" i="1" s="1"/>
  <c r="Q524" i="1"/>
  <c r="N526" i="1"/>
  <c r="P526" i="1" s="1" a="1"/>
  <c r="P526" i="1" s="1"/>
  <c r="S522" i="1" l="1" a="1"/>
  <c r="S522" i="1" s="1"/>
  <c r="R523" i="1"/>
  <c r="N527" i="1"/>
  <c r="P527" i="1" s="1" a="1"/>
  <c r="P527" i="1" s="1"/>
  <c r="M527" i="1"/>
  <c r="O527" i="1" s="1"/>
  <c r="Q525" i="1"/>
  <c r="S523" i="1" l="1" a="1"/>
  <c r="S523" i="1" s="1"/>
  <c r="R524" i="1"/>
  <c r="N528" i="1"/>
  <c r="P528" i="1" s="1" a="1"/>
  <c r="P528" i="1" s="1"/>
  <c r="Q526" i="1"/>
  <c r="M528" i="1"/>
  <c r="O528" i="1" s="1"/>
  <c r="S524" i="1" l="1" a="1"/>
  <c r="S524" i="1" s="1"/>
  <c r="R525" i="1"/>
  <c r="M529" i="1"/>
  <c r="O529" i="1" s="1"/>
  <c r="Q527" i="1"/>
  <c r="N529" i="1"/>
  <c r="P529" i="1" s="1" a="1"/>
  <c r="P529" i="1" s="1"/>
  <c r="S525" i="1" l="1" a="1"/>
  <c r="S525" i="1" s="1"/>
  <c r="R526" i="1"/>
  <c r="N530" i="1"/>
  <c r="P530" i="1" s="1" a="1"/>
  <c r="P530" i="1" s="1"/>
  <c r="Q528" i="1"/>
  <c r="M530" i="1"/>
  <c r="O530" i="1" s="1"/>
  <c r="S526" i="1" l="1" a="1"/>
  <c r="S526" i="1" s="1"/>
  <c r="R527" i="1"/>
  <c r="Q529" i="1"/>
  <c r="M531" i="1"/>
  <c r="O531" i="1" s="1"/>
  <c r="N531" i="1"/>
  <c r="P531" i="1" s="1" a="1"/>
  <c r="P531" i="1" s="1"/>
  <c r="S527" i="1" l="1" a="1"/>
  <c r="S527" i="1" s="1"/>
  <c r="R528" i="1"/>
  <c r="N532" i="1"/>
  <c r="P532" i="1" s="1" a="1"/>
  <c r="P532" i="1" s="1"/>
  <c r="M532" i="1"/>
  <c r="O532" i="1" s="1"/>
  <c r="Q530" i="1"/>
  <c r="S528" i="1" l="1" a="1"/>
  <c r="S528" i="1" s="1"/>
  <c r="R529" i="1"/>
  <c r="Q531" i="1"/>
  <c r="M533" i="1"/>
  <c r="O533" i="1" s="1"/>
  <c r="N533" i="1"/>
  <c r="P533" i="1" s="1" a="1"/>
  <c r="P533" i="1" s="1"/>
  <c r="S529" i="1" l="1" a="1"/>
  <c r="S529" i="1" s="1"/>
  <c r="R530" i="1"/>
  <c r="N534" i="1"/>
  <c r="P534" i="1" s="1" a="1"/>
  <c r="P534" i="1" s="1"/>
  <c r="M534" i="1"/>
  <c r="O534" i="1" s="1"/>
  <c r="Q532" i="1"/>
  <c r="S530" i="1" l="1" a="1"/>
  <c r="S530" i="1" s="1"/>
  <c r="R531" i="1"/>
  <c r="M535" i="1"/>
  <c r="O535" i="1" s="1"/>
  <c r="Q533" i="1"/>
  <c r="N535" i="1"/>
  <c r="P535" i="1" s="1" a="1"/>
  <c r="P535" i="1" s="1"/>
  <c r="S531" i="1" l="1" a="1"/>
  <c r="S531" i="1" s="1"/>
  <c r="R532" i="1"/>
  <c r="N536" i="1"/>
  <c r="P536" i="1" s="1" a="1"/>
  <c r="P536" i="1" s="1"/>
  <c r="Q534" i="1"/>
  <c r="M536" i="1"/>
  <c r="O536" i="1" s="1"/>
  <c r="S532" i="1" l="1" a="1"/>
  <c r="S532" i="1" s="1"/>
  <c r="R533" i="1"/>
  <c r="M537" i="1"/>
  <c r="O537" i="1" s="1"/>
  <c r="Q535" i="1"/>
  <c r="N537" i="1"/>
  <c r="P537" i="1" s="1" a="1"/>
  <c r="P537" i="1" s="1"/>
  <c r="S533" i="1" l="1" a="1"/>
  <c r="S533" i="1" s="1"/>
  <c r="R534" i="1"/>
  <c r="N538" i="1"/>
  <c r="P538" i="1" s="1" a="1"/>
  <c r="P538" i="1" s="1"/>
  <c r="Q536" i="1"/>
  <c r="M538" i="1"/>
  <c r="O538" i="1" s="1"/>
  <c r="S534" i="1" l="1" a="1"/>
  <c r="S534" i="1" s="1"/>
  <c r="R535" i="1"/>
  <c r="Q537" i="1"/>
  <c r="M539" i="1"/>
  <c r="O539" i="1" s="1"/>
  <c r="N539" i="1"/>
  <c r="P539" i="1" s="1" a="1"/>
  <c r="P539" i="1" s="1"/>
  <c r="S535" i="1" l="1" a="1"/>
  <c r="S535" i="1" s="1"/>
  <c r="R536" i="1"/>
  <c r="N540" i="1"/>
  <c r="P540" i="1" s="1" a="1"/>
  <c r="P540" i="1" s="1"/>
  <c r="Q538" i="1"/>
  <c r="M540" i="1"/>
  <c r="O540" i="1" s="1"/>
  <c r="S536" i="1" l="1" a="1"/>
  <c r="S536" i="1" s="1"/>
  <c r="R537" i="1"/>
  <c r="Q539" i="1"/>
  <c r="M541" i="1"/>
  <c r="O541" i="1" s="1"/>
  <c r="N541" i="1"/>
  <c r="P541" i="1" s="1" a="1"/>
  <c r="P541" i="1" s="1"/>
  <c r="S537" i="1" l="1" a="1"/>
  <c r="S537" i="1" s="1"/>
  <c r="R538" i="1"/>
  <c r="N542" i="1"/>
  <c r="P542" i="1" s="1" a="1"/>
  <c r="P542" i="1" s="1"/>
  <c r="M542" i="1"/>
  <c r="O542" i="1" s="1"/>
  <c r="Q540" i="1"/>
  <c r="S538" i="1" l="1" a="1"/>
  <c r="S538" i="1" s="1"/>
  <c r="R539" i="1"/>
  <c r="M543" i="1"/>
  <c r="O543" i="1" s="1"/>
  <c r="Q541" i="1"/>
  <c r="N543" i="1"/>
  <c r="P543" i="1" s="1" a="1"/>
  <c r="P543" i="1" s="1"/>
  <c r="S539" i="1" l="1" a="1"/>
  <c r="S539" i="1" s="1"/>
  <c r="R540" i="1"/>
  <c r="N544" i="1"/>
  <c r="P544" i="1" s="1" a="1"/>
  <c r="P544" i="1" s="1"/>
  <c r="Q542" i="1"/>
  <c r="M544" i="1"/>
  <c r="O544" i="1" s="1"/>
  <c r="S540" i="1" l="1" a="1"/>
  <c r="S540" i="1" s="1"/>
  <c r="R541" i="1"/>
  <c r="M545" i="1"/>
  <c r="O545" i="1" s="1"/>
  <c r="Q543" i="1"/>
  <c r="N545" i="1"/>
  <c r="P545" i="1" s="1" a="1"/>
  <c r="P545" i="1" s="1"/>
  <c r="S541" i="1" l="1" a="1"/>
  <c r="S541" i="1" s="1"/>
  <c r="R542" i="1"/>
  <c r="N546" i="1"/>
  <c r="P546" i="1" s="1" a="1"/>
  <c r="P546" i="1" s="1"/>
  <c r="Q544" i="1"/>
  <c r="M546" i="1"/>
  <c r="O546" i="1" s="1"/>
  <c r="S542" i="1" l="1" a="1"/>
  <c r="S542" i="1" s="1"/>
  <c r="R543" i="1"/>
  <c r="Q545" i="1"/>
  <c r="M547" i="1"/>
  <c r="O547" i="1" s="1"/>
  <c r="N547" i="1"/>
  <c r="P547" i="1" s="1" a="1"/>
  <c r="P547" i="1" s="1"/>
  <c r="S543" i="1" l="1" a="1"/>
  <c r="S543" i="1" s="1"/>
  <c r="R544" i="1"/>
  <c r="N548" i="1"/>
  <c r="P548" i="1" s="1" a="1"/>
  <c r="P548" i="1" s="1"/>
  <c r="M548" i="1"/>
  <c r="O548" i="1" s="1"/>
  <c r="Q546" i="1"/>
  <c r="S544" i="1" l="1" a="1"/>
  <c r="S544" i="1" s="1"/>
  <c r="R545" i="1"/>
  <c r="Q547" i="1"/>
  <c r="M549" i="1"/>
  <c r="O549" i="1" s="1"/>
  <c r="N549" i="1"/>
  <c r="P549" i="1" s="1" a="1"/>
  <c r="P549" i="1" s="1"/>
  <c r="S545" i="1" l="1" a="1"/>
  <c r="S545" i="1" s="1"/>
  <c r="R546" i="1"/>
  <c r="N550" i="1"/>
  <c r="P550" i="1" s="1" a="1"/>
  <c r="P550" i="1" s="1"/>
  <c r="M550" i="1"/>
  <c r="O550" i="1" s="1"/>
  <c r="Q548" i="1"/>
  <c r="S546" i="1" l="1" a="1"/>
  <c r="S546" i="1" s="1"/>
  <c r="R547" i="1"/>
  <c r="M551" i="1"/>
  <c r="O551" i="1" s="1"/>
  <c r="Q549" i="1"/>
  <c r="N551" i="1"/>
  <c r="P551" i="1" s="1" a="1"/>
  <c r="P551" i="1" s="1"/>
  <c r="S547" i="1" l="1" a="1"/>
  <c r="S547" i="1" s="1"/>
  <c r="R548" i="1"/>
  <c r="N552" i="1"/>
  <c r="P552" i="1" s="1" a="1"/>
  <c r="P552" i="1" s="1"/>
  <c r="Q550" i="1"/>
  <c r="M552" i="1"/>
  <c r="O552" i="1" s="1"/>
  <c r="S548" i="1" l="1" a="1"/>
  <c r="S548" i="1" s="1"/>
  <c r="R549" i="1"/>
  <c r="M553" i="1"/>
  <c r="O553" i="1" s="1"/>
  <c r="Q551" i="1"/>
  <c r="N553" i="1"/>
  <c r="P553" i="1" s="1" a="1"/>
  <c r="P553" i="1" s="1"/>
  <c r="S549" i="1" l="1" a="1"/>
  <c r="S549" i="1" s="1"/>
  <c r="R550" i="1"/>
  <c r="N554" i="1"/>
  <c r="P554" i="1" s="1" a="1"/>
  <c r="P554" i="1" s="1"/>
  <c r="Q552" i="1"/>
  <c r="M554" i="1"/>
  <c r="O554" i="1" s="1"/>
  <c r="S550" i="1" l="1" a="1"/>
  <c r="S550" i="1" s="1"/>
  <c r="R551" i="1"/>
  <c r="Q553" i="1"/>
  <c r="M555" i="1"/>
  <c r="O555" i="1" s="1"/>
  <c r="N555" i="1"/>
  <c r="P555" i="1" s="1" a="1"/>
  <c r="P555" i="1" s="1"/>
  <c r="S551" i="1" l="1" a="1"/>
  <c r="S551" i="1" s="1"/>
  <c r="R552" i="1"/>
  <c r="N556" i="1"/>
  <c r="P556" i="1" s="1" a="1"/>
  <c r="P556" i="1" s="1"/>
  <c r="M556" i="1"/>
  <c r="O556" i="1" s="1"/>
  <c r="Q554" i="1"/>
  <c r="S552" i="1" l="1" a="1"/>
  <c r="S552" i="1" s="1"/>
  <c r="R553" i="1"/>
  <c r="Q555" i="1"/>
  <c r="M557" i="1"/>
  <c r="O557" i="1" s="1"/>
  <c r="N557" i="1"/>
  <c r="P557" i="1" s="1" a="1"/>
  <c r="P557" i="1" s="1"/>
  <c r="S553" i="1" l="1" a="1"/>
  <c r="S553" i="1" s="1"/>
  <c r="R554" i="1"/>
  <c r="N558" i="1"/>
  <c r="P558" i="1" s="1" a="1"/>
  <c r="P558" i="1" s="1"/>
  <c r="M558" i="1"/>
  <c r="O558" i="1" s="1"/>
  <c r="Q556" i="1"/>
  <c r="S554" i="1" l="1" a="1"/>
  <c r="S554" i="1" s="1"/>
  <c r="R555" i="1"/>
  <c r="Q557" i="1"/>
  <c r="M559" i="1"/>
  <c r="O559" i="1" s="1"/>
  <c r="N559" i="1"/>
  <c r="P559" i="1" s="1" a="1"/>
  <c r="P559" i="1" s="1"/>
  <c r="S555" i="1" l="1" a="1"/>
  <c r="S555" i="1" s="1"/>
  <c r="R556" i="1"/>
  <c r="Q558" i="1"/>
  <c r="N560" i="1"/>
  <c r="P560" i="1" s="1" a="1"/>
  <c r="P560" i="1" s="1"/>
  <c r="M560" i="1"/>
  <c r="O560" i="1" s="1"/>
  <c r="S556" i="1" l="1" a="1"/>
  <c r="S556" i="1" s="1"/>
  <c r="R557" i="1"/>
  <c r="M561" i="1"/>
  <c r="O561" i="1" s="1"/>
  <c r="N561" i="1"/>
  <c r="P561" i="1" s="1" a="1"/>
  <c r="P561" i="1" s="1"/>
  <c r="Q559" i="1"/>
  <c r="S557" i="1" l="1" a="1"/>
  <c r="S557" i="1" s="1"/>
  <c r="R558" i="1"/>
  <c r="N562" i="1"/>
  <c r="P562" i="1" s="1" a="1"/>
  <c r="P562" i="1" s="1"/>
  <c r="M562" i="1"/>
  <c r="O562" i="1" s="1"/>
  <c r="Q560" i="1"/>
  <c r="S558" i="1" l="1" a="1"/>
  <c r="S558" i="1" s="1"/>
  <c r="R559" i="1"/>
  <c r="Q561" i="1"/>
  <c r="M563" i="1"/>
  <c r="O563" i="1" s="1"/>
  <c r="N563" i="1"/>
  <c r="P563" i="1" s="1" a="1"/>
  <c r="P563" i="1" s="1"/>
  <c r="S559" i="1" l="1" a="1"/>
  <c r="S559" i="1" s="1"/>
  <c r="R560" i="1"/>
  <c r="M564" i="1"/>
  <c r="O564" i="1" s="1"/>
  <c r="N564" i="1"/>
  <c r="P564" i="1" s="1" a="1"/>
  <c r="P564" i="1" s="1"/>
  <c r="Q562" i="1"/>
  <c r="S560" i="1" l="1" a="1"/>
  <c r="S560" i="1" s="1"/>
  <c r="R561" i="1"/>
  <c r="N565" i="1"/>
  <c r="P565" i="1" s="1" a="1"/>
  <c r="P565" i="1" s="1"/>
  <c r="Q563" i="1"/>
  <c r="M565" i="1"/>
  <c r="O565" i="1" s="1"/>
  <c r="S561" i="1" l="1" a="1"/>
  <c r="S561" i="1" s="1"/>
  <c r="R562" i="1"/>
  <c r="M566" i="1"/>
  <c r="O566" i="1" s="1"/>
  <c r="Q564" i="1"/>
  <c r="N566" i="1"/>
  <c r="P566" i="1" s="1" a="1"/>
  <c r="P566" i="1" s="1"/>
  <c r="S562" i="1" l="1" a="1"/>
  <c r="S562" i="1" s="1"/>
  <c r="R563" i="1"/>
  <c r="N567" i="1"/>
  <c r="P567" i="1" s="1" a="1"/>
  <c r="P567" i="1" s="1"/>
  <c r="Q565" i="1"/>
  <c r="M567" i="1"/>
  <c r="O567" i="1" s="1"/>
  <c r="S563" i="1" l="1" a="1"/>
  <c r="S563" i="1" s="1"/>
  <c r="R564" i="1"/>
  <c r="Q566" i="1"/>
  <c r="M568" i="1"/>
  <c r="O568" i="1" s="1"/>
  <c r="N568" i="1"/>
  <c r="P568" i="1" s="1" a="1"/>
  <c r="P568" i="1" s="1"/>
  <c r="S564" i="1" l="1" a="1"/>
  <c r="S564" i="1" s="1"/>
  <c r="R565" i="1"/>
  <c r="N569" i="1"/>
  <c r="P569" i="1" s="1" a="1"/>
  <c r="P569" i="1" s="1"/>
  <c r="M569" i="1"/>
  <c r="O569" i="1" s="1"/>
  <c r="Q567" i="1"/>
  <c r="S565" i="1" l="1" a="1"/>
  <c r="S565" i="1" s="1"/>
  <c r="R566" i="1"/>
  <c r="Q568" i="1"/>
  <c r="M570" i="1"/>
  <c r="O570" i="1" s="1"/>
  <c r="N570" i="1"/>
  <c r="P570" i="1" s="1" a="1"/>
  <c r="P570" i="1" s="1"/>
  <c r="S566" i="1" l="1" a="1"/>
  <c r="S566" i="1" s="1"/>
  <c r="R567" i="1"/>
  <c r="N571" i="1"/>
  <c r="P571" i="1" s="1" a="1"/>
  <c r="P571" i="1" s="1"/>
  <c r="Q569" i="1"/>
  <c r="M571" i="1"/>
  <c r="O571" i="1" s="1"/>
  <c r="S567" i="1" l="1" a="1"/>
  <c r="S567" i="1" s="1"/>
  <c r="R568" i="1"/>
  <c r="Q570" i="1"/>
  <c r="M572" i="1"/>
  <c r="O572" i="1" s="1"/>
  <c r="N572" i="1"/>
  <c r="P572" i="1" s="1" a="1"/>
  <c r="P572" i="1" s="1"/>
  <c r="S568" i="1" l="1" a="1"/>
  <c r="S568" i="1" s="1"/>
  <c r="R569" i="1"/>
  <c r="N573" i="1"/>
  <c r="P573" i="1" s="1" a="1"/>
  <c r="P573" i="1" s="1"/>
  <c r="Q571" i="1"/>
  <c r="M573" i="1"/>
  <c r="O573" i="1" s="1"/>
  <c r="S569" i="1" l="1" a="1"/>
  <c r="S569" i="1" s="1"/>
  <c r="R570" i="1"/>
  <c r="M574" i="1"/>
  <c r="O574" i="1" s="1"/>
  <c r="Q572" i="1"/>
  <c r="N574" i="1"/>
  <c r="P574" i="1" s="1" a="1"/>
  <c r="P574" i="1" s="1"/>
  <c r="S570" i="1" l="1" a="1"/>
  <c r="S570" i="1" s="1"/>
  <c r="R571" i="1"/>
  <c r="N575" i="1"/>
  <c r="P575" i="1" s="1" a="1"/>
  <c r="P575" i="1" s="1"/>
  <c r="M575" i="1"/>
  <c r="O575" i="1" s="1"/>
  <c r="Q573" i="1"/>
  <c r="S571" i="1" l="1" a="1"/>
  <c r="S571" i="1" s="1"/>
  <c r="R572" i="1"/>
  <c r="Q574" i="1"/>
  <c r="M576" i="1"/>
  <c r="O576" i="1" s="1"/>
  <c r="N576" i="1"/>
  <c r="P576" i="1" s="1" a="1"/>
  <c r="P576" i="1" s="1"/>
  <c r="S572" i="1" l="1" a="1"/>
  <c r="S572" i="1" s="1"/>
  <c r="R573" i="1"/>
  <c r="Q575" i="1"/>
  <c r="M577" i="1"/>
  <c r="O577" i="1" s="1"/>
  <c r="N577" i="1"/>
  <c r="P577" i="1" s="1" a="1"/>
  <c r="P577" i="1" s="1"/>
  <c r="S573" i="1" l="1" a="1"/>
  <c r="S573" i="1" s="1"/>
  <c r="R574" i="1"/>
  <c r="N578" i="1"/>
  <c r="P578" i="1" s="1" a="1"/>
  <c r="P578" i="1" s="1"/>
  <c r="Q576" i="1"/>
  <c r="M578" i="1"/>
  <c r="O578" i="1" s="1"/>
  <c r="S574" i="1" l="1" a="1"/>
  <c r="S574" i="1" s="1"/>
  <c r="R575" i="1"/>
  <c r="Q577" i="1"/>
  <c r="M579" i="1"/>
  <c r="O579" i="1" s="1"/>
  <c r="N579" i="1"/>
  <c r="P579" i="1" s="1" a="1"/>
  <c r="P579" i="1" s="1"/>
  <c r="S575" i="1" l="1" a="1"/>
  <c r="S575" i="1" s="1"/>
  <c r="R576" i="1"/>
  <c r="N580" i="1"/>
  <c r="P580" i="1" s="1" a="1"/>
  <c r="P580" i="1" s="1"/>
  <c r="M580" i="1"/>
  <c r="O580" i="1" s="1"/>
  <c r="Q578" i="1"/>
  <c r="S576" i="1" l="1" a="1"/>
  <c r="S576" i="1" s="1"/>
  <c r="R577" i="1"/>
  <c r="Q579" i="1"/>
  <c r="M581" i="1"/>
  <c r="O581" i="1" s="1"/>
  <c r="N581" i="1"/>
  <c r="P581" i="1" s="1" a="1"/>
  <c r="P581" i="1" s="1"/>
  <c r="S577" i="1" l="1" a="1"/>
  <c r="S577" i="1" s="1"/>
  <c r="R578" i="1"/>
  <c r="N582" i="1"/>
  <c r="P582" i="1" s="1" a="1"/>
  <c r="P582" i="1" s="1"/>
  <c r="M582" i="1"/>
  <c r="O582" i="1" s="1"/>
  <c r="Q580" i="1"/>
  <c r="S578" i="1" l="1" a="1"/>
  <c r="S578" i="1" s="1"/>
  <c r="R579" i="1"/>
  <c r="M583" i="1"/>
  <c r="O583" i="1" s="1"/>
  <c r="Q581" i="1"/>
  <c r="N583" i="1"/>
  <c r="P583" i="1" s="1" a="1"/>
  <c r="P583" i="1" s="1"/>
  <c r="S579" i="1" l="1" a="1"/>
  <c r="S579" i="1" s="1"/>
  <c r="R580" i="1"/>
  <c r="N584" i="1"/>
  <c r="P584" i="1" s="1" a="1"/>
  <c r="P584" i="1" s="1"/>
  <c r="Q582" i="1"/>
  <c r="M584" i="1"/>
  <c r="O584" i="1" s="1"/>
  <c r="S580" i="1" l="1" a="1"/>
  <c r="S580" i="1" s="1"/>
  <c r="R581" i="1"/>
  <c r="M585" i="1"/>
  <c r="O585" i="1" s="1"/>
  <c r="Q583" i="1"/>
  <c r="N585" i="1"/>
  <c r="P585" i="1" s="1" a="1"/>
  <c r="P585" i="1" s="1"/>
  <c r="S581" i="1" l="1" a="1"/>
  <c r="S581" i="1" s="1"/>
  <c r="R582" i="1"/>
  <c r="N586" i="1"/>
  <c r="P586" i="1" s="1" a="1"/>
  <c r="P586" i="1" s="1"/>
  <c r="Q584" i="1"/>
  <c r="M586" i="1"/>
  <c r="O586" i="1" s="1"/>
  <c r="S582" i="1" l="1" a="1"/>
  <c r="S582" i="1" s="1"/>
  <c r="R583" i="1"/>
  <c r="Q585" i="1"/>
  <c r="M587" i="1"/>
  <c r="O587" i="1" s="1"/>
  <c r="N587" i="1"/>
  <c r="P587" i="1" s="1" a="1"/>
  <c r="P587" i="1" s="1"/>
  <c r="S583" i="1" l="1" a="1"/>
  <c r="S583" i="1" s="1"/>
  <c r="R584" i="1"/>
  <c r="N588" i="1"/>
  <c r="P588" i="1" s="1" a="1"/>
  <c r="P588" i="1" s="1"/>
  <c r="M588" i="1"/>
  <c r="O588" i="1" s="1"/>
  <c r="Q586" i="1"/>
  <c r="S584" i="1" l="1" a="1"/>
  <c r="S584" i="1" s="1"/>
  <c r="R585" i="1"/>
  <c r="Q587" i="1"/>
  <c r="M589" i="1"/>
  <c r="O589" i="1" s="1"/>
  <c r="N589" i="1"/>
  <c r="P589" i="1" s="1" a="1"/>
  <c r="P589" i="1" s="1"/>
  <c r="S585" i="1" l="1" a="1"/>
  <c r="S585" i="1" s="1"/>
  <c r="R586" i="1"/>
  <c r="N590" i="1"/>
  <c r="P590" i="1" s="1" a="1"/>
  <c r="P590" i="1" s="1"/>
  <c r="M590" i="1"/>
  <c r="O590" i="1" s="1"/>
  <c r="Q588" i="1"/>
  <c r="S586" i="1" l="1" a="1"/>
  <c r="S586" i="1" s="1"/>
  <c r="R587" i="1"/>
  <c r="M591" i="1"/>
  <c r="O591" i="1" s="1"/>
  <c r="Q589" i="1"/>
  <c r="N591" i="1"/>
  <c r="P591" i="1" s="1" a="1"/>
  <c r="P591" i="1" s="1"/>
  <c r="S587" i="1" l="1" a="1"/>
  <c r="S587" i="1" s="1"/>
  <c r="R588" i="1"/>
  <c r="N592" i="1"/>
  <c r="P592" i="1" s="1" a="1"/>
  <c r="P592" i="1" s="1"/>
  <c r="M592" i="1"/>
  <c r="O592" i="1" s="1"/>
  <c r="Q590" i="1"/>
  <c r="S588" i="1" l="1" a="1"/>
  <c r="S588" i="1" s="1"/>
  <c r="R589" i="1"/>
  <c r="M593" i="1"/>
  <c r="O593" i="1" s="1"/>
  <c r="Q591" i="1"/>
  <c r="N593" i="1"/>
  <c r="P593" i="1" s="1" a="1"/>
  <c r="P593" i="1" s="1"/>
  <c r="S589" i="1" l="1" a="1"/>
  <c r="S589" i="1" s="1"/>
  <c r="R590" i="1"/>
  <c r="N594" i="1"/>
  <c r="P594" i="1" s="1" a="1"/>
  <c r="P594" i="1" s="1"/>
  <c r="Q592" i="1"/>
  <c r="M594" i="1"/>
  <c r="O594" i="1" s="1"/>
  <c r="S590" i="1" l="1" a="1"/>
  <c r="S590" i="1" s="1"/>
  <c r="R591" i="1"/>
  <c r="Q593" i="1"/>
  <c r="M595" i="1"/>
  <c r="O595" i="1" s="1"/>
  <c r="N595" i="1"/>
  <c r="P595" i="1" s="1" a="1"/>
  <c r="P595" i="1" s="1"/>
  <c r="S591" i="1" l="1" a="1"/>
  <c r="S591" i="1" s="1"/>
  <c r="R592" i="1"/>
  <c r="M596" i="1"/>
  <c r="O596" i="1" s="1"/>
  <c r="N596" i="1"/>
  <c r="P596" i="1" s="1" a="1"/>
  <c r="P596" i="1" s="1"/>
  <c r="Q594" i="1"/>
  <c r="S592" i="1" l="1" a="1"/>
  <c r="S592" i="1" s="1"/>
  <c r="R593" i="1"/>
  <c r="Q595" i="1"/>
  <c r="N597" i="1"/>
  <c r="P597" i="1" s="1" a="1"/>
  <c r="P597" i="1" s="1"/>
  <c r="M597" i="1"/>
  <c r="O597" i="1" s="1"/>
  <c r="S593" i="1" l="1" a="1"/>
  <c r="S593" i="1" s="1"/>
  <c r="R594" i="1"/>
  <c r="M598" i="1"/>
  <c r="O598" i="1" s="1"/>
  <c r="Q596" i="1"/>
  <c r="N598" i="1"/>
  <c r="P598" i="1" s="1" a="1"/>
  <c r="P598" i="1" s="1"/>
  <c r="S594" i="1" l="1" a="1"/>
  <c r="S594" i="1" s="1"/>
  <c r="R595" i="1"/>
  <c r="N599" i="1"/>
  <c r="P599" i="1" s="1" a="1"/>
  <c r="P599" i="1" s="1"/>
  <c r="M599" i="1"/>
  <c r="O599" i="1" s="1"/>
  <c r="Q597" i="1"/>
  <c r="S595" i="1" l="1" a="1"/>
  <c r="S595" i="1" s="1"/>
  <c r="R596" i="1"/>
  <c r="Q598" i="1"/>
  <c r="M600" i="1"/>
  <c r="O600" i="1" s="1"/>
  <c r="N600" i="1"/>
  <c r="P600" i="1" s="1" a="1"/>
  <c r="P600" i="1" s="1"/>
  <c r="S596" i="1" l="1" a="1"/>
  <c r="S596" i="1" s="1"/>
  <c r="R597" i="1"/>
  <c r="N601" i="1"/>
  <c r="P601" i="1" s="1" a="1"/>
  <c r="P601" i="1" s="1"/>
  <c r="M601" i="1"/>
  <c r="O601" i="1" s="1"/>
  <c r="Q599" i="1"/>
  <c r="S597" i="1" l="1" a="1"/>
  <c r="S597" i="1" s="1"/>
  <c r="R598" i="1"/>
  <c r="Q600" i="1"/>
  <c r="M602" i="1"/>
  <c r="O602" i="1" s="1"/>
  <c r="N602" i="1"/>
  <c r="P602" i="1" s="1" a="1"/>
  <c r="P602" i="1" s="1"/>
  <c r="S598" i="1" l="1" a="1"/>
  <c r="S598" i="1" s="1"/>
  <c r="R599" i="1"/>
  <c r="N603" i="1"/>
  <c r="P603" i="1" s="1" a="1"/>
  <c r="P603" i="1" s="1"/>
  <c r="Q601" i="1"/>
  <c r="M603" i="1"/>
  <c r="O603" i="1" s="1"/>
  <c r="S599" i="1" l="1" a="1"/>
  <c r="S599" i="1" s="1"/>
  <c r="R600" i="1"/>
  <c r="M604" i="1"/>
  <c r="O604" i="1" s="1"/>
  <c r="Q602" i="1"/>
  <c r="N604" i="1"/>
  <c r="P604" i="1" s="1" a="1"/>
  <c r="P604" i="1" s="1"/>
  <c r="S600" i="1" l="1" a="1"/>
  <c r="S600" i="1" s="1"/>
  <c r="R601" i="1"/>
  <c r="N605" i="1"/>
  <c r="P605" i="1" s="1" a="1"/>
  <c r="P605" i="1" s="1"/>
  <c r="M605" i="1"/>
  <c r="O605" i="1" s="1"/>
  <c r="Q603" i="1"/>
  <c r="S601" i="1" l="1" a="1"/>
  <c r="S601" i="1" s="1"/>
  <c r="R602" i="1"/>
  <c r="M606" i="1"/>
  <c r="O606" i="1" s="1"/>
  <c r="Q604" i="1"/>
  <c r="N606" i="1"/>
  <c r="P606" i="1" s="1" a="1"/>
  <c r="P606" i="1" s="1"/>
  <c r="S602" i="1" l="1" a="1"/>
  <c r="S602" i="1" s="1"/>
  <c r="R603" i="1"/>
  <c r="N607" i="1"/>
  <c r="P607" i="1" s="1" a="1"/>
  <c r="P607" i="1" s="1"/>
  <c r="M607" i="1"/>
  <c r="O607" i="1" s="1"/>
  <c r="Q605" i="1"/>
  <c r="S603" i="1" l="1" a="1"/>
  <c r="S603" i="1" s="1"/>
  <c r="R604" i="1"/>
  <c r="Q606" i="1"/>
  <c r="M608" i="1"/>
  <c r="O608" i="1" s="1"/>
  <c r="N608" i="1"/>
  <c r="P608" i="1" s="1" a="1"/>
  <c r="P608" i="1" s="1"/>
  <c r="S604" i="1" l="1" a="1"/>
  <c r="S604" i="1" s="1"/>
  <c r="R605" i="1"/>
  <c r="N609" i="1"/>
  <c r="P609" i="1" s="1" a="1"/>
  <c r="P609" i="1" s="1"/>
  <c r="M609" i="1"/>
  <c r="O609" i="1" s="1"/>
  <c r="Q607" i="1"/>
  <c r="S605" i="1" l="1" a="1"/>
  <c r="S605" i="1" s="1"/>
  <c r="R606" i="1"/>
  <c r="Q608" i="1"/>
  <c r="M610" i="1"/>
  <c r="O610" i="1" s="1"/>
  <c r="N610" i="1"/>
  <c r="P610" i="1" s="1" a="1"/>
  <c r="P610" i="1" s="1"/>
  <c r="S606" i="1" l="1" a="1"/>
  <c r="S606" i="1" s="1"/>
  <c r="R607" i="1"/>
  <c r="N611" i="1"/>
  <c r="P611" i="1" s="1" a="1"/>
  <c r="P611" i="1" s="1"/>
  <c r="Q609" i="1"/>
  <c r="M611" i="1"/>
  <c r="O611" i="1" s="1"/>
  <c r="S607" i="1" l="1" a="1"/>
  <c r="S607" i="1" s="1"/>
  <c r="R608" i="1"/>
  <c r="M612" i="1"/>
  <c r="O612" i="1" s="1"/>
  <c r="Q610" i="1"/>
  <c r="N612" i="1"/>
  <c r="P612" i="1" s="1" a="1"/>
  <c r="P612" i="1" s="1"/>
  <c r="S608" i="1" l="1" a="1"/>
  <c r="S608" i="1" s="1"/>
  <c r="R609" i="1"/>
  <c r="N613" i="1"/>
  <c r="P613" i="1" s="1" a="1"/>
  <c r="P613" i="1" s="1"/>
  <c r="Q611" i="1"/>
  <c r="M613" i="1"/>
  <c r="O613" i="1" s="1"/>
  <c r="S609" i="1" l="1" a="1"/>
  <c r="S609" i="1" s="1"/>
  <c r="R610" i="1"/>
  <c r="M614" i="1"/>
  <c r="O614" i="1" s="1"/>
  <c r="Q612" i="1"/>
  <c r="N614" i="1"/>
  <c r="P614" i="1" s="1" a="1"/>
  <c r="P614" i="1" s="1"/>
  <c r="S610" i="1" l="1" a="1"/>
  <c r="S610" i="1" s="1"/>
  <c r="R611" i="1"/>
  <c r="N615" i="1"/>
  <c r="P615" i="1" s="1" a="1"/>
  <c r="P615" i="1" s="1"/>
  <c r="M615" i="1"/>
  <c r="O615" i="1" s="1"/>
  <c r="Q613" i="1"/>
  <c r="S611" i="1" l="1" a="1"/>
  <c r="S611" i="1" s="1"/>
  <c r="R612" i="1"/>
  <c r="Q614" i="1"/>
  <c r="M616" i="1"/>
  <c r="O616" i="1" s="1"/>
  <c r="N616" i="1"/>
  <c r="P616" i="1" s="1" a="1"/>
  <c r="P616" i="1" s="1"/>
  <c r="S612" i="1" l="1" a="1"/>
  <c r="S612" i="1" s="1"/>
  <c r="R613" i="1"/>
  <c r="M617" i="1"/>
  <c r="O617" i="1" s="1"/>
  <c r="N617" i="1"/>
  <c r="P617" i="1" s="1" a="1"/>
  <c r="P617" i="1" s="1"/>
  <c r="Q615" i="1"/>
  <c r="S613" i="1" l="1" a="1"/>
  <c r="S613" i="1" s="1"/>
  <c r="R614" i="1"/>
  <c r="N618" i="1"/>
  <c r="P618" i="1" s="1" a="1"/>
  <c r="P618" i="1" s="1"/>
  <c r="Q616" i="1"/>
  <c r="M618" i="1"/>
  <c r="O618" i="1" s="1"/>
  <c r="S614" i="1" l="1" a="1"/>
  <c r="S614" i="1" s="1"/>
  <c r="R615" i="1"/>
  <c r="Q617" i="1"/>
  <c r="M619" i="1"/>
  <c r="O619" i="1" s="1"/>
  <c r="N619" i="1"/>
  <c r="P619" i="1" s="1" a="1"/>
  <c r="P619" i="1" s="1"/>
  <c r="S615" i="1" l="1" a="1"/>
  <c r="S615" i="1" s="1"/>
  <c r="R616" i="1"/>
  <c r="N620" i="1"/>
  <c r="P620" i="1" s="1" a="1"/>
  <c r="P620" i="1" s="1"/>
  <c r="M620" i="1"/>
  <c r="O620" i="1" s="1"/>
  <c r="Q618" i="1"/>
  <c r="S616" i="1" l="1" a="1"/>
  <c r="S616" i="1" s="1"/>
  <c r="R617" i="1"/>
  <c r="Q619" i="1"/>
  <c r="M621" i="1"/>
  <c r="O621" i="1" s="1"/>
  <c r="N621" i="1"/>
  <c r="P621" i="1" s="1" a="1"/>
  <c r="P621" i="1" s="1"/>
  <c r="S617" i="1" l="1" a="1"/>
  <c r="S617" i="1" s="1"/>
  <c r="R618" i="1"/>
  <c r="N622" i="1"/>
  <c r="P622" i="1" s="1" a="1"/>
  <c r="P622" i="1" s="1"/>
  <c r="M622" i="1"/>
  <c r="O622" i="1" s="1"/>
  <c r="Q620" i="1"/>
  <c r="S618" i="1" l="1" a="1"/>
  <c r="S618" i="1" s="1"/>
  <c r="R619" i="1"/>
  <c r="M623" i="1"/>
  <c r="O623" i="1" s="1"/>
  <c r="Q621" i="1"/>
  <c r="N623" i="1"/>
  <c r="P623" i="1" s="1" a="1"/>
  <c r="P623" i="1" s="1"/>
  <c r="S619" i="1" l="1" a="1"/>
  <c r="S619" i="1" s="1"/>
  <c r="R620" i="1"/>
  <c r="N624" i="1"/>
  <c r="P624" i="1" s="1" a="1"/>
  <c r="P624" i="1" s="1"/>
  <c r="Q622" i="1"/>
  <c r="M624" i="1"/>
  <c r="O624" i="1" s="1"/>
  <c r="S620" i="1" l="1" a="1"/>
  <c r="S620" i="1" s="1"/>
  <c r="R621" i="1"/>
  <c r="M625" i="1"/>
  <c r="O625" i="1" s="1"/>
  <c r="Q623" i="1"/>
  <c r="N625" i="1"/>
  <c r="P625" i="1" s="1" a="1"/>
  <c r="P625" i="1" s="1"/>
  <c r="S621" i="1" l="1" a="1"/>
  <c r="S621" i="1" s="1"/>
  <c r="R622" i="1"/>
  <c r="N626" i="1"/>
  <c r="P626" i="1" s="1" a="1"/>
  <c r="P626" i="1" s="1"/>
  <c r="Q624" i="1"/>
  <c r="M626" i="1"/>
  <c r="O626" i="1" s="1"/>
  <c r="S622" i="1" l="1" a="1"/>
  <c r="S622" i="1" s="1"/>
  <c r="R623" i="1"/>
  <c r="Q625" i="1"/>
  <c r="M627" i="1"/>
  <c r="O627" i="1" s="1"/>
  <c r="N627" i="1"/>
  <c r="P627" i="1" s="1" a="1"/>
  <c r="P627" i="1" s="1"/>
  <c r="S623" i="1" l="1" a="1"/>
  <c r="S623" i="1" s="1"/>
  <c r="R624" i="1"/>
  <c r="N628" i="1"/>
  <c r="P628" i="1" s="1" a="1"/>
  <c r="P628" i="1" s="1"/>
  <c r="M628" i="1"/>
  <c r="O628" i="1" s="1"/>
  <c r="Q626" i="1"/>
  <c r="S624" i="1" l="1" a="1"/>
  <c r="S624" i="1" s="1"/>
  <c r="R625" i="1"/>
  <c r="Q627" i="1"/>
  <c r="M629" i="1"/>
  <c r="O629" i="1" s="1"/>
  <c r="N629" i="1"/>
  <c r="P629" i="1" s="1" a="1"/>
  <c r="P629" i="1" s="1"/>
  <c r="S625" i="1" l="1" a="1"/>
  <c r="S625" i="1" s="1"/>
  <c r="R626" i="1"/>
  <c r="N630" i="1"/>
  <c r="P630" i="1" s="1" a="1"/>
  <c r="P630" i="1" s="1"/>
  <c r="M630" i="1"/>
  <c r="O630" i="1" s="1"/>
  <c r="Q628" i="1"/>
  <c r="S626" i="1" l="1" a="1"/>
  <c r="S626" i="1" s="1"/>
  <c r="R627" i="1"/>
  <c r="M631" i="1"/>
  <c r="O631" i="1" s="1"/>
  <c r="Q629" i="1"/>
  <c r="N631" i="1"/>
  <c r="P631" i="1" s="1" a="1"/>
  <c r="P631" i="1" s="1"/>
  <c r="S627" i="1" l="1" a="1"/>
  <c r="S627" i="1" s="1"/>
  <c r="R628" i="1"/>
  <c r="N632" i="1"/>
  <c r="P632" i="1" s="1" a="1"/>
  <c r="P632" i="1" s="1"/>
  <c r="Q630" i="1"/>
  <c r="M632" i="1"/>
  <c r="O632" i="1" s="1"/>
  <c r="S628" i="1" l="1" a="1"/>
  <c r="S628" i="1" s="1"/>
  <c r="R629" i="1"/>
  <c r="Q631" i="1"/>
  <c r="M633" i="1"/>
  <c r="O633" i="1" s="1"/>
  <c r="N633" i="1"/>
  <c r="P633" i="1" s="1" a="1"/>
  <c r="P633" i="1" s="1"/>
  <c r="S629" i="1" l="1" a="1"/>
  <c r="S629" i="1" s="1"/>
  <c r="R630" i="1"/>
  <c r="N634" i="1"/>
  <c r="P634" i="1" s="1" a="1"/>
  <c r="P634" i="1" s="1"/>
  <c r="M634" i="1"/>
  <c r="O634" i="1" s="1"/>
  <c r="Q632" i="1"/>
  <c r="S630" i="1" l="1" a="1"/>
  <c r="S630" i="1" s="1"/>
  <c r="R631" i="1"/>
  <c r="Q633" i="1"/>
  <c r="M635" i="1"/>
  <c r="O635" i="1" s="1"/>
  <c r="N635" i="1"/>
  <c r="P635" i="1" s="1" a="1"/>
  <c r="P635" i="1" s="1"/>
  <c r="S631" i="1" l="1" a="1"/>
  <c r="S631" i="1" s="1"/>
  <c r="R632" i="1"/>
  <c r="M636" i="1"/>
  <c r="O636" i="1" s="1"/>
  <c r="N636" i="1"/>
  <c r="P636" i="1" s="1" a="1"/>
  <c r="P636" i="1" s="1"/>
  <c r="Q634" i="1"/>
  <c r="S632" i="1" l="1" a="1"/>
  <c r="S632" i="1" s="1"/>
  <c r="R633" i="1"/>
  <c r="N637" i="1"/>
  <c r="P637" i="1" s="1" a="1"/>
  <c r="P637" i="1" s="1"/>
  <c r="Q635" i="1"/>
  <c r="M637" i="1"/>
  <c r="O637" i="1" s="1"/>
  <c r="S633" i="1" l="1" a="1"/>
  <c r="S633" i="1" s="1"/>
  <c r="R634" i="1"/>
  <c r="M638" i="1"/>
  <c r="O638" i="1" s="1"/>
  <c r="Q636" i="1"/>
  <c r="N638" i="1"/>
  <c r="P638" i="1" s="1" a="1"/>
  <c r="P638" i="1" s="1"/>
  <c r="S634" i="1" l="1" a="1"/>
  <c r="S634" i="1" s="1"/>
  <c r="R635" i="1"/>
  <c r="N639" i="1"/>
  <c r="P639" i="1" s="1" a="1"/>
  <c r="P639" i="1" s="1"/>
  <c r="M639" i="1"/>
  <c r="O639" i="1" s="1"/>
  <c r="Q637" i="1"/>
  <c r="S635" i="1" l="1" a="1"/>
  <c r="S635" i="1" s="1"/>
  <c r="R636" i="1"/>
  <c r="Q638" i="1"/>
  <c r="M640" i="1"/>
  <c r="O640" i="1" s="1"/>
  <c r="N640" i="1"/>
  <c r="P640" i="1" s="1" a="1"/>
  <c r="P640" i="1" s="1"/>
  <c r="S636" i="1" l="1" a="1"/>
  <c r="S636" i="1" s="1"/>
  <c r="R637" i="1"/>
  <c r="M641" i="1"/>
  <c r="O641" i="1" s="1"/>
  <c r="N641" i="1"/>
  <c r="P641" i="1" s="1" a="1"/>
  <c r="P641" i="1" s="1"/>
  <c r="Q639" i="1"/>
  <c r="S637" i="1" l="1" a="1"/>
  <c r="S637" i="1" s="1"/>
  <c r="R638" i="1"/>
  <c r="M642" i="1"/>
  <c r="O642" i="1" s="1"/>
  <c r="N642" i="1"/>
  <c r="P642" i="1" s="1" a="1"/>
  <c r="P642" i="1" s="1"/>
  <c r="Q640" i="1"/>
  <c r="S638" i="1" l="1" a="1"/>
  <c r="S638" i="1" s="1"/>
  <c r="R639" i="1"/>
  <c r="N643" i="1"/>
  <c r="P643" i="1" s="1" a="1"/>
  <c r="P643" i="1" s="1"/>
  <c r="Q641" i="1"/>
  <c r="M643" i="1"/>
  <c r="O643" i="1" s="1"/>
  <c r="S639" i="1" l="1" a="1"/>
  <c r="S639" i="1" s="1"/>
  <c r="R640" i="1"/>
  <c r="M644" i="1"/>
  <c r="O644" i="1" s="1"/>
  <c r="Q642" i="1"/>
  <c r="N644" i="1"/>
  <c r="P644" i="1" s="1" a="1"/>
  <c r="P644" i="1" s="1"/>
  <c r="S640" i="1" l="1" a="1"/>
  <c r="S640" i="1" s="1"/>
  <c r="R641" i="1"/>
  <c r="N645" i="1"/>
  <c r="P645" i="1" s="1" a="1"/>
  <c r="P645" i="1" s="1"/>
  <c r="Q643" i="1"/>
  <c r="M645" i="1"/>
  <c r="O645" i="1" s="1"/>
  <c r="S641" i="1" l="1" a="1"/>
  <c r="S641" i="1" s="1"/>
  <c r="R642" i="1"/>
  <c r="M646" i="1"/>
  <c r="O646" i="1" s="1"/>
  <c r="N646" i="1"/>
  <c r="P646" i="1" s="1" a="1"/>
  <c r="P646" i="1" s="1"/>
  <c r="Q644" i="1"/>
  <c r="S642" i="1" l="1" a="1"/>
  <c r="S642" i="1" s="1"/>
  <c r="R643" i="1"/>
  <c r="N647" i="1"/>
  <c r="P647" i="1" s="1" a="1"/>
  <c r="P647" i="1" s="1"/>
  <c r="M647" i="1"/>
  <c r="O647" i="1" s="1"/>
  <c r="Q645" i="1"/>
  <c r="S643" i="1" l="1" a="1"/>
  <c r="S643" i="1" s="1"/>
  <c r="R644" i="1"/>
  <c r="Q646" i="1"/>
  <c r="M648" i="1"/>
  <c r="O648" i="1" s="1"/>
  <c r="N648" i="1"/>
  <c r="P648" i="1" s="1" a="1"/>
  <c r="P648" i="1" s="1"/>
  <c r="S644" i="1" l="1" a="1"/>
  <c r="S644" i="1" s="1"/>
  <c r="R645" i="1"/>
  <c r="N649" i="1"/>
  <c r="P649" i="1" s="1" a="1"/>
  <c r="P649" i="1" s="1"/>
  <c r="M649" i="1"/>
  <c r="O649" i="1" s="1"/>
  <c r="Q647" i="1"/>
  <c r="S645" i="1" l="1" a="1"/>
  <c r="S645" i="1" s="1"/>
  <c r="R646" i="1"/>
  <c r="M650" i="1"/>
  <c r="O650" i="1" s="1"/>
  <c r="N650" i="1"/>
  <c r="P650" i="1" s="1" a="1"/>
  <c r="P650" i="1" s="1"/>
  <c r="Q648" i="1"/>
  <c r="S646" i="1" l="1" a="1"/>
  <c r="S646" i="1" s="1"/>
  <c r="R647" i="1"/>
  <c r="N651" i="1"/>
  <c r="P651" i="1" s="1" a="1"/>
  <c r="P651" i="1" s="1"/>
  <c r="Q649" i="1"/>
  <c r="M651" i="1"/>
  <c r="O651" i="1" s="1"/>
  <c r="S647" i="1" l="1" a="1"/>
  <c r="S647" i="1" s="1"/>
  <c r="R648" i="1"/>
  <c r="M652" i="1"/>
  <c r="O652" i="1" s="1"/>
  <c r="Q650" i="1"/>
  <c r="N652" i="1"/>
  <c r="P652" i="1" s="1" a="1"/>
  <c r="P652" i="1" s="1"/>
  <c r="S648" i="1" l="1" a="1"/>
  <c r="S648" i="1" s="1"/>
  <c r="R649" i="1"/>
  <c r="Q651" i="1"/>
  <c r="N653" i="1"/>
  <c r="P653" i="1" s="1" a="1"/>
  <c r="P653" i="1" s="1"/>
  <c r="M653" i="1"/>
  <c r="O653" i="1" s="1"/>
  <c r="S649" i="1" l="1" a="1"/>
  <c r="S649" i="1" s="1"/>
  <c r="R650" i="1"/>
  <c r="Q652" i="1"/>
  <c r="M654" i="1"/>
  <c r="O654" i="1" s="1"/>
  <c r="N654" i="1"/>
  <c r="P654" i="1" s="1" a="1"/>
  <c r="P654" i="1" s="1"/>
  <c r="S650" i="1" l="1" a="1"/>
  <c r="S650" i="1" s="1"/>
  <c r="R651" i="1"/>
  <c r="N655" i="1"/>
  <c r="P655" i="1" s="1" a="1"/>
  <c r="P655" i="1" s="1"/>
  <c r="M655" i="1"/>
  <c r="O655" i="1" s="1"/>
  <c r="Q653" i="1"/>
  <c r="S651" i="1" l="1" a="1"/>
  <c r="S651" i="1" s="1"/>
  <c r="R652" i="1"/>
  <c r="Q654" i="1"/>
  <c r="M656" i="1"/>
  <c r="O656" i="1" s="1"/>
  <c r="N656" i="1"/>
  <c r="P656" i="1" s="1" a="1"/>
  <c r="P656" i="1" s="1"/>
  <c r="S652" i="1" l="1" a="1"/>
  <c r="S652" i="1" s="1"/>
  <c r="R653" i="1"/>
  <c r="N657" i="1"/>
  <c r="P657" i="1" s="1" a="1"/>
  <c r="P657" i="1" s="1"/>
  <c r="Q655" i="1"/>
  <c r="M657" i="1"/>
  <c r="O657" i="1" s="1"/>
  <c r="S653" i="1" l="1" a="1"/>
  <c r="S653" i="1" s="1"/>
  <c r="R654" i="1"/>
  <c r="M658" i="1"/>
  <c r="O658" i="1" s="1"/>
  <c r="Q656" i="1"/>
  <c r="N658" i="1"/>
  <c r="P658" i="1" s="1" a="1"/>
  <c r="P658" i="1" s="1"/>
  <c r="S654" i="1" l="1" a="1"/>
  <c r="S654" i="1" s="1"/>
  <c r="R655" i="1"/>
  <c r="N659" i="1"/>
  <c r="P659" i="1" s="1" a="1"/>
  <c r="P659" i="1" s="1"/>
  <c r="Q657" i="1"/>
  <c r="M659" i="1"/>
  <c r="O659" i="1" s="1"/>
  <c r="S655" i="1" l="1" a="1"/>
  <c r="S655" i="1" s="1"/>
  <c r="R656" i="1"/>
  <c r="M660" i="1"/>
  <c r="O660" i="1" s="1"/>
  <c r="Q658" i="1"/>
  <c r="N660" i="1"/>
  <c r="P660" i="1" s="1" a="1"/>
  <c r="P660" i="1" s="1"/>
  <c r="S656" i="1" l="1" a="1"/>
  <c r="S656" i="1" s="1"/>
  <c r="R657" i="1"/>
  <c r="N661" i="1"/>
  <c r="P661" i="1" s="1" a="1"/>
  <c r="P661" i="1" s="1"/>
  <c r="M661" i="1"/>
  <c r="O661" i="1" s="1"/>
  <c r="Q659" i="1"/>
  <c r="S657" i="1" l="1" a="1"/>
  <c r="S657" i="1" s="1"/>
  <c r="R658" i="1"/>
  <c r="Q660" i="1"/>
  <c r="M662" i="1"/>
  <c r="O662" i="1" s="1"/>
  <c r="N662" i="1"/>
  <c r="P662" i="1" s="1" a="1"/>
  <c r="P662" i="1" s="1"/>
  <c r="S658" i="1" l="1" a="1"/>
  <c r="S658" i="1" s="1"/>
  <c r="R659" i="1"/>
  <c r="M663" i="1"/>
  <c r="O663" i="1" s="1"/>
  <c r="N663" i="1"/>
  <c r="P663" i="1" s="1" a="1"/>
  <c r="P663" i="1" s="1"/>
  <c r="Q661" i="1"/>
  <c r="S659" i="1" l="1" a="1"/>
  <c r="S659" i="1" s="1"/>
  <c r="R660" i="1"/>
  <c r="N664" i="1"/>
  <c r="P664" i="1" s="1" a="1"/>
  <c r="P664" i="1" s="1"/>
  <c r="Q662" i="1"/>
  <c r="M664" i="1"/>
  <c r="O664" i="1" s="1"/>
  <c r="S660" i="1" l="1" a="1"/>
  <c r="S660" i="1" s="1"/>
  <c r="R661" i="1"/>
  <c r="Q663" i="1"/>
  <c r="M665" i="1"/>
  <c r="O665" i="1" s="1"/>
  <c r="N665" i="1"/>
  <c r="P665" i="1" s="1" a="1"/>
  <c r="P665" i="1" s="1"/>
  <c r="S661" i="1" l="1" a="1"/>
  <c r="S661" i="1" s="1"/>
  <c r="R662" i="1"/>
  <c r="N666" i="1"/>
  <c r="P666" i="1" s="1" a="1"/>
  <c r="P666" i="1" s="1"/>
  <c r="M666" i="1"/>
  <c r="O666" i="1" s="1"/>
  <c r="Q664" i="1"/>
  <c r="S662" i="1" l="1" a="1"/>
  <c r="S662" i="1" s="1"/>
  <c r="R663" i="1"/>
  <c r="Q665" i="1"/>
  <c r="M667" i="1"/>
  <c r="O667" i="1" s="1"/>
  <c r="N667" i="1"/>
  <c r="P667" i="1" s="1" a="1"/>
  <c r="P667" i="1" s="1"/>
  <c r="S663" i="1" l="1" a="1"/>
  <c r="S663" i="1" s="1"/>
  <c r="R664" i="1"/>
  <c r="M668" i="1"/>
  <c r="O668" i="1" s="1"/>
  <c r="N668" i="1"/>
  <c r="P668" i="1" s="1" a="1"/>
  <c r="P668" i="1" s="1"/>
  <c r="Q666" i="1"/>
  <c r="S664" i="1" l="1" a="1"/>
  <c r="S664" i="1" s="1"/>
  <c r="R665" i="1"/>
  <c r="N669" i="1"/>
  <c r="P669" i="1" s="1" a="1"/>
  <c r="P669" i="1" s="1"/>
  <c r="M669" i="1"/>
  <c r="O669" i="1" s="1"/>
  <c r="Q667" i="1"/>
  <c r="S665" i="1" l="1" a="1"/>
  <c r="S665" i="1" s="1"/>
  <c r="R666" i="1"/>
  <c r="Q668" i="1"/>
  <c r="M670" i="1"/>
  <c r="O670" i="1" s="1"/>
  <c r="N670" i="1"/>
  <c r="P670" i="1" s="1" a="1"/>
  <c r="P670" i="1" s="1"/>
  <c r="S666" i="1" l="1" a="1"/>
  <c r="S666" i="1" s="1"/>
  <c r="R667" i="1"/>
  <c r="N671" i="1"/>
  <c r="P671" i="1" s="1" a="1"/>
  <c r="P671" i="1" s="1"/>
  <c r="M671" i="1"/>
  <c r="O671" i="1" s="1"/>
  <c r="Q669" i="1"/>
  <c r="S667" i="1" l="1" a="1"/>
  <c r="S667" i="1" s="1"/>
  <c r="R668" i="1"/>
  <c r="M672" i="1"/>
  <c r="O672" i="1" s="1"/>
  <c r="Q670" i="1"/>
  <c r="N672" i="1"/>
  <c r="P672" i="1" s="1" a="1"/>
  <c r="P672" i="1" s="1"/>
  <c r="S668" i="1" l="1" a="1"/>
  <c r="S668" i="1" s="1"/>
  <c r="R669" i="1"/>
  <c r="N673" i="1"/>
  <c r="P673" i="1" s="1" a="1"/>
  <c r="P673" i="1" s="1"/>
  <c r="Q671" i="1"/>
  <c r="M673" i="1"/>
  <c r="O673" i="1" s="1"/>
  <c r="S669" i="1" l="1" a="1"/>
  <c r="S669" i="1" s="1"/>
  <c r="R670" i="1"/>
  <c r="M674" i="1"/>
  <c r="O674" i="1" s="1"/>
  <c r="Q672" i="1"/>
  <c r="N674" i="1"/>
  <c r="P674" i="1" s="1" a="1"/>
  <c r="P674" i="1" s="1"/>
  <c r="S670" i="1" l="1" a="1"/>
  <c r="S670" i="1" s="1"/>
  <c r="R671" i="1"/>
  <c r="N675" i="1"/>
  <c r="P675" i="1" s="1" a="1"/>
  <c r="P675" i="1" s="1"/>
  <c r="Q673" i="1"/>
  <c r="M675" i="1"/>
  <c r="O675" i="1" s="1"/>
  <c r="S671" i="1" l="1" a="1"/>
  <c r="S671" i="1" s="1"/>
  <c r="R672" i="1"/>
  <c r="M676" i="1"/>
  <c r="O676" i="1" s="1"/>
  <c r="Q674" i="1"/>
  <c r="N676" i="1"/>
  <c r="P676" i="1" s="1" a="1"/>
  <c r="P676" i="1" s="1"/>
  <c r="S672" i="1" l="1" a="1"/>
  <c r="S672" i="1" s="1"/>
  <c r="R673" i="1"/>
  <c r="N677" i="1"/>
  <c r="P677" i="1" s="1" a="1"/>
  <c r="P677" i="1" s="1"/>
  <c r="M677" i="1"/>
  <c r="O677" i="1" s="1"/>
  <c r="Q675" i="1"/>
  <c r="S673" i="1" l="1" a="1"/>
  <c r="S673" i="1" s="1"/>
  <c r="R674" i="1"/>
  <c r="Q676" i="1"/>
  <c r="M678" i="1"/>
  <c r="O678" i="1" s="1"/>
  <c r="N678" i="1"/>
  <c r="P678" i="1" s="1" a="1"/>
  <c r="P678" i="1" s="1"/>
  <c r="S674" i="1" l="1" a="1"/>
  <c r="S674" i="1" s="1"/>
  <c r="R675" i="1"/>
  <c r="N679" i="1"/>
  <c r="P679" i="1" s="1" a="1"/>
  <c r="P679" i="1" s="1"/>
  <c r="M679" i="1"/>
  <c r="O679" i="1" s="1"/>
  <c r="Q677" i="1"/>
  <c r="S675" i="1" l="1" a="1"/>
  <c r="S675" i="1" s="1"/>
  <c r="R676" i="1"/>
  <c r="Q678" i="1"/>
  <c r="M680" i="1"/>
  <c r="O680" i="1" s="1"/>
  <c r="N680" i="1"/>
  <c r="P680" i="1" s="1" a="1"/>
  <c r="P680" i="1" s="1"/>
  <c r="S676" i="1" l="1" a="1"/>
  <c r="S676" i="1" s="1"/>
  <c r="R677" i="1"/>
  <c r="N681" i="1"/>
  <c r="P681" i="1" s="1" a="1"/>
  <c r="P681" i="1" s="1"/>
  <c r="Q679" i="1"/>
  <c r="M681" i="1"/>
  <c r="O681" i="1" s="1"/>
  <c r="S677" i="1" l="1" a="1"/>
  <c r="S677" i="1" s="1"/>
  <c r="R678" i="1"/>
  <c r="M682" i="1"/>
  <c r="O682" i="1" s="1"/>
  <c r="Q680" i="1"/>
  <c r="N682" i="1"/>
  <c r="P682" i="1" s="1" a="1"/>
  <c r="P682" i="1" s="1"/>
  <c r="S678" i="1" l="1" a="1"/>
  <c r="S678" i="1" s="1"/>
  <c r="R679" i="1"/>
  <c r="N683" i="1"/>
  <c r="P683" i="1" s="1" a="1"/>
  <c r="P683" i="1" s="1"/>
  <c r="Q681" i="1"/>
  <c r="M683" i="1"/>
  <c r="O683" i="1" s="1"/>
  <c r="S679" i="1" l="1" a="1"/>
  <c r="S679" i="1" s="1"/>
  <c r="R680" i="1"/>
  <c r="M684" i="1"/>
  <c r="O684" i="1" s="1"/>
  <c r="Q682" i="1"/>
  <c r="N684" i="1"/>
  <c r="P684" i="1" s="1" a="1"/>
  <c r="P684" i="1" s="1"/>
  <c r="S680" i="1" l="1" a="1"/>
  <c r="S680" i="1" s="1"/>
  <c r="R681" i="1"/>
  <c r="N685" i="1"/>
  <c r="P685" i="1" s="1" a="1"/>
  <c r="P685" i="1" s="1"/>
  <c r="M685" i="1"/>
  <c r="O685" i="1" s="1"/>
  <c r="Q683" i="1"/>
  <c r="S681" i="1" l="1" a="1"/>
  <c r="S681" i="1" s="1"/>
  <c r="R682" i="1"/>
  <c r="Q684" i="1"/>
  <c r="N686" i="1"/>
  <c r="P686" i="1" s="1" a="1"/>
  <c r="P686" i="1" s="1"/>
  <c r="M686" i="1"/>
  <c r="O686" i="1" s="1"/>
  <c r="S682" i="1" l="1" a="1"/>
  <c r="S682" i="1" s="1"/>
  <c r="R683" i="1"/>
  <c r="M687" i="1"/>
  <c r="O687" i="1" s="1"/>
  <c r="Q685" i="1"/>
  <c r="N687" i="1"/>
  <c r="P687" i="1" s="1" a="1"/>
  <c r="P687" i="1" s="1"/>
  <c r="S683" i="1" l="1" a="1"/>
  <c r="S683" i="1" s="1"/>
  <c r="R684" i="1"/>
  <c r="N688" i="1"/>
  <c r="P688" i="1" s="1" a="1"/>
  <c r="P688" i="1" s="1"/>
  <c r="Q686" i="1"/>
  <c r="M688" i="1"/>
  <c r="O688" i="1" s="1"/>
  <c r="S684" i="1" l="1" a="1"/>
  <c r="S684" i="1" s="1"/>
  <c r="R685" i="1"/>
  <c r="Q687" i="1"/>
  <c r="M689" i="1"/>
  <c r="O689" i="1" s="1"/>
  <c r="N689" i="1"/>
  <c r="P689" i="1" s="1" a="1"/>
  <c r="P689" i="1" s="1"/>
  <c r="S685" i="1" l="1" a="1"/>
  <c r="S685" i="1" s="1"/>
  <c r="R686" i="1"/>
  <c r="N690" i="1"/>
  <c r="P690" i="1" s="1" a="1"/>
  <c r="P690" i="1" s="1"/>
  <c r="M690" i="1"/>
  <c r="O690" i="1" s="1"/>
  <c r="Q688" i="1"/>
  <c r="S686" i="1" l="1" a="1"/>
  <c r="S686" i="1" s="1"/>
  <c r="R687" i="1"/>
  <c r="Q689" i="1"/>
  <c r="M691" i="1"/>
  <c r="O691" i="1" s="1"/>
  <c r="N691" i="1"/>
  <c r="P691" i="1" s="1" a="1"/>
  <c r="P691" i="1" s="1"/>
  <c r="S687" i="1" l="1" a="1"/>
  <c r="S687" i="1" s="1"/>
  <c r="R688" i="1"/>
  <c r="M692" i="1"/>
  <c r="O692" i="1" s="1"/>
  <c r="N692" i="1"/>
  <c r="P692" i="1" s="1" a="1"/>
  <c r="P692" i="1" s="1"/>
  <c r="Q690" i="1"/>
  <c r="S688" i="1" l="1" a="1"/>
  <c r="S688" i="1" s="1"/>
  <c r="R689" i="1"/>
  <c r="N693" i="1"/>
  <c r="P693" i="1" s="1" a="1"/>
  <c r="P693" i="1" s="1"/>
  <c r="M693" i="1"/>
  <c r="O693" i="1" s="1"/>
  <c r="Q691" i="1"/>
  <c r="S689" i="1" l="1" a="1"/>
  <c r="S689" i="1" s="1"/>
  <c r="R690" i="1"/>
  <c r="Q692" i="1"/>
  <c r="M694" i="1"/>
  <c r="O694" i="1" s="1"/>
  <c r="N694" i="1"/>
  <c r="P694" i="1" s="1" a="1"/>
  <c r="P694" i="1" s="1"/>
  <c r="S690" i="1" l="1" a="1"/>
  <c r="S690" i="1" s="1"/>
  <c r="R691" i="1"/>
  <c r="N695" i="1"/>
  <c r="P695" i="1" s="1" a="1"/>
  <c r="P695" i="1" s="1"/>
  <c r="M695" i="1"/>
  <c r="O695" i="1" s="1"/>
  <c r="Q693" i="1"/>
  <c r="S691" i="1" l="1" a="1"/>
  <c r="S691" i="1" s="1"/>
  <c r="R692" i="1"/>
  <c r="Q694" i="1"/>
  <c r="M696" i="1"/>
  <c r="O696" i="1" s="1"/>
  <c r="N696" i="1"/>
  <c r="P696" i="1" s="1" a="1"/>
  <c r="P696" i="1" s="1"/>
  <c r="S692" i="1" l="1" a="1"/>
  <c r="S692" i="1" s="1"/>
  <c r="R693" i="1"/>
  <c r="N697" i="1"/>
  <c r="P697" i="1" s="1" a="1"/>
  <c r="P697" i="1" s="1"/>
  <c r="Q695" i="1"/>
  <c r="M697" i="1"/>
  <c r="O697" i="1" s="1"/>
  <c r="S693" i="1" l="1" a="1"/>
  <c r="S693" i="1" s="1"/>
  <c r="R694" i="1"/>
  <c r="M698" i="1"/>
  <c r="O698" i="1" s="1"/>
  <c r="Q696" i="1"/>
  <c r="N698" i="1"/>
  <c r="P698" i="1" s="1" a="1"/>
  <c r="P698" i="1" s="1"/>
  <c r="S694" i="1" l="1" a="1"/>
  <c r="S694" i="1" s="1"/>
  <c r="R695" i="1"/>
  <c r="N699" i="1"/>
  <c r="P699" i="1" s="1" a="1"/>
  <c r="P699" i="1" s="1"/>
  <c r="Q697" i="1"/>
  <c r="M699" i="1"/>
  <c r="O699" i="1" s="1"/>
  <c r="S695" i="1" l="1" a="1"/>
  <c r="S695" i="1" s="1"/>
  <c r="R696" i="1"/>
  <c r="M700" i="1"/>
  <c r="O700" i="1" s="1"/>
  <c r="Q698" i="1"/>
  <c r="N700" i="1"/>
  <c r="P700" i="1" s="1" a="1"/>
  <c r="P700" i="1" s="1"/>
  <c r="S696" i="1" l="1" a="1"/>
  <c r="S696" i="1" s="1"/>
  <c r="R697" i="1"/>
  <c r="M701" i="1"/>
  <c r="O701" i="1" s="1"/>
  <c r="Q699" i="1"/>
  <c r="N701" i="1"/>
  <c r="P701" i="1" s="1" a="1"/>
  <c r="P701" i="1" s="1"/>
  <c r="S697" i="1" l="1" a="1"/>
  <c r="S697" i="1" s="1"/>
  <c r="R698" i="1"/>
  <c r="N702" i="1"/>
  <c r="P702" i="1" s="1" a="1"/>
  <c r="P702" i="1" s="1"/>
  <c r="Q700" i="1"/>
  <c r="M702" i="1"/>
  <c r="O702" i="1" s="1"/>
  <c r="S698" i="1" l="1" a="1"/>
  <c r="S698" i="1" s="1"/>
  <c r="R699" i="1"/>
  <c r="Q701" i="1"/>
  <c r="M703" i="1"/>
  <c r="O703" i="1" s="1"/>
  <c r="N703" i="1"/>
  <c r="P703" i="1" s="1" a="1"/>
  <c r="P703" i="1" s="1"/>
  <c r="S699" i="1" l="1" a="1"/>
  <c r="S699" i="1" s="1"/>
  <c r="R700" i="1"/>
  <c r="N704" i="1"/>
  <c r="P704" i="1" s="1" a="1"/>
  <c r="P704" i="1" s="1"/>
  <c r="Q702" i="1"/>
  <c r="M704" i="1"/>
  <c r="O704" i="1" s="1"/>
  <c r="S700" i="1" l="1" a="1"/>
  <c r="S700" i="1" s="1"/>
  <c r="R701" i="1"/>
  <c r="Q703" i="1"/>
  <c r="M705" i="1"/>
  <c r="O705" i="1" s="1"/>
  <c r="N705" i="1"/>
  <c r="P705" i="1" s="1" a="1"/>
  <c r="P705" i="1" s="1"/>
  <c r="S701" i="1" l="1" a="1"/>
  <c r="S701" i="1" s="1"/>
  <c r="R702" i="1"/>
  <c r="N706" i="1"/>
  <c r="P706" i="1" s="1" a="1"/>
  <c r="P706" i="1" s="1"/>
  <c r="M706" i="1"/>
  <c r="O706" i="1" s="1"/>
  <c r="Q704" i="1"/>
  <c r="S702" i="1" l="1" a="1"/>
  <c r="S702" i="1" s="1"/>
  <c r="R703" i="1"/>
  <c r="Q705" i="1"/>
  <c r="M707" i="1"/>
  <c r="O707" i="1" s="1"/>
  <c r="N707" i="1"/>
  <c r="P707" i="1" s="1" a="1"/>
  <c r="P707" i="1" s="1"/>
  <c r="S703" i="1" l="1" a="1"/>
  <c r="S703" i="1" s="1"/>
  <c r="R704" i="1"/>
  <c r="N708" i="1"/>
  <c r="P708" i="1" s="1" a="1"/>
  <c r="P708" i="1" s="1"/>
  <c r="M708" i="1"/>
  <c r="O708" i="1" s="1"/>
  <c r="Q706" i="1"/>
  <c r="S704" i="1" l="1" a="1"/>
  <c r="S704" i="1" s="1"/>
  <c r="R705" i="1"/>
  <c r="Q707" i="1"/>
  <c r="N709" i="1"/>
  <c r="P709" i="1" s="1" a="1"/>
  <c r="P709" i="1" s="1"/>
  <c r="M709" i="1"/>
  <c r="O709" i="1" s="1"/>
  <c r="S705" i="1" l="1" a="1"/>
  <c r="S705" i="1" s="1"/>
  <c r="R706" i="1"/>
  <c r="Q708" i="1"/>
  <c r="M710" i="1"/>
  <c r="O710" i="1" s="1"/>
  <c r="N710" i="1"/>
  <c r="P710" i="1" s="1" a="1"/>
  <c r="P710" i="1" s="1"/>
  <c r="S706" i="1" l="1" a="1"/>
  <c r="S706" i="1" s="1"/>
  <c r="R707" i="1"/>
  <c r="M711" i="1"/>
  <c r="O711" i="1" s="1"/>
  <c r="N711" i="1"/>
  <c r="P711" i="1" s="1" a="1"/>
  <c r="P711" i="1" s="1"/>
  <c r="Q709" i="1"/>
  <c r="S707" i="1" l="1" a="1"/>
  <c r="S707" i="1" s="1"/>
  <c r="R708" i="1"/>
  <c r="N712" i="1"/>
  <c r="P712" i="1" s="1" a="1"/>
  <c r="P712" i="1" s="1"/>
  <c r="Q710" i="1"/>
  <c r="M712" i="1"/>
  <c r="O712" i="1" s="1"/>
  <c r="S708" i="1" l="1" a="1"/>
  <c r="S708" i="1" s="1"/>
  <c r="R709" i="1"/>
  <c r="Q711" i="1"/>
  <c r="M713" i="1"/>
  <c r="O713" i="1" s="1"/>
  <c r="N713" i="1"/>
  <c r="P713" i="1" s="1" a="1"/>
  <c r="P713" i="1" s="1"/>
  <c r="S709" i="1" l="1" a="1"/>
  <c r="S709" i="1" s="1"/>
  <c r="R710" i="1"/>
  <c r="N714" i="1"/>
  <c r="P714" i="1" s="1" a="1"/>
  <c r="P714" i="1" s="1"/>
  <c r="M714" i="1"/>
  <c r="O714" i="1" s="1"/>
  <c r="Q712" i="1"/>
  <c r="S710" i="1" l="1" a="1"/>
  <c r="S710" i="1" s="1"/>
  <c r="R711" i="1"/>
  <c r="Q713" i="1"/>
  <c r="M715" i="1"/>
  <c r="O715" i="1" s="1"/>
  <c r="N715" i="1"/>
  <c r="P715" i="1" s="1" a="1"/>
  <c r="P715" i="1" s="1"/>
  <c r="S711" i="1" l="1" a="1"/>
  <c r="S711" i="1" s="1"/>
  <c r="R712" i="1"/>
  <c r="N716" i="1"/>
  <c r="P716" i="1" s="1" a="1"/>
  <c r="P716" i="1" s="1"/>
  <c r="M716" i="1"/>
  <c r="O716" i="1" s="1"/>
  <c r="Q714" i="1"/>
  <c r="S712" i="1" l="1" a="1"/>
  <c r="S712" i="1" s="1"/>
  <c r="R713" i="1"/>
  <c r="M717" i="1"/>
  <c r="O717" i="1" s="1"/>
  <c r="N717" i="1"/>
  <c r="P717" i="1" s="1" a="1"/>
  <c r="P717" i="1" s="1"/>
  <c r="Q715" i="1"/>
  <c r="S713" i="1" l="1" a="1"/>
  <c r="S713" i="1" s="1"/>
  <c r="R714" i="1"/>
  <c r="N718" i="1"/>
  <c r="P718" i="1" s="1" a="1"/>
  <c r="P718" i="1" s="1"/>
  <c r="Q716" i="1"/>
  <c r="M718" i="1"/>
  <c r="O718" i="1" s="1"/>
  <c r="S714" i="1" l="1" a="1"/>
  <c r="S714" i="1" s="1"/>
  <c r="R715" i="1"/>
  <c r="M719" i="1"/>
  <c r="O719" i="1" s="1"/>
  <c r="N719" i="1"/>
  <c r="P719" i="1" s="1" a="1"/>
  <c r="P719" i="1" s="1"/>
  <c r="Q717" i="1"/>
  <c r="S715" i="1" l="1" a="1"/>
  <c r="S715" i="1" s="1"/>
  <c r="R716" i="1"/>
  <c r="N720" i="1"/>
  <c r="P720" i="1" s="1" a="1"/>
  <c r="P720" i="1" s="1"/>
  <c r="Q718" i="1"/>
  <c r="M720" i="1"/>
  <c r="O720" i="1" s="1"/>
  <c r="S716" i="1" l="1" a="1"/>
  <c r="S716" i="1" s="1"/>
  <c r="R717" i="1"/>
  <c r="M721" i="1"/>
  <c r="O721" i="1" s="1"/>
  <c r="Q719" i="1"/>
  <c r="N721" i="1"/>
  <c r="P721" i="1" s="1" a="1"/>
  <c r="P721" i="1" s="1"/>
  <c r="S717" i="1" l="1" a="1"/>
  <c r="S717" i="1" s="1"/>
  <c r="R718" i="1"/>
  <c r="N722" i="1"/>
  <c r="P722" i="1" s="1" a="1"/>
  <c r="P722" i="1" s="1"/>
  <c r="M722" i="1"/>
  <c r="O722" i="1" s="1"/>
  <c r="Q720" i="1"/>
  <c r="S718" i="1" l="1" a="1"/>
  <c r="S718" i="1" s="1"/>
  <c r="R719" i="1"/>
  <c r="Q721" i="1"/>
  <c r="M723" i="1"/>
  <c r="O723" i="1" s="1"/>
  <c r="N723" i="1"/>
  <c r="P723" i="1" s="1" a="1"/>
  <c r="P723" i="1" s="1"/>
  <c r="S719" i="1" l="1" a="1"/>
  <c r="S719" i="1" s="1"/>
  <c r="R720" i="1"/>
  <c r="N724" i="1"/>
  <c r="P724" i="1" s="1" a="1"/>
  <c r="P724" i="1" s="1"/>
  <c r="M724" i="1"/>
  <c r="O724" i="1" s="1"/>
  <c r="Q722" i="1"/>
  <c r="S720" i="1" l="1" a="1"/>
  <c r="S720" i="1" s="1"/>
  <c r="R721" i="1"/>
  <c r="M725" i="1"/>
  <c r="O725" i="1" s="1"/>
  <c r="Q723" i="1"/>
  <c r="N725" i="1"/>
  <c r="P725" i="1" s="1" a="1"/>
  <c r="P725" i="1" s="1"/>
  <c r="S721" i="1" l="1" a="1"/>
  <c r="S721" i="1" s="1"/>
  <c r="R722" i="1"/>
  <c r="N726" i="1"/>
  <c r="P726" i="1" s="1" a="1"/>
  <c r="P726" i="1" s="1"/>
  <c r="Q724" i="1"/>
  <c r="M726" i="1"/>
  <c r="O726" i="1" s="1"/>
  <c r="S722" i="1" l="1" a="1"/>
  <c r="S722" i="1" s="1"/>
  <c r="R723" i="1"/>
  <c r="M727" i="1"/>
  <c r="O727" i="1" s="1"/>
  <c r="Q725" i="1"/>
  <c r="N727" i="1"/>
  <c r="P727" i="1" s="1" a="1"/>
  <c r="P727" i="1" s="1"/>
  <c r="S723" i="1" l="1" a="1"/>
  <c r="S723" i="1" s="1"/>
  <c r="R724" i="1"/>
  <c r="N728" i="1"/>
  <c r="P728" i="1" s="1" a="1"/>
  <c r="P728" i="1" s="1"/>
  <c r="Q726" i="1"/>
  <c r="M728" i="1"/>
  <c r="O728" i="1" s="1"/>
  <c r="S724" i="1" l="1" a="1"/>
  <c r="S724" i="1" s="1"/>
  <c r="R725" i="1"/>
  <c r="Q727" i="1"/>
  <c r="M729" i="1"/>
  <c r="O729" i="1" s="1"/>
  <c r="N729" i="1"/>
  <c r="P729" i="1" s="1" a="1"/>
  <c r="P729" i="1" s="1"/>
  <c r="S725" i="1" l="1" a="1"/>
  <c r="S725" i="1" s="1"/>
  <c r="R726" i="1"/>
  <c r="M730" i="1"/>
  <c r="O730" i="1" s="1"/>
  <c r="N730" i="1"/>
  <c r="P730" i="1" s="1" a="1"/>
  <c r="P730" i="1" s="1"/>
  <c r="Q728" i="1"/>
  <c r="S726" i="1" l="1" a="1"/>
  <c r="S726" i="1" s="1"/>
  <c r="R727" i="1"/>
  <c r="Q729" i="1"/>
  <c r="N731" i="1"/>
  <c r="P731" i="1" s="1" a="1"/>
  <c r="P731" i="1" s="1"/>
  <c r="M731" i="1"/>
  <c r="O731" i="1" s="1"/>
  <c r="S727" i="1" l="1" a="1"/>
  <c r="S727" i="1" s="1"/>
  <c r="R728" i="1"/>
  <c r="M732" i="1"/>
  <c r="O732" i="1" s="1"/>
  <c r="Q730" i="1"/>
  <c r="N732" i="1"/>
  <c r="P732" i="1" s="1" a="1"/>
  <c r="P732" i="1" s="1"/>
  <c r="S728" i="1" l="1" a="1"/>
  <c r="S728" i="1" s="1"/>
  <c r="R729" i="1"/>
  <c r="M733" i="1"/>
  <c r="O733" i="1" s="1"/>
  <c r="Q731" i="1"/>
  <c r="N733" i="1"/>
  <c r="P733" i="1" s="1" a="1"/>
  <c r="P733" i="1" s="1"/>
  <c r="S729" i="1" l="1" a="1"/>
  <c r="S729" i="1" s="1"/>
  <c r="R730" i="1"/>
  <c r="N734" i="1"/>
  <c r="P734" i="1" s="1" a="1"/>
  <c r="P734" i="1" s="1"/>
  <c r="Q732" i="1"/>
  <c r="M734" i="1"/>
  <c r="O734" i="1" s="1"/>
  <c r="S730" i="1" l="1" a="1"/>
  <c r="S730" i="1" s="1"/>
  <c r="R731" i="1"/>
  <c r="M735" i="1"/>
  <c r="O735" i="1" s="1"/>
  <c r="Q733" i="1"/>
  <c r="N735" i="1"/>
  <c r="P735" i="1" s="1" a="1"/>
  <c r="P735" i="1" s="1"/>
  <c r="S731" i="1" l="1" a="1"/>
  <c r="S731" i="1" s="1"/>
  <c r="R732" i="1"/>
  <c r="N736" i="1"/>
  <c r="P736" i="1" s="1" a="1"/>
  <c r="P736" i="1" s="1"/>
  <c r="Q734" i="1"/>
  <c r="M736" i="1"/>
  <c r="O736" i="1" s="1"/>
  <c r="S732" i="1" l="1" a="1"/>
  <c r="S732" i="1" s="1"/>
  <c r="R733" i="1"/>
  <c r="Q735" i="1"/>
  <c r="M737" i="1"/>
  <c r="O737" i="1" s="1"/>
  <c r="N737" i="1"/>
  <c r="P737" i="1" s="1" a="1"/>
  <c r="P737" i="1" s="1"/>
  <c r="S733" i="1" l="1" a="1"/>
  <c r="S733" i="1" s="1"/>
  <c r="R734" i="1"/>
  <c r="N738" i="1"/>
  <c r="P738" i="1" s="1" a="1"/>
  <c r="P738" i="1" s="1"/>
  <c r="M738" i="1"/>
  <c r="O738" i="1" s="1"/>
  <c r="Q736" i="1"/>
  <c r="S734" i="1" l="1" a="1"/>
  <c r="S734" i="1" s="1"/>
  <c r="R735" i="1"/>
  <c r="Q737" i="1"/>
  <c r="M739" i="1"/>
  <c r="O739" i="1" s="1"/>
  <c r="N739" i="1"/>
  <c r="P739" i="1" s="1" a="1"/>
  <c r="P739" i="1" s="1"/>
  <c r="S735" i="1" l="1" a="1"/>
  <c r="S735" i="1" s="1"/>
  <c r="R736" i="1"/>
  <c r="N740" i="1"/>
  <c r="P740" i="1" s="1" a="1"/>
  <c r="P740" i="1" s="1"/>
  <c r="M740" i="1"/>
  <c r="O740" i="1" s="1"/>
  <c r="Q738" i="1"/>
  <c r="S736" i="1" l="1" a="1"/>
  <c r="S736" i="1" s="1"/>
  <c r="R737" i="1"/>
  <c r="M741" i="1"/>
  <c r="O741" i="1" s="1"/>
  <c r="Q739" i="1"/>
  <c r="N741" i="1"/>
  <c r="P741" i="1" s="1" a="1"/>
  <c r="P741" i="1" s="1"/>
  <c r="S737" i="1" l="1" a="1"/>
  <c r="S737" i="1" s="1"/>
  <c r="R738" i="1"/>
  <c r="N742" i="1"/>
  <c r="P742" i="1" s="1" a="1"/>
  <c r="P742" i="1" s="1"/>
  <c r="M742" i="1"/>
  <c r="O742" i="1" s="1"/>
  <c r="Q740" i="1"/>
  <c r="S738" i="1" l="1" a="1"/>
  <c r="S738" i="1" s="1"/>
  <c r="R739" i="1"/>
  <c r="M743" i="1"/>
  <c r="O743" i="1" s="1"/>
  <c r="Q741" i="1"/>
  <c r="N743" i="1"/>
  <c r="P743" i="1" s="1" a="1"/>
  <c r="P743" i="1" s="1"/>
  <c r="S739" i="1" l="1" a="1"/>
  <c r="S739" i="1" s="1"/>
  <c r="R740" i="1"/>
  <c r="N744" i="1"/>
  <c r="P744" i="1" s="1" a="1"/>
  <c r="P744" i="1" s="1"/>
  <c r="Q742" i="1"/>
  <c r="M744" i="1"/>
  <c r="O744" i="1" s="1"/>
  <c r="S740" i="1" l="1" a="1"/>
  <c r="S740" i="1" s="1"/>
  <c r="R741" i="1"/>
  <c r="Q743" i="1"/>
  <c r="M745" i="1"/>
  <c r="O745" i="1" s="1"/>
  <c r="N745" i="1"/>
  <c r="P745" i="1" s="1" a="1"/>
  <c r="P745" i="1" s="1"/>
  <c r="S741" i="1" l="1" a="1"/>
  <c r="S741" i="1" s="1"/>
  <c r="R742" i="1"/>
  <c r="N746" i="1"/>
  <c r="P746" i="1" s="1" a="1"/>
  <c r="P746" i="1" s="1"/>
  <c r="M746" i="1"/>
  <c r="O746" i="1" s="1"/>
  <c r="Q744" i="1"/>
  <c r="S742" i="1" l="1" a="1"/>
  <c r="S742" i="1" s="1"/>
  <c r="R743" i="1"/>
  <c r="Q745" i="1"/>
  <c r="M747" i="1"/>
  <c r="O747" i="1" s="1"/>
  <c r="N747" i="1"/>
  <c r="P747" i="1" s="1" a="1"/>
  <c r="P747" i="1" s="1"/>
  <c r="S743" i="1" l="1" a="1"/>
  <c r="S743" i="1" s="1"/>
  <c r="R744" i="1"/>
  <c r="N748" i="1"/>
  <c r="P748" i="1" s="1" a="1"/>
  <c r="P748" i="1" s="1"/>
  <c r="M748" i="1"/>
  <c r="O748" i="1" s="1"/>
  <c r="Q746" i="1"/>
  <c r="S744" i="1" l="1" a="1"/>
  <c r="S744" i="1" s="1"/>
  <c r="R745" i="1"/>
  <c r="M749" i="1"/>
  <c r="O749" i="1" s="1"/>
  <c r="Q747" i="1"/>
  <c r="N749" i="1"/>
  <c r="P749" i="1" s="1" a="1"/>
  <c r="P749" i="1" s="1"/>
  <c r="S745" i="1" l="1" a="1"/>
  <c r="S745" i="1" s="1"/>
  <c r="R746" i="1"/>
  <c r="N750" i="1"/>
  <c r="P750" i="1" s="1" a="1"/>
  <c r="P750" i="1" s="1"/>
  <c r="Q748" i="1"/>
  <c r="M750" i="1"/>
  <c r="O750" i="1" s="1"/>
  <c r="S746" i="1" l="1" a="1"/>
  <c r="S746" i="1" s="1"/>
  <c r="R747" i="1"/>
  <c r="M751" i="1"/>
  <c r="O751" i="1" s="1"/>
  <c r="Q749" i="1"/>
  <c r="N751" i="1"/>
  <c r="P751" i="1" s="1" a="1"/>
  <c r="P751" i="1" s="1"/>
  <c r="S747" i="1" l="1" a="1"/>
  <c r="S747" i="1" s="1"/>
  <c r="R748" i="1"/>
  <c r="N752" i="1"/>
  <c r="P752" i="1" s="1" a="1"/>
  <c r="P752" i="1" s="1"/>
  <c r="Q750" i="1"/>
  <c r="M752" i="1"/>
  <c r="O752" i="1" s="1"/>
  <c r="S748" i="1" l="1" a="1"/>
  <c r="S748" i="1" s="1"/>
  <c r="R749" i="1"/>
  <c r="Q751" i="1"/>
  <c r="M753" i="1"/>
  <c r="O753" i="1" s="1"/>
  <c r="N753" i="1"/>
  <c r="P753" i="1" s="1" a="1"/>
  <c r="P753" i="1" s="1"/>
  <c r="S749" i="1" l="1" a="1"/>
  <c r="S749" i="1" s="1"/>
  <c r="R750" i="1"/>
  <c r="N754" i="1"/>
  <c r="P754" i="1" s="1" a="1"/>
  <c r="P754" i="1" s="1"/>
  <c r="M754" i="1"/>
  <c r="O754" i="1" s="1"/>
  <c r="Q752" i="1"/>
  <c r="S750" i="1" l="1" a="1"/>
  <c r="S750" i="1" s="1"/>
  <c r="R751" i="1"/>
  <c r="Q753" i="1"/>
  <c r="M755" i="1"/>
  <c r="O755" i="1" s="1"/>
  <c r="N755" i="1"/>
  <c r="P755" i="1" s="1" a="1"/>
  <c r="P755" i="1" s="1"/>
  <c r="S751" i="1" l="1" a="1"/>
  <c r="S751" i="1" s="1"/>
  <c r="R752" i="1"/>
  <c r="M756" i="1"/>
  <c r="O756" i="1" s="1"/>
  <c r="N756" i="1"/>
  <c r="P756" i="1" s="1" a="1"/>
  <c r="P756" i="1" s="1"/>
  <c r="Q754" i="1"/>
  <c r="S752" i="1" l="1" a="1"/>
  <c r="S752" i="1" s="1"/>
  <c r="R753" i="1"/>
  <c r="N757" i="1"/>
  <c r="P757" i="1" s="1" a="1"/>
  <c r="P757" i="1" s="1"/>
  <c r="M757" i="1"/>
  <c r="O757" i="1" s="1"/>
  <c r="Q755" i="1"/>
  <c r="S753" i="1" l="1" a="1"/>
  <c r="S753" i="1" s="1"/>
  <c r="R754" i="1"/>
  <c r="Q756" i="1"/>
  <c r="M758" i="1"/>
  <c r="O758" i="1" s="1"/>
  <c r="N758" i="1"/>
  <c r="P758" i="1" s="1" a="1"/>
  <c r="P758" i="1" s="1"/>
  <c r="S754" i="1" l="1" a="1"/>
  <c r="S754" i="1" s="1"/>
  <c r="R755" i="1"/>
  <c r="N759" i="1"/>
  <c r="P759" i="1" s="1" a="1"/>
  <c r="P759" i="1" s="1"/>
  <c r="M759" i="1"/>
  <c r="O759" i="1" s="1"/>
  <c r="Q757" i="1"/>
  <c r="S755" i="1" l="1" a="1"/>
  <c r="S755" i="1" s="1"/>
  <c r="R756" i="1"/>
  <c r="Q758" i="1"/>
  <c r="M760" i="1"/>
  <c r="O760" i="1" s="1"/>
  <c r="N760" i="1"/>
  <c r="P760" i="1" s="1" a="1"/>
  <c r="P760" i="1" s="1"/>
  <c r="S756" i="1" l="1" a="1"/>
  <c r="S756" i="1" s="1"/>
  <c r="R757" i="1"/>
  <c r="N761" i="1"/>
  <c r="P761" i="1" s="1" a="1"/>
  <c r="P761" i="1" s="1"/>
  <c r="Q759" i="1"/>
  <c r="M761" i="1"/>
  <c r="O761" i="1" s="1"/>
  <c r="S757" i="1" l="1" a="1"/>
  <c r="S757" i="1" s="1"/>
  <c r="R758" i="1"/>
  <c r="M762" i="1"/>
  <c r="O762" i="1" s="1"/>
  <c r="Q760" i="1"/>
  <c r="N762" i="1"/>
  <c r="P762" i="1" s="1" a="1"/>
  <c r="P762" i="1" s="1"/>
  <c r="S758" i="1" l="1" a="1"/>
  <c r="S758" i="1" s="1"/>
  <c r="R759" i="1"/>
  <c r="N763" i="1"/>
  <c r="P763" i="1" s="1" a="1"/>
  <c r="P763" i="1" s="1"/>
  <c r="M763" i="1"/>
  <c r="O763" i="1" s="1"/>
  <c r="Q761" i="1"/>
  <c r="S759" i="1" l="1" a="1"/>
  <c r="S759" i="1" s="1"/>
  <c r="R760" i="1"/>
  <c r="M764" i="1"/>
  <c r="O764" i="1" s="1"/>
  <c r="Q762" i="1"/>
  <c r="N764" i="1"/>
  <c r="P764" i="1" s="1" a="1"/>
  <c r="P764" i="1" s="1"/>
  <c r="S760" i="1" l="1" a="1"/>
  <c r="S760" i="1" s="1"/>
  <c r="R761" i="1"/>
  <c r="M765" i="1"/>
  <c r="O765" i="1" s="1"/>
  <c r="Q763" i="1"/>
  <c r="N765" i="1"/>
  <c r="P765" i="1" s="1" a="1"/>
  <c r="P765" i="1" s="1"/>
  <c r="S761" i="1" l="1" a="1"/>
  <c r="S761" i="1" s="1"/>
  <c r="R762" i="1"/>
  <c r="N766" i="1"/>
  <c r="P766" i="1" s="1" a="1"/>
  <c r="P766" i="1" s="1"/>
  <c r="Q764" i="1"/>
  <c r="M766" i="1"/>
  <c r="O766" i="1" s="1"/>
  <c r="S762" i="1" l="1" a="1"/>
  <c r="S762" i="1" s="1"/>
  <c r="R763" i="1"/>
  <c r="M767" i="1"/>
  <c r="O767" i="1" s="1"/>
  <c r="Q765" i="1"/>
  <c r="N767" i="1"/>
  <c r="P767" i="1" s="1" a="1"/>
  <c r="P767" i="1" s="1"/>
  <c r="S763" i="1" l="1" a="1"/>
  <c r="S763" i="1" s="1"/>
  <c r="R764" i="1"/>
  <c r="N768" i="1"/>
  <c r="P768" i="1" s="1" a="1"/>
  <c r="P768" i="1" s="1"/>
  <c r="Q766" i="1"/>
  <c r="M768" i="1"/>
  <c r="O768" i="1" s="1"/>
  <c r="S764" i="1" l="1" a="1"/>
  <c r="S764" i="1" s="1"/>
  <c r="R765" i="1"/>
  <c r="Q767" i="1"/>
  <c r="M769" i="1"/>
  <c r="O769" i="1" s="1"/>
  <c r="N769" i="1"/>
  <c r="P769" i="1" s="1" a="1"/>
  <c r="P769" i="1" s="1"/>
  <c r="S765" i="1" l="1" a="1"/>
  <c r="S765" i="1" s="1"/>
  <c r="R766" i="1"/>
  <c r="M770" i="1"/>
  <c r="O770" i="1" s="1"/>
  <c r="N770" i="1"/>
  <c r="P770" i="1" s="1" a="1"/>
  <c r="P770" i="1" s="1"/>
  <c r="Q768" i="1"/>
  <c r="S766" i="1" l="1" a="1"/>
  <c r="S766" i="1" s="1"/>
  <c r="R767" i="1"/>
  <c r="N771" i="1"/>
  <c r="P771" i="1" s="1" a="1"/>
  <c r="P771" i="1" s="1"/>
  <c r="Q769" i="1"/>
  <c r="M771" i="1"/>
  <c r="O771" i="1" s="1"/>
  <c r="S767" i="1" l="1" a="1"/>
  <c r="S767" i="1" s="1"/>
  <c r="R768" i="1"/>
  <c r="M772" i="1"/>
  <c r="O772" i="1" s="1"/>
  <c r="Q770" i="1"/>
  <c r="N772" i="1"/>
  <c r="P772" i="1" s="1" a="1"/>
  <c r="P772" i="1" s="1"/>
  <c r="S768" i="1" l="1" a="1"/>
  <c r="S768" i="1" s="1"/>
  <c r="R769" i="1"/>
  <c r="N773" i="1"/>
  <c r="P773" i="1" s="1" a="1"/>
  <c r="P773" i="1" s="1"/>
  <c r="M773" i="1"/>
  <c r="O773" i="1" s="1"/>
  <c r="Q771" i="1"/>
  <c r="S769" i="1" l="1" a="1"/>
  <c r="S769" i="1" s="1"/>
  <c r="R770" i="1"/>
  <c r="Q772" i="1"/>
  <c r="M774" i="1"/>
  <c r="O774" i="1" s="1"/>
  <c r="N774" i="1"/>
  <c r="P774" i="1" s="1" a="1"/>
  <c r="P774" i="1" s="1"/>
  <c r="S770" i="1" l="1" a="1"/>
  <c r="S770" i="1" s="1"/>
  <c r="R771" i="1"/>
  <c r="N775" i="1"/>
  <c r="P775" i="1" s="1" a="1"/>
  <c r="P775" i="1" s="1"/>
  <c r="M775" i="1"/>
  <c r="O775" i="1" s="1"/>
  <c r="Q773" i="1"/>
  <c r="S771" i="1" l="1" a="1"/>
  <c r="S771" i="1" s="1"/>
  <c r="R772" i="1"/>
  <c r="Q774" i="1"/>
  <c r="M776" i="1"/>
  <c r="O776" i="1" s="1"/>
  <c r="N776" i="1"/>
  <c r="P776" i="1" s="1" a="1"/>
  <c r="P776" i="1" s="1"/>
  <c r="S772" i="1" l="1" a="1"/>
  <c r="S772" i="1" s="1"/>
  <c r="R773" i="1"/>
  <c r="N777" i="1"/>
  <c r="P777" i="1" s="1" a="1"/>
  <c r="P777" i="1" s="1"/>
  <c r="Q775" i="1"/>
  <c r="M777" i="1"/>
  <c r="O777" i="1" s="1"/>
  <c r="S773" i="1" l="1" a="1"/>
  <c r="S773" i="1" s="1"/>
  <c r="R774" i="1"/>
  <c r="Q776" i="1"/>
  <c r="N778" i="1"/>
  <c r="P778" i="1" s="1" a="1"/>
  <c r="P778" i="1" s="1"/>
  <c r="M778" i="1"/>
  <c r="O778" i="1" s="1"/>
  <c r="S774" i="1" l="1" a="1"/>
  <c r="S774" i="1" s="1"/>
  <c r="R775" i="1"/>
  <c r="Q777" i="1"/>
  <c r="M779" i="1"/>
  <c r="O779" i="1" s="1"/>
  <c r="N779" i="1"/>
  <c r="P779" i="1" s="1" a="1"/>
  <c r="P779" i="1" s="1"/>
  <c r="S775" i="1" l="1" a="1"/>
  <c r="S775" i="1" s="1"/>
  <c r="R776" i="1"/>
  <c r="Q778" i="1"/>
  <c r="N780" i="1"/>
  <c r="P780" i="1" s="1" a="1"/>
  <c r="P780" i="1" s="1"/>
  <c r="M780" i="1"/>
  <c r="O780" i="1" s="1"/>
  <c r="S776" i="1" l="1" a="1"/>
  <c r="S776" i="1" s="1"/>
  <c r="R777" i="1"/>
  <c r="Q779" i="1"/>
  <c r="M781" i="1"/>
  <c r="O781" i="1" s="1"/>
  <c r="N781" i="1"/>
  <c r="P781" i="1" s="1" a="1"/>
  <c r="P781" i="1" s="1"/>
  <c r="S777" i="1" l="1" a="1"/>
  <c r="S777" i="1" s="1"/>
  <c r="R778" i="1"/>
  <c r="N782" i="1"/>
  <c r="P782" i="1" s="1" a="1"/>
  <c r="P782" i="1" s="1"/>
  <c r="Q780" i="1"/>
  <c r="M782" i="1"/>
  <c r="O782" i="1" s="1"/>
  <c r="S778" i="1" l="1" a="1"/>
  <c r="S778" i="1" s="1"/>
  <c r="R779" i="1"/>
  <c r="M783" i="1"/>
  <c r="O783" i="1" s="1"/>
  <c r="Q781" i="1"/>
  <c r="N783" i="1"/>
  <c r="P783" i="1" s="1" a="1"/>
  <c r="P783" i="1" s="1"/>
  <c r="S779" i="1" l="1" a="1"/>
  <c r="S779" i="1" s="1"/>
  <c r="R780" i="1"/>
  <c r="N784" i="1"/>
  <c r="P784" i="1" s="1" a="1"/>
  <c r="P784" i="1" s="1"/>
  <c r="Q782" i="1"/>
  <c r="M784" i="1"/>
  <c r="O784" i="1" s="1"/>
  <c r="S780" i="1" l="1" a="1"/>
  <c r="S780" i="1" s="1"/>
  <c r="R781" i="1"/>
  <c r="Q783" i="1"/>
  <c r="M785" i="1"/>
  <c r="O785" i="1" s="1"/>
  <c r="N785" i="1"/>
  <c r="P785" i="1" s="1" a="1"/>
  <c r="P785" i="1" s="1"/>
  <c r="S781" i="1" l="1" a="1"/>
  <c r="S781" i="1" s="1"/>
  <c r="R782" i="1"/>
  <c r="N786" i="1"/>
  <c r="P786" i="1" s="1" a="1"/>
  <c r="P786" i="1" s="1"/>
  <c r="M786" i="1"/>
  <c r="O786" i="1" s="1"/>
  <c r="Q784" i="1"/>
  <c r="S782" i="1" l="1" a="1"/>
  <c r="S782" i="1" s="1"/>
  <c r="R783" i="1"/>
  <c r="Q785" i="1"/>
  <c r="M787" i="1"/>
  <c r="O787" i="1" s="1"/>
  <c r="N787" i="1"/>
  <c r="P787" i="1" s="1" a="1"/>
  <c r="P787" i="1" s="1"/>
  <c r="S783" i="1" l="1" a="1"/>
  <c r="S783" i="1" s="1"/>
  <c r="R784" i="1"/>
  <c r="N788" i="1"/>
  <c r="P788" i="1" s="1" a="1"/>
  <c r="P788" i="1" s="1"/>
  <c r="M788" i="1"/>
  <c r="O788" i="1" s="1"/>
  <c r="Q786" i="1"/>
  <c r="S784" i="1" l="1" a="1"/>
  <c r="S784" i="1" s="1"/>
  <c r="R785" i="1"/>
  <c r="M789" i="1"/>
  <c r="O789" i="1" s="1"/>
  <c r="Q787" i="1"/>
  <c r="N789" i="1"/>
  <c r="P789" i="1" s="1" a="1"/>
  <c r="P789" i="1" s="1"/>
  <c r="S785" i="1" l="1" a="1"/>
  <c r="S785" i="1" s="1"/>
  <c r="R786" i="1"/>
  <c r="Q788" i="1"/>
  <c r="M790" i="1"/>
  <c r="O790" i="1" s="1"/>
  <c r="N790" i="1"/>
  <c r="P790" i="1" s="1" a="1"/>
  <c r="P790" i="1" s="1"/>
  <c r="S786" i="1" l="1" a="1"/>
  <c r="S786" i="1" s="1"/>
  <c r="R787" i="1"/>
  <c r="N791" i="1"/>
  <c r="P791" i="1" s="1" a="1"/>
  <c r="P791" i="1" s="1"/>
  <c r="M791" i="1"/>
  <c r="O791" i="1" s="1"/>
  <c r="Q789" i="1"/>
  <c r="S787" i="1" l="1" a="1"/>
  <c r="S787" i="1" s="1"/>
  <c r="R788" i="1"/>
  <c r="Q790" i="1"/>
  <c r="M792" i="1"/>
  <c r="O792" i="1" s="1"/>
  <c r="N792" i="1"/>
  <c r="P792" i="1" s="1" a="1"/>
  <c r="P792" i="1" s="1"/>
  <c r="S788" i="1" l="1" a="1"/>
  <c r="S788" i="1" s="1"/>
  <c r="R789" i="1"/>
  <c r="N793" i="1"/>
  <c r="P793" i="1" s="1" a="1"/>
  <c r="P793" i="1" s="1"/>
  <c r="Q791" i="1"/>
  <c r="M793" i="1"/>
  <c r="O793" i="1" s="1"/>
  <c r="S789" i="1" l="1" a="1"/>
  <c r="S789" i="1" s="1"/>
  <c r="R790" i="1"/>
  <c r="M794" i="1"/>
  <c r="O794" i="1" s="1"/>
  <c r="Q792" i="1"/>
  <c r="N794" i="1"/>
  <c r="P794" i="1" s="1" a="1"/>
  <c r="P794" i="1" s="1"/>
  <c r="S790" i="1" l="1" a="1"/>
  <c r="S790" i="1" s="1"/>
  <c r="R791" i="1"/>
  <c r="Q793" i="1"/>
  <c r="N795" i="1"/>
  <c r="P795" i="1" s="1" a="1"/>
  <c r="P795" i="1" s="1"/>
  <c r="M795" i="1"/>
  <c r="O795" i="1" s="1"/>
  <c r="S791" i="1" l="1" a="1"/>
  <c r="S791" i="1" s="1"/>
  <c r="R792" i="1"/>
  <c r="M796" i="1"/>
  <c r="O796" i="1" s="1"/>
  <c r="Q794" i="1"/>
  <c r="N796" i="1"/>
  <c r="P796" i="1" s="1" a="1"/>
  <c r="P796" i="1" s="1"/>
  <c r="S792" i="1" l="1" a="1"/>
  <c r="S792" i="1" s="1"/>
  <c r="R793" i="1"/>
  <c r="M797" i="1"/>
  <c r="O797" i="1" s="1"/>
  <c r="Q795" i="1"/>
  <c r="N797" i="1"/>
  <c r="P797" i="1" s="1" a="1"/>
  <c r="P797" i="1" s="1"/>
  <c r="S793" i="1" l="1" a="1"/>
  <c r="S793" i="1" s="1"/>
  <c r="R794" i="1"/>
  <c r="N798" i="1"/>
  <c r="P798" i="1" s="1" a="1"/>
  <c r="P798" i="1" s="1"/>
  <c r="Q796" i="1"/>
  <c r="M798" i="1"/>
  <c r="O798" i="1" s="1"/>
  <c r="S794" i="1" l="1" a="1"/>
  <c r="S794" i="1" s="1"/>
  <c r="R795" i="1"/>
  <c r="M799" i="1"/>
  <c r="O799" i="1" s="1"/>
  <c r="Q797" i="1"/>
  <c r="N799" i="1"/>
  <c r="P799" i="1" s="1" a="1"/>
  <c r="P799" i="1" s="1"/>
  <c r="S795" i="1" l="1" a="1"/>
  <c r="S795" i="1" s="1"/>
  <c r="R796" i="1"/>
  <c r="N800" i="1"/>
  <c r="P800" i="1" s="1" a="1"/>
  <c r="P800" i="1" s="1"/>
  <c r="Q798" i="1"/>
  <c r="M800" i="1"/>
  <c r="O800" i="1" s="1"/>
  <c r="S796" i="1" l="1" a="1"/>
  <c r="S796" i="1" s="1"/>
  <c r="R797" i="1"/>
  <c r="Q799" i="1"/>
  <c r="M801" i="1"/>
  <c r="O801" i="1" s="1"/>
  <c r="N801" i="1"/>
  <c r="P801" i="1" s="1" a="1"/>
  <c r="P801" i="1" s="1"/>
  <c r="S797" i="1" l="1" a="1"/>
  <c r="S797" i="1" s="1"/>
  <c r="R798" i="1"/>
  <c r="N802" i="1"/>
  <c r="P802" i="1" s="1" a="1"/>
  <c r="P802" i="1" s="1"/>
  <c r="M802" i="1"/>
  <c r="O802" i="1" s="1"/>
  <c r="Q800" i="1"/>
  <c r="S798" i="1" l="1" a="1"/>
  <c r="S798" i="1" s="1"/>
  <c r="R799" i="1"/>
  <c r="Q801" i="1"/>
  <c r="M803" i="1"/>
  <c r="O803" i="1" s="1"/>
  <c r="N803" i="1"/>
  <c r="P803" i="1" s="1" a="1"/>
  <c r="P803" i="1" s="1"/>
  <c r="S799" i="1" l="1" a="1"/>
  <c r="S799" i="1" s="1"/>
  <c r="R800" i="1"/>
  <c r="N804" i="1"/>
  <c r="P804" i="1" s="1" a="1"/>
  <c r="P804" i="1" s="1"/>
  <c r="M804" i="1"/>
  <c r="O804" i="1" s="1"/>
  <c r="Q802" i="1"/>
  <c r="S800" i="1" l="1" a="1"/>
  <c r="S800" i="1" s="1"/>
  <c r="R801" i="1"/>
  <c r="M805" i="1"/>
  <c r="O805" i="1" s="1"/>
  <c r="Q803" i="1"/>
  <c r="N805" i="1"/>
  <c r="P805" i="1" s="1" a="1"/>
  <c r="P805" i="1" s="1"/>
  <c r="S801" i="1" l="1" a="1"/>
  <c r="S801" i="1" s="1"/>
  <c r="R802" i="1"/>
  <c r="N806" i="1"/>
  <c r="P806" i="1" s="1" a="1"/>
  <c r="P806" i="1" s="1"/>
  <c r="Q804" i="1"/>
  <c r="M806" i="1"/>
  <c r="O806" i="1" s="1"/>
  <c r="S802" i="1" l="1" a="1"/>
  <c r="S802" i="1" s="1"/>
  <c r="R803" i="1"/>
  <c r="M807" i="1"/>
  <c r="O807" i="1" s="1"/>
  <c r="Q805" i="1"/>
  <c r="N807" i="1"/>
  <c r="P807" i="1" s="1" a="1"/>
  <c r="P807" i="1" s="1"/>
  <c r="S803" i="1" l="1" a="1"/>
  <c r="S803" i="1" s="1"/>
  <c r="R804" i="1"/>
  <c r="N808" i="1"/>
  <c r="P808" i="1" s="1" a="1"/>
  <c r="P808" i="1" s="1"/>
  <c r="Q806" i="1"/>
  <c r="M808" i="1"/>
  <c r="O808" i="1" s="1"/>
  <c r="S804" i="1" l="1" a="1"/>
  <c r="S804" i="1" s="1"/>
  <c r="R805" i="1"/>
  <c r="Q807" i="1"/>
  <c r="M809" i="1"/>
  <c r="O809" i="1" s="1"/>
  <c r="N809" i="1"/>
  <c r="P809" i="1" s="1" a="1"/>
  <c r="P809" i="1" s="1"/>
  <c r="S805" i="1" l="1" a="1"/>
  <c r="S805" i="1" s="1"/>
  <c r="R806" i="1"/>
  <c r="M810" i="1"/>
  <c r="O810" i="1" s="1"/>
  <c r="N810" i="1"/>
  <c r="P810" i="1" s="1" a="1"/>
  <c r="P810" i="1" s="1"/>
  <c r="Q808" i="1"/>
  <c r="S806" i="1" l="1" a="1"/>
  <c r="S806" i="1" s="1"/>
  <c r="R807" i="1"/>
  <c r="N811" i="1"/>
  <c r="P811" i="1" s="1" a="1"/>
  <c r="P811" i="1" s="1"/>
  <c r="Q809" i="1"/>
  <c r="M811" i="1"/>
  <c r="O811" i="1" s="1"/>
  <c r="S807" i="1" l="1" a="1"/>
  <c r="S807" i="1" s="1"/>
  <c r="R808" i="1"/>
  <c r="M812" i="1"/>
  <c r="O812" i="1" s="1"/>
  <c r="Q810" i="1"/>
  <c r="N812" i="1"/>
  <c r="P812" i="1" s="1" a="1"/>
  <c r="P812" i="1" s="1"/>
  <c r="S808" i="1" l="1" a="1"/>
  <c r="S808" i="1" s="1"/>
  <c r="R809" i="1"/>
  <c r="M813" i="1"/>
  <c r="O813" i="1" s="1"/>
  <c r="Q811" i="1"/>
  <c r="N813" i="1"/>
  <c r="P813" i="1" s="1" a="1"/>
  <c r="P813" i="1" s="1"/>
  <c r="S809" i="1" l="1" a="1"/>
  <c r="S809" i="1" s="1"/>
  <c r="R810" i="1"/>
  <c r="N814" i="1"/>
  <c r="P814" i="1" s="1" a="1"/>
  <c r="P814" i="1" s="1"/>
  <c r="Q812" i="1"/>
  <c r="M814" i="1"/>
  <c r="O814" i="1" s="1"/>
  <c r="S810" i="1" l="1" a="1"/>
  <c r="S810" i="1" s="1"/>
  <c r="R811" i="1"/>
  <c r="M815" i="1"/>
  <c r="O815" i="1" s="1"/>
  <c r="Q813" i="1"/>
  <c r="N815" i="1"/>
  <c r="P815" i="1" s="1" a="1"/>
  <c r="P815" i="1" s="1"/>
  <c r="S811" i="1" l="1" a="1"/>
  <c r="S811" i="1" s="1"/>
  <c r="R812" i="1"/>
  <c r="N816" i="1"/>
  <c r="P816" i="1" s="1" a="1"/>
  <c r="P816" i="1" s="1"/>
  <c r="Q814" i="1"/>
  <c r="M816" i="1"/>
  <c r="O816" i="1" s="1"/>
  <c r="S812" i="1" l="1" a="1"/>
  <c r="S812" i="1" s="1"/>
  <c r="R813" i="1"/>
  <c r="Q815" i="1"/>
  <c r="M817" i="1"/>
  <c r="O817" i="1" s="1"/>
  <c r="N817" i="1"/>
  <c r="P817" i="1" s="1" a="1"/>
  <c r="P817" i="1" s="1"/>
  <c r="S813" i="1" l="1" a="1"/>
  <c r="S813" i="1" s="1"/>
  <c r="R814" i="1"/>
  <c r="N818" i="1"/>
  <c r="P818" i="1" s="1" a="1"/>
  <c r="P818" i="1" s="1"/>
  <c r="M818" i="1"/>
  <c r="O818" i="1" s="1"/>
  <c r="Q816" i="1"/>
  <c r="S814" i="1" l="1" a="1"/>
  <c r="S814" i="1" s="1"/>
  <c r="R815" i="1"/>
  <c r="Q817" i="1"/>
  <c r="M819" i="1"/>
  <c r="O819" i="1" s="1"/>
  <c r="N819" i="1"/>
  <c r="P819" i="1" s="1" a="1"/>
  <c r="P819" i="1" s="1"/>
  <c r="S815" i="1" l="1" a="1"/>
  <c r="S815" i="1" s="1"/>
  <c r="R816" i="1"/>
  <c r="N820" i="1"/>
  <c r="P820" i="1" s="1" a="1"/>
  <c r="P820" i="1" s="1"/>
  <c r="M820" i="1"/>
  <c r="O820" i="1" s="1"/>
  <c r="Q818" i="1"/>
  <c r="S816" i="1" l="1" a="1"/>
  <c r="S816" i="1" s="1"/>
  <c r="R817" i="1"/>
  <c r="M821" i="1"/>
  <c r="O821" i="1" s="1"/>
  <c r="Q819" i="1"/>
  <c r="N821" i="1"/>
  <c r="P821" i="1" s="1" a="1"/>
  <c r="P821" i="1" s="1"/>
  <c r="S817" i="1" l="1" a="1"/>
  <c r="S817" i="1" s="1"/>
  <c r="R818" i="1"/>
  <c r="N822" i="1"/>
  <c r="P822" i="1" s="1" a="1"/>
  <c r="P822" i="1" s="1"/>
  <c r="Q820" i="1"/>
  <c r="M822" i="1"/>
  <c r="O822" i="1" s="1"/>
  <c r="S818" i="1" l="1" a="1"/>
  <c r="S818" i="1" s="1"/>
  <c r="R819" i="1"/>
  <c r="M823" i="1"/>
  <c r="O823" i="1" s="1"/>
  <c r="Q821" i="1"/>
  <c r="N823" i="1"/>
  <c r="P823" i="1" s="1" a="1"/>
  <c r="P823" i="1" s="1"/>
  <c r="S819" i="1" l="1" a="1"/>
  <c r="S819" i="1" s="1"/>
  <c r="R820" i="1"/>
  <c r="N824" i="1"/>
  <c r="P824" i="1" s="1" a="1"/>
  <c r="P824" i="1" s="1"/>
  <c r="Q822" i="1"/>
  <c r="M824" i="1"/>
  <c r="O824" i="1" s="1"/>
  <c r="S820" i="1" l="1" a="1"/>
  <c r="S820" i="1" s="1"/>
  <c r="R821" i="1"/>
  <c r="Q823" i="1"/>
  <c r="M825" i="1"/>
  <c r="O825" i="1" s="1"/>
  <c r="N825" i="1"/>
  <c r="P825" i="1" s="1" a="1"/>
  <c r="P825" i="1" s="1"/>
  <c r="S821" i="1" l="1" a="1"/>
  <c r="S821" i="1" s="1"/>
  <c r="R822" i="1"/>
  <c r="N826" i="1"/>
  <c r="P826" i="1" s="1" a="1"/>
  <c r="P826" i="1" s="1"/>
  <c r="M826" i="1"/>
  <c r="O826" i="1" s="1"/>
  <c r="Q824" i="1"/>
  <c r="S822" i="1" l="1" a="1"/>
  <c r="S822" i="1" s="1"/>
  <c r="R823" i="1"/>
  <c r="Q825" i="1"/>
  <c r="M827" i="1"/>
  <c r="O827" i="1" s="1"/>
  <c r="N827" i="1"/>
  <c r="P827" i="1" s="1" a="1"/>
  <c r="P827" i="1" s="1"/>
  <c r="S823" i="1" l="1" a="1"/>
  <c r="S823" i="1" s="1"/>
  <c r="R824" i="1"/>
  <c r="Q826" i="1"/>
  <c r="N828" i="1"/>
  <c r="P828" i="1" s="1" a="1"/>
  <c r="P828" i="1" s="1"/>
  <c r="M828" i="1"/>
  <c r="O828" i="1" s="1"/>
  <c r="S824" i="1" l="1" a="1"/>
  <c r="S824" i="1" s="1"/>
  <c r="R825" i="1"/>
  <c r="M829" i="1"/>
  <c r="O829" i="1" s="1"/>
  <c r="Q827" i="1"/>
  <c r="N829" i="1"/>
  <c r="P829" i="1" s="1" a="1"/>
  <c r="P829" i="1" s="1"/>
  <c r="S825" i="1" l="1" a="1"/>
  <c r="S825" i="1" s="1"/>
  <c r="R826" i="1"/>
  <c r="N830" i="1"/>
  <c r="P830" i="1" s="1" a="1"/>
  <c r="P830" i="1" s="1"/>
  <c r="Q828" i="1"/>
  <c r="M830" i="1"/>
  <c r="O830" i="1" s="1"/>
  <c r="S826" i="1" l="1" a="1"/>
  <c r="S826" i="1" s="1"/>
  <c r="R827" i="1"/>
  <c r="M831" i="1"/>
  <c r="O831" i="1" s="1"/>
  <c r="Q829" i="1"/>
  <c r="N831" i="1"/>
  <c r="P831" i="1" s="1" a="1"/>
  <c r="P831" i="1" s="1"/>
  <c r="S827" i="1" l="1" a="1"/>
  <c r="S827" i="1" s="1"/>
  <c r="R828" i="1"/>
  <c r="N832" i="1"/>
  <c r="P832" i="1" s="1" a="1"/>
  <c r="P832" i="1" s="1"/>
  <c r="Q830" i="1"/>
  <c r="M832" i="1"/>
  <c r="O832" i="1" s="1"/>
  <c r="S828" i="1" l="1" a="1"/>
  <c r="S828" i="1" s="1"/>
  <c r="R829" i="1"/>
  <c r="Q831" i="1"/>
  <c r="M833" i="1"/>
  <c r="O833" i="1" s="1"/>
  <c r="N833" i="1"/>
  <c r="P833" i="1" s="1" a="1"/>
  <c r="P833" i="1" s="1"/>
  <c r="S829" i="1" l="1" a="1"/>
  <c r="S829" i="1" s="1"/>
  <c r="R830" i="1"/>
  <c r="M834" i="1"/>
  <c r="O834" i="1" s="1"/>
  <c r="N834" i="1"/>
  <c r="P834" i="1" s="1" a="1"/>
  <c r="P834" i="1" s="1"/>
  <c r="Q832" i="1"/>
  <c r="S830" i="1" l="1" a="1"/>
  <c r="S830" i="1" s="1"/>
  <c r="R831" i="1"/>
  <c r="N835" i="1"/>
  <c r="P835" i="1" s="1" a="1"/>
  <c r="P835" i="1" s="1"/>
  <c r="Q833" i="1"/>
  <c r="M835" i="1"/>
  <c r="O835" i="1" s="1"/>
  <c r="S831" i="1" l="1" a="1"/>
  <c r="S831" i="1" s="1"/>
  <c r="R832" i="1"/>
  <c r="M836" i="1"/>
  <c r="O836" i="1" s="1"/>
  <c r="N836" i="1"/>
  <c r="P836" i="1" s="1" a="1"/>
  <c r="P836" i="1" s="1"/>
  <c r="Q834" i="1"/>
  <c r="S832" i="1" l="1" a="1"/>
  <c r="S832" i="1" s="1"/>
  <c r="R833" i="1"/>
  <c r="M837" i="1"/>
  <c r="O837" i="1" s="1"/>
  <c r="N837" i="1"/>
  <c r="P837" i="1" s="1" a="1"/>
  <c r="P837" i="1" s="1"/>
  <c r="Q835" i="1"/>
  <c r="S833" i="1" l="1" a="1"/>
  <c r="S833" i="1" s="1"/>
  <c r="R834" i="1"/>
  <c r="N838" i="1"/>
  <c r="P838" i="1" s="1" a="1"/>
  <c r="P838" i="1" s="1"/>
  <c r="Q836" i="1"/>
  <c r="M838" i="1"/>
  <c r="O838" i="1" s="1"/>
  <c r="S834" i="1" l="1" a="1"/>
  <c r="S834" i="1" s="1"/>
  <c r="R835" i="1"/>
  <c r="M839" i="1"/>
  <c r="O839" i="1" s="1"/>
  <c r="Q837" i="1"/>
  <c r="N839" i="1"/>
  <c r="P839" i="1" s="1" a="1"/>
  <c r="P839" i="1" s="1"/>
  <c r="S835" i="1" l="1" a="1"/>
  <c r="S835" i="1" s="1"/>
  <c r="R836" i="1"/>
  <c r="N840" i="1"/>
  <c r="P840" i="1" s="1" a="1"/>
  <c r="P840" i="1" s="1"/>
  <c r="Q838" i="1"/>
  <c r="M840" i="1"/>
  <c r="O840" i="1" s="1"/>
  <c r="S836" i="1" l="1" a="1"/>
  <c r="S836" i="1" s="1"/>
  <c r="R837" i="1"/>
  <c r="Q839" i="1"/>
  <c r="M841" i="1"/>
  <c r="O841" i="1" s="1"/>
  <c r="N841" i="1"/>
  <c r="P841" i="1" s="1" a="1"/>
  <c r="P841" i="1" s="1"/>
  <c r="S837" i="1" l="1" a="1"/>
  <c r="S837" i="1" s="1"/>
  <c r="R838" i="1"/>
  <c r="N842" i="1"/>
  <c r="P842" i="1" s="1" a="1"/>
  <c r="P842" i="1" s="1"/>
  <c r="M842" i="1"/>
  <c r="O842" i="1" s="1"/>
  <c r="Q840" i="1"/>
  <c r="S838" i="1" l="1" a="1"/>
  <c r="S838" i="1" s="1"/>
  <c r="R839" i="1"/>
  <c r="Q841" i="1"/>
  <c r="M843" i="1"/>
  <c r="O843" i="1" s="1"/>
  <c r="N843" i="1"/>
  <c r="P843" i="1" s="1" a="1"/>
  <c r="P843" i="1" s="1"/>
  <c r="S839" i="1" l="1" a="1"/>
  <c r="S839" i="1" s="1"/>
  <c r="R840" i="1"/>
  <c r="N844" i="1"/>
  <c r="P844" i="1" s="1" a="1"/>
  <c r="P844" i="1" s="1"/>
  <c r="M844" i="1"/>
  <c r="O844" i="1" s="1"/>
  <c r="Q842" i="1"/>
  <c r="S840" i="1" l="1" a="1"/>
  <c r="S840" i="1" s="1"/>
  <c r="R841" i="1"/>
  <c r="M845" i="1"/>
  <c r="O845" i="1" s="1"/>
  <c r="Q843" i="1"/>
  <c r="N845" i="1"/>
  <c r="P845" i="1" s="1" a="1"/>
  <c r="P845" i="1" s="1"/>
  <c r="S841" i="1" l="1" a="1"/>
  <c r="S841" i="1" s="1"/>
  <c r="R842" i="1"/>
  <c r="N846" i="1"/>
  <c r="P846" i="1" s="1" a="1"/>
  <c r="P846" i="1" s="1"/>
  <c r="Q844" i="1"/>
  <c r="M846" i="1"/>
  <c r="O846" i="1" s="1"/>
  <c r="S842" i="1" l="1" a="1"/>
  <c r="S842" i="1" s="1"/>
  <c r="R843" i="1"/>
  <c r="N847" i="1"/>
  <c r="P847" i="1" s="1" a="1"/>
  <c r="P847" i="1" s="1"/>
  <c r="Q845" i="1"/>
  <c r="M847" i="1"/>
  <c r="O847" i="1" s="1"/>
  <c r="S843" i="1" l="1" a="1"/>
  <c r="S843" i="1" s="1"/>
  <c r="R844" i="1"/>
  <c r="Q846" i="1"/>
  <c r="M848" i="1"/>
  <c r="O848" i="1" s="1"/>
  <c r="N848" i="1"/>
  <c r="P848" i="1" s="1" a="1"/>
  <c r="P848" i="1" s="1"/>
  <c r="S844" i="1" l="1" a="1"/>
  <c r="S844" i="1" s="1"/>
  <c r="R845" i="1"/>
  <c r="Q847" i="1"/>
  <c r="N849" i="1"/>
  <c r="P849" i="1" s="1" a="1"/>
  <c r="P849" i="1" s="1"/>
  <c r="M849" i="1"/>
  <c r="O849" i="1" s="1"/>
  <c r="S845" i="1" l="1" a="1"/>
  <c r="S845" i="1" s="1"/>
  <c r="R846" i="1"/>
  <c r="M850" i="1"/>
  <c r="O850" i="1" s="1"/>
  <c r="Q848" i="1"/>
  <c r="N850" i="1"/>
  <c r="P850" i="1" s="1" a="1"/>
  <c r="P850" i="1" s="1"/>
  <c r="S846" i="1" l="1" a="1"/>
  <c r="S846" i="1" s="1"/>
  <c r="R847" i="1"/>
  <c r="N851" i="1"/>
  <c r="P851" i="1" s="1" a="1"/>
  <c r="P851" i="1" s="1"/>
  <c r="M851" i="1"/>
  <c r="O851" i="1" s="1"/>
  <c r="Q849" i="1"/>
  <c r="S847" i="1" l="1" a="1"/>
  <c r="S847" i="1" s="1"/>
  <c r="R848" i="1"/>
  <c r="M852" i="1"/>
  <c r="O852" i="1" s="1"/>
  <c r="Q850" i="1"/>
  <c r="N852" i="1"/>
  <c r="P852" i="1" s="1" a="1"/>
  <c r="P852" i="1" s="1"/>
  <c r="S848" i="1" l="1" a="1"/>
  <c r="S848" i="1" s="1"/>
  <c r="R849" i="1"/>
  <c r="Q851" i="1"/>
  <c r="N853" i="1"/>
  <c r="P853" i="1" s="1" a="1"/>
  <c r="P853" i="1" s="1"/>
  <c r="M853" i="1"/>
  <c r="O853" i="1" s="1"/>
  <c r="S849" i="1" l="1" a="1"/>
  <c r="S849" i="1" s="1"/>
  <c r="R850" i="1"/>
  <c r="Q852" i="1"/>
  <c r="M854" i="1"/>
  <c r="O854" i="1" s="1"/>
  <c r="N854" i="1"/>
  <c r="P854" i="1" s="1" a="1"/>
  <c r="P854" i="1" s="1"/>
  <c r="S850" i="1" l="1" a="1"/>
  <c r="S850" i="1" s="1"/>
  <c r="R851" i="1"/>
  <c r="M855" i="1"/>
  <c r="O855" i="1" s="1"/>
  <c r="N855" i="1"/>
  <c r="P855" i="1" s="1" a="1"/>
  <c r="P855" i="1" s="1"/>
  <c r="Q853" i="1"/>
  <c r="S851" i="1" l="1" a="1"/>
  <c r="S851" i="1" s="1"/>
  <c r="R852" i="1"/>
  <c r="N856" i="1"/>
  <c r="P856" i="1" s="1" a="1"/>
  <c r="P856" i="1" s="1"/>
  <c r="Q854" i="1"/>
  <c r="M856" i="1"/>
  <c r="O856" i="1" s="1"/>
  <c r="S852" i="1" l="1" a="1"/>
  <c r="S852" i="1" s="1"/>
  <c r="R853" i="1"/>
  <c r="Q855" i="1"/>
  <c r="M857" i="1"/>
  <c r="O857" i="1" s="1"/>
  <c r="N857" i="1"/>
  <c r="P857" i="1" s="1" a="1"/>
  <c r="P857" i="1" s="1"/>
  <c r="S853" i="1" l="1" a="1"/>
  <c r="S853" i="1" s="1"/>
  <c r="R854" i="1"/>
  <c r="N858" i="1"/>
  <c r="P858" i="1" s="1" a="1"/>
  <c r="P858" i="1" s="1"/>
  <c r="M858" i="1"/>
  <c r="O858" i="1" s="1"/>
  <c r="Q856" i="1"/>
  <c r="S854" i="1" l="1" a="1"/>
  <c r="S854" i="1" s="1"/>
  <c r="R855" i="1"/>
  <c r="Q857" i="1"/>
  <c r="M859" i="1"/>
  <c r="O859" i="1" s="1"/>
  <c r="N859" i="1"/>
  <c r="P859" i="1" s="1" a="1"/>
  <c r="P859" i="1" s="1"/>
  <c r="S855" i="1" l="1" a="1"/>
  <c r="S855" i="1" s="1"/>
  <c r="R856" i="1"/>
  <c r="N860" i="1"/>
  <c r="P860" i="1" s="1" a="1"/>
  <c r="P860" i="1" s="1"/>
  <c r="M860" i="1"/>
  <c r="O860" i="1" s="1"/>
  <c r="Q858" i="1"/>
  <c r="S856" i="1" l="1" a="1"/>
  <c r="S856" i="1" s="1"/>
  <c r="R857" i="1"/>
  <c r="M861" i="1"/>
  <c r="O861" i="1" s="1"/>
  <c r="Q859" i="1"/>
  <c r="N861" i="1"/>
  <c r="P861" i="1" s="1" a="1"/>
  <c r="P861" i="1" s="1"/>
  <c r="S857" i="1" l="1" a="1"/>
  <c r="S857" i="1" s="1"/>
  <c r="R858" i="1"/>
  <c r="N862" i="1"/>
  <c r="P862" i="1" s="1" a="1"/>
  <c r="P862" i="1" s="1"/>
  <c r="Q860" i="1"/>
  <c r="M862" i="1"/>
  <c r="O862" i="1" s="1"/>
  <c r="S858" i="1" l="1" a="1"/>
  <c r="S858" i="1" s="1"/>
  <c r="R859" i="1"/>
  <c r="M863" i="1"/>
  <c r="O863" i="1" s="1"/>
  <c r="Q861" i="1"/>
  <c r="N863" i="1"/>
  <c r="P863" i="1" s="1" a="1"/>
  <c r="P863" i="1" s="1"/>
  <c r="S859" i="1" l="1" a="1"/>
  <c r="S859" i="1" s="1"/>
  <c r="R860" i="1"/>
  <c r="N864" i="1"/>
  <c r="P864" i="1" s="1" a="1"/>
  <c r="P864" i="1" s="1"/>
  <c r="Q862" i="1"/>
  <c r="M864" i="1"/>
  <c r="O864" i="1" s="1"/>
  <c r="S860" i="1" l="1" a="1"/>
  <c r="S860" i="1" s="1"/>
  <c r="R861" i="1"/>
  <c r="Q863" i="1"/>
  <c r="M865" i="1"/>
  <c r="O865" i="1" s="1"/>
  <c r="N865" i="1"/>
  <c r="P865" i="1" s="1" a="1"/>
  <c r="P865" i="1" s="1"/>
  <c r="S861" i="1" l="1" a="1"/>
  <c r="S861" i="1" s="1"/>
  <c r="R862" i="1"/>
  <c r="N866" i="1"/>
  <c r="P866" i="1" s="1" a="1"/>
  <c r="P866" i="1" s="1"/>
  <c r="M866" i="1"/>
  <c r="O866" i="1" s="1"/>
  <c r="Q864" i="1"/>
  <c r="S862" i="1" l="1" a="1"/>
  <c r="S862" i="1" s="1"/>
  <c r="R863" i="1"/>
  <c r="Q865" i="1"/>
  <c r="M867" i="1"/>
  <c r="O867" i="1" s="1"/>
  <c r="N867" i="1"/>
  <c r="P867" i="1" s="1" a="1"/>
  <c r="P867" i="1" s="1"/>
  <c r="S863" i="1" l="1" a="1"/>
  <c r="S863" i="1" s="1"/>
  <c r="R864" i="1"/>
  <c r="N868" i="1"/>
  <c r="P868" i="1" s="1" a="1"/>
  <c r="P868" i="1" s="1"/>
  <c r="M868" i="1"/>
  <c r="O868" i="1" s="1"/>
  <c r="Q866" i="1"/>
  <c r="S864" i="1" l="1" a="1"/>
  <c r="S864" i="1" s="1"/>
  <c r="R865" i="1"/>
  <c r="M869" i="1"/>
  <c r="O869" i="1" s="1"/>
  <c r="Q867" i="1"/>
  <c r="N869" i="1"/>
  <c r="P869" i="1" s="1" a="1"/>
  <c r="P869" i="1" s="1"/>
  <c r="S865" i="1" l="1" a="1"/>
  <c r="S865" i="1" s="1"/>
  <c r="R866" i="1"/>
  <c r="N870" i="1"/>
  <c r="P870" i="1" s="1" a="1"/>
  <c r="P870" i="1" s="1"/>
  <c r="Q868" i="1"/>
  <c r="M870" i="1"/>
  <c r="O870" i="1" s="1"/>
  <c r="S866" i="1" l="1" a="1"/>
  <c r="S866" i="1" s="1"/>
  <c r="R867" i="1"/>
  <c r="M871" i="1"/>
  <c r="O871" i="1" s="1"/>
  <c r="Q869" i="1"/>
  <c r="N871" i="1"/>
  <c r="P871" i="1" s="1" a="1"/>
  <c r="P871" i="1" s="1"/>
  <c r="S867" i="1" l="1" a="1"/>
  <c r="S867" i="1" s="1"/>
  <c r="R868" i="1"/>
  <c r="N872" i="1"/>
  <c r="P872" i="1" s="1" a="1"/>
  <c r="P872" i="1" s="1"/>
  <c r="Q870" i="1"/>
  <c r="M872" i="1"/>
  <c r="O872" i="1" s="1"/>
  <c r="S868" i="1" l="1" a="1"/>
  <c r="S868" i="1" s="1"/>
  <c r="R869" i="1"/>
  <c r="Q871" i="1"/>
  <c r="M873" i="1"/>
  <c r="O873" i="1" s="1"/>
  <c r="N873" i="1"/>
  <c r="P873" i="1" s="1" a="1"/>
  <c r="P873" i="1" s="1"/>
  <c r="S869" i="1" l="1" a="1"/>
  <c r="S869" i="1" s="1"/>
  <c r="R870" i="1"/>
  <c r="N874" i="1"/>
  <c r="P874" i="1" s="1" a="1"/>
  <c r="P874" i="1" s="1"/>
  <c r="M874" i="1"/>
  <c r="O874" i="1" s="1"/>
  <c r="Q872" i="1"/>
  <c r="S870" i="1" l="1" a="1"/>
  <c r="S870" i="1" s="1"/>
  <c r="R871" i="1"/>
  <c r="Q873" i="1"/>
  <c r="M875" i="1"/>
  <c r="O875" i="1" s="1"/>
  <c r="N875" i="1"/>
  <c r="P875" i="1" s="1" a="1"/>
  <c r="P875" i="1" s="1"/>
  <c r="S871" i="1" l="1" a="1"/>
  <c r="S871" i="1" s="1"/>
  <c r="R872" i="1"/>
  <c r="N876" i="1"/>
  <c r="P876" i="1" s="1" a="1"/>
  <c r="P876" i="1" s="1"/>
  <c r="M876" i="1"/>
  <c r="O876" i="1" s="1"/>
  <c r="Q874" i="1"/>
  <c r="S872" i="1" l="1" a="1"/>
  <c r="S872" i="1" s="1"/>
  <c r="R873" i="1"/>
  <c r="M877" i="1"/>
  <c r="O877" i="1" s="1"/>
  <c r="N877" i="1"/>
  <c r="P877" i="1" s="1" a="1"/>
  <c r="P877" i="1" s="1"/>
  <c r="Q875" i="1"/>
  <c r="S873" i="1" l="1" a="1"/>
  <c r="S873" i="1" s="1"/>
  <c r="R874" i="1"/>
  <c r="M878" i="1"/>
  <c r="O878" i="1" s="1"/>
  <c r="N878" i="1"/>
  <c r="P878" i="1" s="1" a="1"/>
  <c r="P878" i="1" s="1"/>
  <c r="Q876" i="1"/>
  <c r="S874" i="1" l="1" a="1"/>
  <c r="S874" i="1" s="1"/>
  <c r="R875" i="1"/>
  <c r="N879" i="1"/>
  <c r="P879" i="1" s="1" a="1"/>
  <c r="P879" i="1" s="1"/>
  <c r="Q877" i="1"/>
  <c r="M879" i="1"/>
  <c r="O879" i="1" s="1"/>
  <c r="S875" i="1" l="1" a="1"/>
  <c r="S875" i="1" s="1"/>
  <c r="R876" i="1"/>
  <c r="Q878" i="1"/>
  <c r="M880" i="1"/>
  <c r="O880" i="1" s="1"/>
  <c r="N880" i="1"/>
  <c r="P880" i="1" s="1" a="1"/>
  <c r="P880" i="1" s="1"/>
  <c r="S876" i="1" l="1" a="1"/>
  <c r="S876" i="1" s="1"/>
  <c r="R877" i="1"/>
  <c r="N881" i="1"/>
  <c r="P881" i="1" s="1" a="1"/>
  <c r="P881" i="1" s="1"/>
  <c r="Q879" i="1"/>
  <c r="M881" i="1"/>
  <c r="O881" i="1" s="1"/>
  <c r="S877" i="1" l="1" a="1"/>
  <c r="S877" i="1" s="1"/>
  <c r="R878" i="1"/>
  <c r="M882" i="1"/>
  <c r="O882" i="1" s="1"/>
  <c r="Q880" i="1"/>
  <c r="N882" i="1"/>
  <c r="P882" i="1" s="1" a="1"/>
  <c r="P882" i="1" s="1"/>
  <c r="S878" i="1" l="1" a="1"/>
  <c r="S878" i="1" s="1"/>
  <c r="R879" i="1"/>
  <c r="N883" i="1"/>
  <c r="P883" i="1" s="1" a="1"/>
  <c r="P883" i="1" s="1"/>
  <c r="Q881" i="1"/>
  <c r="M883" i="1"/>
  <c r="O883" i="1" s="1"/>
  <c r="S879" i="1" l="1" a="1"/>
  <c r="S879" i="1" s="1"/>
  <c r="R880" i="1"/>
  <c r="M884" i="1"/>
  <c r="O884" i="1" s="1"/>
  <c r="Q882" i="1"/>
  <c r="N884" i="1"/>
  <c r="P884" i="1" s="1" a="1"/>
  <c r="P884" i="1" s="1"/>
  <c r="S880" i="1" l="1" a="1"/>
  <c r="S880" i="1" s="1"/>
  <c r="R881" i="1"/>
  <c r="N885" i="1"/>
  <c r="P885" i="1" s="1" a="1"/>
  <c r="P885" i="1" s="1"/>
  <c r="M885" i="1"/>
  <c r="O885" i="1" s="1"/>
  <c r="Q883" i="1"/>
  <c r="S881" i="1" l="1" a="1"/>
  <c r="S881" i="1" s="1"/>
  <c r="R882" i="1"/>
  <c r="Q884" i="1"/>
  <c r="M886" i="1"/>
  <c r="O886" i="1" s="1"/>
  <c r="N886" i="1"/>
  <c r="P886" i="1" s="1" a="1"/>
  <c r="P886" i="1" s="1"/>
  <c r="S882" i="1" l="1" a="1"/>
  <c r="S882" i="1" s="1"/>
  <c r="R883" i="1"/>
  <c r="N887" i="1"/>
  <c r="P887" i="1" s="1" a="1"/>
  <c r="P887" i="1" s="1"/>
  <c r="M887" i="1"/>
  <c r="O887" i="1" s="1"/>
  <c r="Q885" i="1"/>
  <c r="S883" i="1" l="1" a="1"/>
  <c r="S883" i="1" s="1"/>
  <c r="R884" i="1"/>
  <c r="Q886" i="1"/>
  <c r="M888" i="1"/>
  <c r="O888" i="1" s="1"/>
  <c r="N888" i="1"/>
  <c r="P888" i="1" s="1" a="1"/>
  <c r="P888" i="1" s="1"/>
  <c r="S884" i="1" l="1" a="1"/>
  <c r="S884" i="1" s="1"/>
  <c r="R885" i="1"/>
  <c r="N889" i="1"/>
  <c r="P889" i="1" s="1" a="1"/>
  <c r="P889" i="1" s="1"/>
  <c r="Q887" i="1"/>
  <c r="M889" i="1"/>
  <c r="O889" i="1" s="1"/>
  <c r="S885" i="1" l="1" a="1"/>
  <c r="S885" i="1" s="1"/>
  <c r="R886" i="1"/>
  <c r="M890" i="1"/>
  <c r="O890" i="1" s="1"/>
  <c r="Q888" i="1"/>
  <c r="N890" i="1"/>
  <c r="P890" i="1" s="1" a="1"/>
  <c r="P890" i="1" s="1"/>
  <c r="S886" i="1" l="1" a="1"/>
  <c r="S886" i="1" s="1"/>
  <c r="R887" i="1"/>
  <c r="N891" i="1"/>
  <c r="P891" i="1" s="1" a="1"/>
  <c r="P891" i="1" s="1"/>
  <c r="Q889" i="1"/>
  <c r="M891" i="1"/>
  <c r="O891" i="1" s="1"/>
  <c r="S887" i="1" l="1" a="1"/>
  <c r="S887" i="1" s="1"/>
  <c r="R888" i="1"/>
  <c r="M892" i="1"/>
  <c r="O892" i="1" s="1"/>
  <c r="N892" i="1"/>
  <c r="P892" i="1" s="1" a="1"/>
  <c r="P892" i="1" s="1"/>
  <c r="Q890" i="1"/>
  <c r="S888" i="1" l="1" a="1"/>
  <c r="S888" i="1" s="1"/>
  <c r="R889" i="1"/>
  <c r="N893" i="1"/>
  <c r="P893" i="1" s="1" a="1"/>
  <c r="P893" i="1" s="1"/>
  <c r="M893" i="1"/>
  <c r="O893" i="1" s="1"/>
  <c r="Q891" i="1"/>
  <c r="S889" i="1" l="1" a="1"/>
  <c r="S889" i="1" s="1"/>
  <c r="R890" i="1"/>
  <c r="Q892" i="1"/>
  <c r="M894" i="1"/>
  <c r="O894" i="1" s="1"/>
  <c r="N894" i="1"/>
  <c r="P894" i="1" s="1" a="1"/>
  <c r="P894" i="1" s="1"/>
  <c r="S890" i="1" l="1" a="1"/>
  <c r="S890" i="1" s="1"/>
  <c r="R891" i="1"/>
  <c r="N895" i="1"/>
  <c r="P895" i="1" s="1" a="1"/>
  <c r="P895" i="1" s="1"/>
  <c r="M895" i="1"/>
  <c r="O895" i="1" s="1"/>
  <c r="Q893" i="1"/>
  <c r="S891" i="1" l="1" a="1"/>
  <c r="S891" i="1" s="1"/>
  <c r="R892" i="1"/>
  <c r="Q894" i="1"/>
  <c r="M896" i="1"/>
  <c r="O896" i="1" s="1"/>
  <c r="N896" i="1"/>
  <c r="P896" i="1" s="1" a="1"/>
  <c r="P896" i="1" s="1"/>
  <c r="S892" i="1" l="1" a="1"/>
  <c r="S892" i="1" s="1"/>
  <c r="R893" i="1"/>
  <c r="N897" i="1"/>
  <c r="P897" i="1" s="1" a="1"/>
  <c r="P897" i="1" s="1"/>
  <c r="Q895" i="1"/>
  <c r="M897" i="1"/>
  <c r="O897" i="1" s="1"/>
  <c r="S893" i="1" l="1" a="1"/>
  <c r="S893" i="1" s="1"/>
  <c r="R894" i="1"/>
  <c r="M898" i="1"/>
  <c r="O898" i="1" s="1"/>
  <c r="Q896" i="1"/>
  <c r="N898" i="1"/>
  <c r="P898" i="1" s="1" a="1"/>
  <c r="P898" i="1" s="1"/>
  <c r="S894" i="1" l="1" a="1"/>
  <c r="S894" i="1" s="1"/>
  <c r="R895" i="1"/>
  <c r="N899" i="1"/>
  <c r="P899" i="1" s="1" a="1"/>
  <c r="P899" i="1" s="1"/>
  <c r="Q897" i="1"/>
  <c r="M899" i="1"/>
  <c r="O899" i="1" s="1"/>
  <c r="S895" i="1" l="1" a="1"/>
  <c r="S895" i="1" s="1"/>
  <c r="R896" i="1"/>
  <c r="M900" i="1"/>
  <c r="O900" i="1" s="1"/>
  <c r="Q898" i="1"/>
  <c r="N900" i="1"/>
  <c r="P900" i="1" s="1" a="1"/>
  <c r="P900" i="1" s="1"/>
  <c r="S896" i="1" l="1" a="1"/>
  <c r="S896" i="1" s="1"/>
  <c r="R897" i="1"/>
  <c r="N901" i="1"/>
  <c r="P901" i="1" s="1" a="1"/>
  <c r="P901" i="1" s="1"/>
  <c r="M901" i="1"/>
  <c r="O901" i="1" s="1"/>
  <c r="Q899" i="1"/>
  <c r="S897" i="1" l="1" a="1"/>
  <c r="S897" i="1" s="1"/>
  <c r="R898" i="1"/>
  <c r="Q900" i="1"/>
  <c r="M902" i="1"/>
  <c r="O902" i="1" s="1"/>
  <c r="N902" i="1"/>
  <c r="P902" i="1" s="1" a="1"/>
  <c r="P902" i="1" s="1"/>
  <c r="S898" i="1" l="1" a="1"/>
  <c r="S898" i="1" s="1"/>
  <c r="R899" i="1"/>
  <c r="N903" i="1"/>
  <c r="P903" i="1" s="1" a="1"/>
  <c r="P903" i="1" s="1"/>
  <c r="M903" i="1"/>
  <c r="O903" i="1" s="1"/>
  <c r="Q901" i="1"/>
  <c r="S899" i="1" l="1" a="1"/>
  <c r="S899" i="1" s="1"/>
  <c r="R900" i="1"/>
  <c r="Q902" i="1"/>
  <c r="M904" i="1"/>
  <c r="O904" i="1" s="1"/>
  <c r="N904" i="1"/>
  <c r="P904" i="1" s="1" a="1"/>
  <c r="P904" i="1" s="1"/>
  <c r="S900" i="1" l="1" a="1"/>
  <c r="S900" i="1" s="1"/>
  <c r="R901" i="1"/>
  <c r="N905" i="1"/>
  <c r="P905" i="1" s="1" a="1"/>
  <c r="P905" i="1" s="1"/>
  <c r="Q903" i="1"/>
  <c r="M905" i="1"/>
  <c r="O905" i="1" s="1"/>
  <c r="S901" i="1" l="1" a="1"/>
  <c r="S901" i="1" s="1"/>
  <c r="R902" i="1"/>
  <c r="M906" i="1"/>
  <c r="O906" i="1" s="1"/>
  <c r="Q904" i="1"/>
  <c r="N906" i="1"/>
  <c r="P906" i="1" s="1" a="1"/>
  <c r="P906" i="1" s="1"/>
  <c r="S902" i="1" l="1" a="1"/>
  <c r="S902" i="1" s="1"/>
  <c r="R903" i="1"/>
  <c r="Q905" i="1"/>
  <c r="M907" i="1"/>
  <c r="O907" i="1" s="1"/>
  <c r="N907" i="1"/>
  <c r="P907" i="1" s="1" a="1"/>
  <c r="P907" i="1" s="1"/>
  <c r="S903" i="1" l="1" a="1"/>
  <c r="S903" i="1" s="1"/>
  <c r="R904" i="1"/>
  <c r="N908" i="1"/>
  <c r="P908" i="1" s="1" a="1"/>
  <c r="P908" i="1" s="1"/>
  <c r="M908" i="1"/>
  <c r="O908" i="1" s="1"/>
  <c r="Q906" i="1"/>
  <c r="S904" i="1" l="1" a="1"/>
  <c r="S904" i="1" s="1"/>
  <c r="R905" i="1"/>
  <c r="M909" i="1"/>
  <c r="O909" i="1" s="1"/>
  <c r="Q907" i="1"/>
  <c r="N909" i="1"/>
  <c r="P909" i="1" s="1" a="1"/>
  <c r="P909" i="1" s="1"/>
  <c r="S905" i="1" l="1" a="1"/>
  <c r="S905" i="1" s="1"/>
  <c r="R906" i="1"/>
  <c r="N910" i="1"/>
  <c r="P910" i="1" s="1" a="1"/>
  <c r="P910" i="1" s="1"/>
  <c r="Q908" i="1"/>
  <c r="M910" i="1"/>
  <c r="O910" i="1" s="1"/>
  <c r="S906" i="1" l="1" a="1"/>
  <c r="S906" i="1" s="1"/>
  <c r="R907" i="1"/>
  <c r="M911" i="1"/>
  <c r="O911" i="1" s="1"/>
  <c r="Q909" i="1"/>
  <c r="N911" i="1"/>
  <c r="P911" i="1" s="1" a="1"/>
  <c r="P911" i="1" s="1"/>
  <c r="S907" i="1" l="1" a="1"/>
  <c r="S907" i="1" s="1"/>
  <c r="R908" i="1"/>
  <c r="N912" i="1"/>
  <c r="P912" i="1" s="1" a="1"/>
  <c r="P912" i="1" s="1"/>
  <c r="Q910" i="1"/>
  <c r="M912" i="1"/>
  <c r="O912" i="1" s="1"/>
  <c r="S908" i="1" l="1" a="1"/>
  <c r="S908" i="1" s="1"/>
  <c r="R909" i="1"/>
  <c r="Q911" i="1"/>
  <c r="M913" i="1"/>
  <c r="O913" i="1" s="1"/>
  <c r="N913" i="1"/>
  <c r="P913" i="1" s="1" a="1"/>
  <c r="P913" i="1" s="1"/>
  <c r="S909" i="1" l="1" a="1"/>
  <c r="S909" i="1" s="1"/>
  <c r="R910" i="1"/>
  <c r="N914" i="1"/>
  <c r="P914" i="1" s="1" a="1"/>
  <c r="P914" i="1" s="1"/>
  <c r="M914" i="1"/>
  <c r="O914" i="1" s="1"/>
  <c r="Q912" i="1"/>
  <c r="S910" i="1" l="1" a="1"/>
  <c r="S910" i="1" s="1"/>
  <c r="R911" i="1"/>
  <c r="Q913" i="1"/>
  <c r="M915" i="1"/>
  <c r="O915" i="1" s="1"/>
  <c r="N915" i="1"/>
  <c r="P915" i="1" s="1" a="1"/>
  <c r="P915" i="1" s="1"/>
  <c r="S911" i="1" l="1" a="1"/>
  <c r="S911" i="1" s="1"/>
  <c r="R912" i="1"/>
  <c r="N916" i="1"/>
  <c r="P916" i="1" s="1" a="1"/>
  <c r="P916" i="1" s="1"/>
  <c r="M916" i="1"/>
  <c r="O916" i="1" s="1"/>
  <c r="Q914" i="1"/>
  <c r="S912" i="1" l="1" a="1"/>
  <c r="S912" i="1" s="1"/>
  <c r="R913" i="1"/>
  <c r="M917" i="1"/>
  <c r="O917" i="1" s="1"/>
  <c r="Q915" i="1"/>
  <c r="N917" i="1"/>
  <c r="P917" i="1" s="1" a="1"/>
  <c r="P917" i="1" s="1"/>
  <c r="S913" i="1" l="1" a="1"/>
  <c r="S913" i="1" s="1"/>
  <c r="R914" i="1"/>
  <c r="N918" i="1"/>
  <c r="P918" i="1" s="1" a="1"/>
  <c r="P918" i="1" s="1"/>
  <c r="Q916" i="1"/>
  <c r="M918" i="1"/>
  <c r="O918" i="1" s="1"/>
  <c r="S914" i="1" l="1" a="1"/>
  <c r="S914" i="1" s="1"/>
  <c r="R915" i="1"/>
  <c r="M919" i="1"/>
  <c r="O919" i="1" s="1"/>
  <c r="Q917" i="1"/>
  <c r="N919" i="1"/>
  <c r="P919" i="1" s="1" a="1"/>
  <c r="P919" i="1" s="1"/>
  <c r="S915" i="1" l="1" a="1"/>
  <c r="S915" i="1" s="1"/>
  <c r="R916" i="1"/>
  <c r="N920" i="1"/>
  <c r="P920" i="1" s="1" a="1"/>
  <c r="P920" i="1" s="1"/>
  <c r="Q918" i="1"/>
  <c r="M920" i="1"/>
  <c r="O920" i="1" s="1"/>
  <c r="S916" i="1" l="1" a="1"/>
  <c r="S916" i="1" s="1"/>
  <c r="R917" i="1"/>
  <c r="Q919" i="1"/>
  <c r="M921" i="1"/>
  <c r="O921" i="1" s="1"/>
  <c r="N921" i="1"/>
  <c r="P921" i="1" s="1" a="1"/>
  <c r="P921" i="1" s="1"/>
  <c r="S917" i="1" l="1" a="1"/>
  <c r="S917" i="1" s="1"/>
  <c r="R918" i="1"/>
  <c r="N922" i="1"/>
  <c r="P922" i="1" s="1" a="1"/>
  <c r="P922" i="1" s="1"/>
  <c r="M922" i="1"/>
  <c r="O922" i="1" s="1"/>
  <c r="Q920" i="1"/>
  <c r="S918" i="1" l="1" a="1"/>
  <c r="S918" i="1" s="1"/>
  <c r="R919" i="1"/>
  <c r="Q921" i="1"/>
  <c r="M923" i="1"/>
  <c r="O923" i="1" s="1"/>
  <c r="N923" i="1"/>
  <c r="P923" i="1" s="1" a="1"/>
  <c r="P923" i="1" s="1"/>
  <c r="S919" i="1" l="1" a="1"/>
  <c r="S919" i="1" s="1"/>
  <c r="R920" i="1"/>
  <c r="Q922" i="1"/>
  <c r="N924" i="1"/>
  <c r="P924" i="1" s="1" a="1"/>
  <c r="P924" i="1" s="1"/>
  <c r="M924" i="1"/>
  <c r="O924" i="1" s="1"/>
  <c r="S920" i="1" l="1" a="1"/>
  <c r="S920" i="1" s="1"/>
  <c r="R921" i="1"/>
  <c r="Q923" i="1"/>
  <c r="M925" i="1"/>
  <c r="O925" i="1" s="1"/>
  <c r="N925" i="1"/>
  <c r="P925" i="1" s="1" a="1"/>
  <c r="P925" i="1" s="1"/>
  <c r="S921" i="1" l="1" a="1"/>
  <c r="S921" i="1" s="1"/>
  <c r="R922" i="1"/>
  <c r="N926" i="1"/>
  <c r="P926" i="1" s="1" a="1"/>
  <c r="P926" i="1" s="1"/>
  <c r="Q924" i="1"/>
  <c r="M926" i="1"/>
  <c r="O926" i="1" s="1"/>
  <c r="S922" i="1" l="1" a="1"/>
  <c r="S922" i="1" s="1"/>
  <c r="R923" i="1"/>
  <c r="Q925" i="1"/>
  <c r="M927" i="1"/>
  <c r="O927" i="1" s="1"/>
  <c r="N927" i="1"/>
  <c r="P927" i="1" s="1" a="1"/>
  <c r="P927" i="1" s="1"/>
  <c r="S923" i="1" l="1" a="1"/>
  <c r="S923" i="1" s="1"/>
  <c r="R924" i="1"/>
  <c r="N928" i="1"/>
  <c r="P928" i="1" s="1" a="1"/>
  <c r="P928" i="1" s="1"/>
  <c r="Q926" i="1"/>
  <c r="M928" i="1"/>
  <c r="O928" i="1" s="1"/>
  <c r="S924" i="1" l="1" a="1"/>
  <c r="S924" i="1" s="1"/>
  <c r="R925" i="1"/>
  <c r="Q927" i="1"/>
  <c r="M929" i="1"/>
  <c r="O929" i="1" s="1"/>
  <c r="N929" i="1"/>
  <c r="P929" i="1" s="1" a="1"/>
  <c r="P929" i="1" s="1"/>
  <c r="S925" i="1" l="1" a="1"/>
  <c r="S925" i="1" s="1"/>
  <c r="R926" i="1"/>
  <c r="N930" i="1"/>
  <c r="P930" i="1" s="1" a="1"/>
  <c r="P930" i="1" s="1"/>
  <c r="M930" i="1"/>
  <c r="O930" i="1" s="1"/>
  <c r="Q928" i="1"/>
  <c r="S926" i="1" l="1" a="1"/>
  <c r="S926" i="1" s="1"/>
  <c r="R927" i="1"/>
  <c r="Q929" i="1"/>
  <c r="M931" i="1"/>
  <c r="O931" i="1" s="1"/>
  <c r="N931" i="1"/>
  <c r="P931" i="1" s="1" a="1"/>
  <c r="P931" i="1" s="1"/>
  <c r="S927" i="1" l="1" a="1"/>
  <c r="S927" i="1" s="1"/>
  <c r="R928" i="1"/>
  <c r="M932" i="1"/>
  <c r="O932" i="1" s="1"/>
  <c r="N932" i="1"/>
  <c r="P932" i="1" s="1" a="1"/>
  <c r="P932" i="1" s="1"/>
  <c r="Q930" i="1"/>
  <c r="S928" i="1" l="1" a="1"/>
  <c r="S928" i="1" s="1"/>
  <c r="R929" i="1"/>
  <c r="N933" i="1"/>
  <c r="P933" i="1" s="1" a="1"/>
  <c r="P933" i="1" s="1"/>
  <c r="M933" i="1"/>
  <c r="O933" i="1" s="1"/>
  <c r="Q931" i="1"/>
  <c r="S929" i="1" l="1" a="1"/>
  <c r="S929" i="1" s="1"/>
  <c r="R930" i="1"/>
  <c r="Q932" i="1"/>
  <c r="M934" i="1"/>
  <c r="O934" i="1" s="1"/>
  <c r="N934" i="1"/>
  <c r="P934" i="1" s="1" a="1"/>
  <c r="P934" i="1" s="1"/>
  <c r="S930" i="1" l="1" a="1"/>
  <c r="S930" i="1" s="1"/>
  <c r="R931" i="1"/>
  <c r="N935" i="1"/>
  <c r="P935" i="1" s="1" a="1"/>
  <c r="P935" i="1" s="1"/>
  <c r="M935" i="1"/>
  <c r="O935" i="1" s="1"/>
  <c r="Q933" i="1"/>
  <c r="S931" i="1" l="1" a="1"/>
  <c r="S931" i="1" s="1"/>
  <c r="R932" i="1"/>
  <c r="Q934" i="1"/>
  <c r="M936" i="1"/>
  <c r="O936" i="1" s="1"/>
  <c r="N936" i="1"/>
  <c r="P936" i="1" s="1" a="1"/>
  <c r="P936" i="1" s="1"/>
  <c r="S932" i="1" l="1" a="1"/>
  <c r="S932" i="1" s="1"/>
  <c r="R933" i="1"/>
  <c r="N937" i="1"/>
  <c r="P937" i="1" s="1" a="1"/>
  <c r="P937" i="1" s="1"/>
  <c r="Q935" i="1"/>
  <c r="M937" i="1"/>
  <c r="O937" i="1" s="1"/>
  <c r="S933" i="1" l="1" a="1"/>
  <c r="S933" i="1" s="1"/>
  <c r="R934" i="1"/>
  <c r="Q936" i="1"/>
  <c r="M938" i="1"/>
  <c r="O938" i="1" s="1"/>
  <c r="N938" i="1"/>
  <c r="P938" i="1" s="1" a="1"/>
  <c r="P938" i="1" s="1"/>
  <c r="S934" i="1" l="1" a="1"/>
  <c r="S934" i="1" s="1"/>
  <c r="R935" i="1"/>
  <c r="N939" i="1"/>
  <c r="P939" i="1" s="1" a="1"/>
  <c r="P939" i="1" s="1"/>
  <c r="Q937" i="1"/>
  <c r="M939" i="1"/>
  <c r="O939" i="1" s="1"/>
  <c r="S935" i="1" l="1" a="1"/>
  <c r="S935" i="1" s="1"/>
  <c r="R936" i="1"/>
  <c r="Q938" i="1"/>
  <c r="M940" i="1"/>
  <c r="O940" i="1" s="1"/>
  <c r="N940" i="1"/>
  <c r="P940" i="1" s="1" a="1"/>
  <c r="P940" i="1" s="1"/>
  <c r="S936" i="1" l="1" a="1"/>
  <c r="S936" i="1" s="1"/>
  <c r="R937" i="1"/>
  <c r="N941" i="1"/>
  <c r="P941" i="1" s="1" a="1"/>
  <c r="P941" i="1" s="1"/>
  <c r="Q939" i="1"/>
  <c r="M941" i="1"/>
  <c r="O941" i="1" s="1"/>
  <c r="S937" i="1" l="1" a="1"/>
  <c r="S937" i="1" s="1"/>
  <c r="R938" i="1"/>
  <c r="Q940" i="1"/>
  <c r="M942" i="1"/>
  <c r="O942" i="1" s="1"/>
  <c r="N942" i="1"/>
  <c r="P942" i="1" s="1" a="1"/>
  <c r="P942" i="1" s="1"/>
  <c r="S938" i="1" l="1" a="1"/>
  <c r="S938" i="1" s="1"/>
  <c r="R939" i="1"/>
  <c r="N943" i="1"/>
  <c r="P943" i="1" s="1" a="1"/>
  <c r="P943" i="1" s="1"/>
  <c r="M943" i="1"/>
  <c r="O943" i="1" s="1"/>
  <c r="Q941" i="1"/>
  <c r="S939" i="1" l="1" a="1"/>
  <c r="S939" i="1" s="1"/>
  <c r="R940" i="1"/>
  <c r="Q942" i="1"/>
  <c r="M944" i="1"/>
  <c r="O944" i="1" s="1"/>
  <c r="N944" i="1"/>
  <c r="P944" i="1" s="1" a="1"/>
  <c r="P944" i="1" s="1"/>
  <c r="S940" i="1" l="1" a="1"/>
  <c r="S940" i="1" s="1"/>
  <c r="R941" i="1"/>
  <c r="N945" i="1"/>
  <c r="P945" i="1" s="1" a="1"/>
  <c r="P945" i="1" s="1"/>
  <c r="Q943" i="1"/>
  <c r="M945" i="1"/>
  <c r="O945" i="1" s="1"/>
  <c r="S941" i="1" l="1" a="1"/>
  <c r="S941" i="1" s="1"/>
  <c r="R942" i="1"/>
  <c r="M946" i="1"/>
  <c r="O946" i="1" s="1"/>
  <c r="Q944" i="1"/>
  <c r="N946" i="1"/>
  <c r="P946" i="1" s="1" a="1"/>
  <c r="P946" i="1" s="1"/>
  <c r="S942" i="1" l="1" a="1"/>
  <c r="S942" i="1" s="1"/>
  <c r="R943" i="1"/>
  <c r="Q945" i="1"/>
  <c r="N947" i="1"/>
  <c r="P947" i="1" s="1" a="1"/>
  <c r="P947" i="1" s="1"/>
  <c r="M947" i="1"/>
  <c r="O947" i="1" s="1"/>
  <c r="S943" i="1" l="1" a="1"/>
  <c r="S943" i="1" s="1"/>
  <c r="R944" i="1"/>
  <c r="M948" i="1"/>
  <c r="O948" i="1" s="1"/>
  <c r="Q946" i="1"/>
  <c r="N948" i="1"/>
  <c r="P948" i="1" s="1" a="1"/>
  <c r="P948" i="1" s="1"/>
  <c r="S944" i="1" l="1" a="1"/>
  <c r="S944" i="1" s="1"/>
  <c r="R945" i="1"/>
  <c r="N949" i="1"/>
  <c r="P949" i="1" s="1" a="1"/>
  <c r="P949" i="1" s="1"/>
  <c r="M949" i="1"/>
  <c r="O949" i="1" s="1"/>
  <c r="Q947" i="1"/>
  <c r="S945" i="1" l="1" a="1"/>
  <c r="S945" i="1" s="1"/>
  <c r="R946" i="1"/>
  <c r="Q948" i="1"/>
  <c r="M950" i="1"/>
  <c r="O950" i="1" s="1"/>
  <c r="N950" i="1"/>
  <c r="P950" i="1" s="1" a="1"/>
  <c r="P950" i="1" s="1"/>
  <c r="S946" i="1" l="1" a="1"/>
  <c r="S946" i="1" s="1"/>
  <c r="R947" i="1"/>
  <c r="N951" i="1"/>
  <c r="P951" i="1" s="1" a="1"/>
  <c r="P951" i="1" s="1"/>
  <c r="M951" i="1"/>
  <c r="O951" i="1" s="1"/>
  <c r="Q949" i="1"/>
  <c r="S947" i="1" l="1" a="1"/>
  <c r="S947" i="1" s="1"/>
  <c r="R948" i="1"/>
  <c r="Q950" i="1"/>
  <c r="M952" i="1"/>
  <c r="O952" i="1" s="1"/>
  <c r="N952" i="1"/>
  <c r="P952" i="1" s="1" a="1"/>
  <c r="P952" i="1" s="1"/>
  <c r="S948" i="1" l="1" a="1"/>
  <c r="S948" i="1" s="1"/>
  <c r="R949" i="1"/>
  <c r="Q951" i="1"/>
  <c r="N953" i="1"/>
  <c r="P953" i="1" s="1" a="1"/>
  <c r="P953" i="1" s="1"/>
  <c r="M953" i="1"/>
  <c r="O953" i="1" s="1"/>
  <c r="S949" i="1" l="1" a="1"/>
  <c r="S949" i="1" s="1"/>
  <c r="R950" i="1"/>
  <c r="M954" i="1"/>
  <c r="O954" i="1" s="1"/>
  <c r="Q952" i="1"/>
  <c r="N954" i="1"/>
  <c r="P954" i="1" s="1" a="1"/>
  <c r="P954" i="1" s="1"/>
  <c r="S950" i="1" l="1" a="1"/>
  <c r="S950" i="1" s="1"/>
  <c r="R951" i="1"/>
  <c r="N955" i="1"/>
  <c r="P955" i="1" s="1" a="1"/>
  <c r="P955" i="1" s="1"/>
  <c r="Q953" i="1"/>
  <c r="M955" i="1"/>
  <c r="O955" i="1" s="1"/>
  <c r="S951" i="1" l="1" a="1"/>
  <c r="S951" i="1" s="1"/>
  <c r="R952" i="1"/>
  <c r="M956" i="1"/>
  <c r="O956" i="1" s="1"/>
  <c r="Q954" i="1"/>
  <c r="N956" i="1"/>
  <c r="P956" i="1" s="1" a="1"/>
  <c r="P956" i="1" s="1"/>
  <c r="S952" i="1" l="1" a="1"/>
  <c r="S952" i="1" s="1"/>
  <c r="R953" i="1"/>
  <c r="N957" i="1"/>
  <c r="P957" i="1" s="1" a="1"/>
  <c r="P957" i="1" s="1"/>
  <c r="M957" i="1"/>
  <c r="O957" i="1" s="1"/>
  <c r="Q955" i="1"/>
  <c r="S953" i="1" l="1" a="1"/>
  <c r="S953" i="1" s="1"/>
  <c r="R954" i="1"/>
  <c r="Q956" i="1"/>
  <c r="M958" i="1"/>
  <c r="O958" i="1" s="1"/>
  <c r="N958" i="1"/>
  <c r="P958" i="1" s="1" a="1"/>
  <c r="P958" i="1" s="1"/>
  <c r="S954" i="1" l="1" a="1"/>
  <c r="S954" i="1" s="1"/>
  <c r="R955" i="1"/>
  <c r="N959" i="1"/>
  <c r="P959" i="1" s="1" a="1"/>
  <c r="P959" i="1" s="1"/>
  <c r="M959" i="1"/>
  <c r="O959" i="1" s="1"/>
  <c r="Q957" i="1"/>
  <c r="S955" i="1" l="1" a="1"/>
  <c r="S955" i="1" s="1"/>
  <c r="R956" i="1"/>
  <c r="Q958" i="1"/>
  <c r="M960" i="1"/>
  <c r="O960" i="1" s="1"/>
  <c r="N960" i="1"/>
  <c r="P960" i="1" s="1" a="1"/>
  <c r="P960" i="1" s="1"/>
  <c r="S956" i="1" l="1" a="1"/>
  <c r="S956" i="1" s="1"/>
  <c r="R957" i="1"/>
  <c r="N961" i="1"/>
  <c r="P961" i="1" s="1" a="1"/>
  <c r="P961" i="1" s="1"/>
  <c r="Q959" i="1"/>
  <c r="M961" i="1"/>
  <c r="O961" i="1" s="1"/>
  <c r="S957" i="1" l="1" a="1"/>
  <c r="S957" i="1" s="1"/>
  <c r="R958" i="1"/>
  <c r="M962" i="1"/>
  <c r="O962" i="1" s="1"/>
  <c r="Q960" i="1"/>
  <c r="N962" i="1"/>
  <c r="P962" i="1" s="1" a="1"/>
  <c r="P962" i="1" s="1"/>
  <c r="S958" i="1" l="1" a="1"/>
  <c r="S958" i="1" s="1"/>
  <c r="R959" i="1"/>
  <c r="N963" i="1"/>
  <c r="P963" i="1" s="1" a="1"/>
  <c r="P963" i="1" s="1"/>
  <c r="Q961" i="1"/>
  <c r="M963" i="1"/>
  <c r="O963" i="1" s="1"/>
  <c r="S959" i="1" l="1" a="1"/>
  <c r="S959" i="1" s="1"/>
  <c r="R960" i="1"/>
  <c r="M964" i="1"/>
  <c r="O964" i="1" s="1"/>
  <c r="Q962" i="1"/>
  <c r="N964" i="1"/>
  <c r="P964" i="1" s="1" a="1"/>
  <c r="P964" i="1" s="1"/>
  <c r="S960" i="1" l="1" a="1"/>
  <c r="S960" i="1" s="1"/>
  <c r="R961" i="1"/>
  <c r="N965" i="1"/>
  <c r="P965" i="1" s="1" a="1"/>
  <c r="P965" i="1" s="1"/>
  <c r="M965" i="1"/>
  <c r="O965" i="1" s="1"/>
  <c r="Q963" i="1"/>
  <c r="S961" i="1" l="1" a="1"/>
  <c r="S961" i="1" s="1"/>
  <c r="R962" i="1"/>
  <c r="Q964" i="1"/>
  <c r="M966" i="1"/>
  <c r="O966" i="1" s="1"/>
  <c r="N966" i="1"/>
  <c r="P966" i="1" s="1" a="1"/>
  <c r="P966" i="1" s="1"/>
  <c r="S962" i="1" l="1" a="1"/>
  <c r="S962" i="1" s="1"/>
  <c r="R963" i="1"/>
  <c r="N967" i="1"/>
  <c r="P967" i="1" s="1" a="1"/>
  <c r="P967" i="1" s="1"/>
  <c r="M967" i="1"/>
  <c r="O967" i="1" s="1"/>
  <c r="Q965" i="1"/>
  <c r="S963" i="1" l="1" a="1"/>
  <c r="S963" i="1" s="1"/>
  <c r="R964" i="1"/>
  <c r="Q966" i="1"/>
  <c r="M968" i="1"/>
  <c r="O968" i="1" s="1"/>
  <c r="N968" i="1"/>
  <c r="P968" i="1" s="1" a="1"/>
  <c r="P968" i="1" s="1"/>
  <c r="S964" i="1" l="1" a="1"/>
  <c r="S964" i="1" s="1"/>
  <c r="R965" i="1"/>
  <c r="N969" i="1"/>
  <c r="P969" i="1" s="1" a="1"/>
  <c r="P969" i="1" s="1"/>
  <c r="Q967" i="1"/>
  <c r="M969" i="1"/>
  <c r="O969" i="1" s="1"/>
  <c r="S965" i="1" l="1" a="1"/>
  <c r="S965" i="1" s="1"/>
  <c r="R966" i="1"/>
  <c r="M970" i="1"/>
  <c r="O970" i="1" s="1"/>
  <c r="Q968" i="1"/>
  <c r="N970" i="1"/>
  <c r="P970" i="1" s="1" a="1"/>
  <c r="P970" i="1" s="1"/>
  <c r="S966" i="1" l="1" a="1"/>
  <c r="S966" i="1" s="1"/>
  <c r="R967" i="1"/>
  <c r="Q969" i="1"/>
  <c r="N971" i="1"/>
  <c r="P971" i="1" s="1" a="1"/>
  <c r="P971" i="1" s="1"/>
  <c r="M971" i="1"/>
  <c r="O971" i="1" s="1"/>
  <c r="S967" i="1" l="1" a="1"/>
  <c r="S967" i="1" s="1"/>
  <c r="R968" i="1"/>
  <c r="M972" i="1"/>
  <c r="O972" i="1" s="1"/>
  <c r="N972" i="1"/>
  <c r="P972" i="1" s="1" a="1"/>
  <c r="P972" i="1" s="1"/>
  <c r="Q970" i="1"/>
  <c r="S968" i="1" l="1" a="1"/>
  <c r="S968" i="1" s="1"/>
  <c r="R969" i="1"/>
  <c r="N973" i="1"/>
  <c r="P973" i="1" s="1" a="1"/>
  <c r="P973" i="1" s="1"/>
  <c r="M973" i="1"/>
  <c r="O973" i="1" s="1"/>
  <c r="Q971" i="1"/>
  <c r="S969" i="1" l="1" a="1"/>
  <c r="S969" i="1" s="1"/>
  <c r="R970" i="1"/>
  <c r="Q972" i="1"/>
  <c r="M974" i="1"/>
  <c r="O974" i="1" s="1"/>
  <c r="N974" i="1"/>
  <c r="P974" i="1" s="1" a="1"/>
  <c r="P974" i="1" s="1"/>
  <c r="S970" i="1" l="1" a="1"/>
  <c r="S970" i="1" s="1"/>
  <c r="R971" i="1"/>
  <c r="N975" i="1"/>
  <c r="P975" i="1" s="1" a="1"/>
  <c r="P975" i="1" s="1"/>
  <c r="M975" i="1"/>
  <c r="O975" i="1" s="1"/>
  <c r="Q973" i="1"/>
  <c r="S971" i="1" l="1" a="1"/>
  <c r="S971" i="1" s="1"/>
  <c r="R972" i="1"/>
  <c r="Q974" i="1"/>
  <c r="M976" i="1"/>
  <c r="O976" i="1" s="1"/>
  <c r="N976" i="1"/>
  <c r="P976" i="1" s="1" a="1"/>
  <c r="P976" i="1" s="1"/>
  <c r="S972" i="1" l="1" a="1"/>
  <c r="S972" i="1" s="1"/>
  <c r="R973" i="1"/>
  <c r="N977" i="1"/>
  <c r="P977" i="1" s="1" a="1"/>
  <c r="P977" i="1" s="1"/>
  <c r="Q975" i="1"/>
  <c r="M977" i="1"/>
  <c r="O977" i="1" s="1"/>
  <c r="S973" i="1" l="1" a="1"/>
  <c r="S973" i="1" s="1"/>
  <c r="R974" i="1"/>
  <c r="M978" i="1"/>
  <c r="O978" i="1" s="1"/>
  <c r="Q976" i="1"/>
  <c r="N978" i="1"/>
  <c r="P978" i="1" s="1" a="1"/>
  <c r="P978" i="1" s="1"/>
  <c r="S974" i="1" l="1" a="1"/>
  <c r="S974" i="1" s="1"/>
  <c r="R975" i="1"/>
  <c r="N979" i="1"/>
  <c r="P979" i="1" s="1" a="1"/>
  <c r="P979" i="1" s="1"/>
  <c r="Q977" i="1"/>
  <c r="M979" i="1"/>
  <c r="O979" i="1" s="1"/>
  <c r="S975" i="1" l="1" a="1"/>
  <c r="S975" i="1" s="1"/>
  <c r="R976" i="1"/>
  <c r="M980" i="1"/>
  <c r="O980" i="1" s="1"/>
  <c r="Q978" i="1"/>
  <c r="N980" i="1"/>
  <c r="P980" i="1" s="1" a="1"/>
  <c r="P980" i="1" s="1"/>
  <c r="S976" i="1" l="1" a="1"/>
  <c r="S976" i="1" s="1"/>
  <c r="R977" i="1"/>
  <c r="N981" i="1"/>
  <c r="P981" i="1" s="1" a="1"/>
  <c r="P981" i="1" s="1"/>
  <c r="M981" i="1"/>
  <c r="O981" i="1" s="1"/>
  <c r="Q979" i="1"/>
  <c r="S977" i="1" l="1" a="1"/>
  <c r="S977" i="1" s="1"/>
  <c r="R978" i="1"/>
  <c r="Q980" i="1"/>
  <c r="M982" i="1"/>
  <c r="O982" i="1" s="1"/>
  <c r="N982" i="1"/>
  <c r="P982" i="1" s="1" a="1"/>
  <c r="P982" i="1" s="1"/>
  <c r="S978" i="1" l="1" a="1"/>
  <c r="S978" i="1" s="1"/>
  <c r="R979" i="1"/>
  <c r="N983" i="1"/>
  <c r="P983" i="1" s="1" a="1"/>
  <c r="P983" i="1" s="1"/>
  <c r="M983" i="1"/>
  <c r="O983" i="1" s="1"/>
  <c r="Q981" i="1"/>
  <c r="S979" i="1" l="1" a="1"/>
  <c r="S979" i="1" s="1"/>
  <c r="R980" i="1"/>
  <c r="Q982" i="1"/>
  <c r="M984" i="1"/>
  <c r="O984" i="1" s="1"/>
  <c r="N984" i="1"/>
  <c r="P984" i="1" s="1" a="1"/>
  <c r="P984" i="1" s="1"/>
  <c r="S980" i="1" l="1" a="1"/>
  <c r="S980" i="1" s="1"/>
  <c r="R981" i="1"/>
  <c r="N985" i="1"/>
  <c r="P985" i="1" s="1" a="1"/>
  <c r="P985" i="1" s="1"/>
  <c r="Q983" i="1"/>
  <c r="M985" i="1"/>
  <c r="O985" i="1" s="1"/>
  <c r="S981" i="1" l="1" a="1"/>
  <c r="S981" i="1" s="1"/>
  <c r="R982" i="1"/>
  <c r="M986" i="1"/>
  <c r="O986" i="1" s="1"/>
  <c r="Q984" i="1"/>
  <c r="N986" i="1"/>
  <c r="P986" i="1" s="1" a="1"/>
  <c r="P986" i="1" s="1"/>
  <c r="S982" i="1" l="1" a="1"/>
  <c r="S982" i="1" s="1"/>
  <c r="R983" i="1"/>
  <c r="N987" i="1"/>
  <c r="P987" i="1" s="1" a="1"/>
  <c r="P987" i="1" s="1"/>
  <c r="M987" i="1"/>
  <c r="O987" i="1" s="1"/>
  <c r="Q985" i="1"/>
  <c r="S983" i="1" l="1" a="1"/>
  <c r="S983" i="1" s="1"/>
  <c r="R984" i="1"/>
  <c r="Q986" i="1"/>
  <c r="N988" i="1"/>
  <c r="P988" i="1" s="1" a="1"/>
  <c r="P988" i="1" s="1"/>
  <c r="M988" i="1"/>
  <c r="O988" i="1" s="1"/>
  <c r="S984" i="1" l="1" a="1"/>
  <c r="S984" i="1" s="1"/>
  <c r="R985" i="1"/>
  <c r="M989" i="1"/>
  <c r="O989" i="1" s="1"/>
  <c r="Q987" i="1"/>
  <c r="N989" i="1"/>
  <c r="P989" i="1" s="1" a="1"/>
  <c r="P989" i="1" s="1"/>
  <c r="S985" i="1" l="1" a="1"/>
  <c r="S985" i="1" s="1"/>
  <c r="R986" i="1"/>
  <c r="N990" i="1"/>
  <c r="P990" i="1" s="1" a="1"/>
  <c r="P990" i="1" s="1"/>
  <c r="Q988" i="1"/>
  <c r="M990" i="1"/>
  <c r="O990" i="1" s="1"/>
  <c r="S986" i="1" l="1" a="1"/>
  <c r="S986" i="1" s="1"/>
  <c r="R987" i="1"/>
  <c r="M991" i="1"/>
  <c r="O991" i="1" s="1"/>
  <c r="Q989" i="1"/>
  <c r="N991" i="1"/>
  <c r="P991" i="1" s="1" a="1"/>
  <c r="P991" i="1" s="1"/>
  <c r="S987" i="1" l="1" a="1"/>
  <c r="S987" i="1" s="1"/>
  <c r="R988" i="1"/>
  <c r="N992" i="1"/>
  <c r="P992" i="1" s="1" a="1"/>
  <c r="P992" i="1" s="1"/>
  <c r="Q990" i="1"/>
  <c r="M992" i="1"/>
  <c r="O992" i="1" s="1"/>
  <c r="S988" i="1" l="1" a="1"/>
  <c r="S988" i="1" s="1"/>
  <c r="R989" i="1"/>
  <c r="Q991" i="1"/>
  <c r="M993" i="1"/>
  <c r="O993" i="1" s="1"/>
  <c r="N993" i="1"/>
  <c r="P993" i="1" s="1" a="1"/>
  <c r="P993" i="1" s="1"/>
  <c r="S989" i="1" l="1" a="1"/>
  <c r="S989" i="1" s="1"/>
  <c r="R990" i="1"/>
  <c r="N994" i="1"/>
  <c r="P994" i="1" s="1" a="1"/>
  <c r="P994" i="1" s="1"/>
  <c r="M994" i="1"/>
  <c r="O994" i="1" s="1"/>
  <c r="Q992" i="1"/>
  <c r="S990" i="1" l="1" a="1"/>
  <c r="S990" i="1" s="1"/>
  <c r="R991" i="1"/>
  <c r="Q993" i="1"/>
  <c r="M995" i="1"/>
  <c r="O995" i="1" s="1"/>
  <c r="N995" i="1"/>
  <c r="P995" i="1" s="1" a="1"/>
  <c r="P995" i="1" s="1"/>
  <c r="S991" i="1" l="1" a="1"/>
  <c r="S991" i="1" s="1"/>
  <c r="R992" i="1"/>
  <c r="N996" i="1"/>
  <c r="P996" i="1" s="1" a="1"/>
  <c r="P996" i="1" s="1"/>
  <c r="M996" i="1"/>
  <c r="O996" i="1" s="1"/>
  <c r="Q994" i="1"/>
  <c r="S992" i="1" l="1" a="1"/>
  <c r="S992" i="1" s="1"/>
  <c r="R993" i="1"/>
  <c r="M997" i="1"/>
  <c r="O997" i="1" s="1"/>
  <c r="Q995" i="1"/>
  <c r="N997" i="1"/>
  <c r="P997" i="1" s="1" a="1"/>
  <c r="P997" i="1" s="1"/>
  <c r="S993" i="1" l="1" a="1"/>
  <c r="S993" i="1" s="1"/>
  <c r="R994" i="1"/>
  <c r="N998" i="1"/>
  <c r="P998" i="1" s="1" a="1"/>
  <c r="P998" i="1" s="1"/>
  <c r="Q996" i="1"/>
  <c r="M998" i="1"/>
  <c r="O998" i="1" s="1"/>
  <c r="S994" i="1" l="1" a="1"/>
  <c r="S994" i="1" s="1"/>
  <c r="R995" i="1"/>
  <c r="M999" i="1"/>
  <c r="O999" i="1" s="1"/>
  <c r="Q997" i="1"/>
  <c r="N999" i="1"/>
  <c r="P999" i="1" s="1" a="1"/>
  <c r="P999" i="1" s="1"/>
  <c r="S995" i="1" l="1" a="1"/>
  <c r="S995" i="1" s="1"/>
  <c r="R996" i="1"/>
  <c r="N1000" i="1"/>
  <c r="P1000" i="1" s="1" a="1"/>
  <c r="P1000" i="1" s="1"/>
  <c r="Q998" i="1"/>
  <c r="M1000" i="1"/>
  <c r="O1000" i="1" s="1"/>
  <c r="S996" i="1" l="1" a="1"/>
  <c r="S996" i="1" s="1"/>
  <c r="R997" i="1"/>
  <c r="Q999" i="1"/>
  <c r="M1001" i="1"/>
  <c r="O1001" i="1" s="1"/>
  <c r="N1001" i="1"/>
  <c r="P1001" i="1" s="1" a="1"/>
  <c r="P1001" i="1" s="1"/>
  <c r="S997" i="1" l="1" a="1"/>
  <c r="S997" i="1" s="1"/>
  <c r="R998" i="1"/>
  <c r="M1002" i="1"/>
  <c r="O1002" i="1" s="1"/>
  <c r="N1002" i="1"/>
  <c r="P1002" i="1" s="1" a="1"/>
  <c r="P1002" i="1" s="1"/>
  <c r="Q1000" i="1"/>
  <c r="S998" i="1" l="1" a="1"/>
  <c r="S998" i="1" s="1"/>
  <c r="R999" i="1"/>
  <c r="N1003" i="1"/>
  <c r="P1003" i="1" s="1" a="1"/>
  <c r="P1003" i="1" s="1"/>
  <c r="Q1001" i="1"/>
  <c r="M1003" i="1"/>
  <c r="O1003" i="1" s="1"/>
  <c r="S999" i="1" l="1" a="1"/>
  <c r="S999" i="1" s="1"/>
  <c r="R1000" i="1"/>
  <c r="M1004" i="1"/>
  <c r="O1004" i="1" s="1"/>
  <c r="N1004" i="1"/>
  <c r="P1004" i="1" s="1" a="1"/>
  <c r="P1004" i="1" s="1"/>
  <c r="Q1002" i="1"/>
  <c r="S1000" i="1" l="1" a="1"/>
  <c r="S1000" i="1" s="1"/>
  <c r="R1001" i="1"/>
  <c r="N1005" i="1"/>
  <c r="P1005" i="1" s="1" a="1"/>
  <c r="P1005" i="1" s="1"/>
  <c r="M1005" i="1"/>
  <c r="O1005" i="1" s="1"/>
  <c r="Q1003" i="1"/>
  <c r="S1001" i="1" l="1" a="1"/>
  <c r="S1001" i="1" s="1"/>
  <c r="R1002" i="1"/>
  <c r="Q1004" i="1"/>
  <c r="M1006" i="1"/>
  <c r="O1006" i="1" s="1"/>
  <c r="N1006" i="1"/>
  <c r="P1006" i="1" s="1" a="1"/>
  <c r="P1006" i="1" s="1"/>
  <c r="S1002" i="1" l="1" a="1"/>
  <c r="S1002" i="1" s="1"/>
  <c r="R1003" i="1"/>
  <c r="N1007" i="1"/>
  <c r="P1007" i="1" s="1" a="1"/>
  <c r="P1007" i="1" s="1"/>
  <c r="M1007" i="1"/>
  <c r="O1007" i="1" s="1"/>
  <c r="Q1005" i="1"/>
  <c r="S1003" i="1" l="1" a="1"/>
  <c r="S1003" i="1" s="1"/>
  <c r="R1004" i="1"/>
  <c r="Q1006" i="1"/>
  <c r="M1008" i="1"/>
  <c r="O1008" i="1" s="1"/>
  <c r="N1008" i="1"/>
  <c r="P1008" i="1" s="1" a="1"/>
  <c r="P1008" i="1" s="1"/>
  <c r="S1004" i="1" l="1" a="1"/>
  <c r="S1004" i="1" s="1"/>
  <c r="R1005" i="1"/>
  <c r="N1009" i="1"/>
  <c r="P1009" i="1" s="1" a="1"/>
  <c r="P1009" i="1" s="1"/>
  <c r="Q1007" i="1"/>
  <c r="M1009" i="1"/>
  <c r="O1009" i="1" s="1"/>
  <c r="S1005" i="1" l="1" a="1"/>
  <c r="S1005" i="1" s="1"/>
  <c r="R1006" i="1"/>
  <c r="Q1008" i="1"/>
  <c r="M1010" i="1"/>
  <c r="O1010" i="1" s="1"/>
  <c r="N1010" i="1"/>
  <c r="P1010" i="1" s="1" a="1"/>
  <c r="P1010" i="1" s="1"/>
  <c r="S1006" i="1" l="1" a="1"/>
  <c r="S1006" i="1" s="1"/>
  <c r="R1007" i="1"/>
  <c r="N1011" i="1"/>
  <c r="P1011" i="1" s="1" a="1"/>
  <c r="P1011" i="1" s="1"/>
  <c r="Q1009" i="1"/>
  <c r="M1011" i="1"/>
  <c r="O1011" i="1" s="1"/>
  <c r="S1007" i="1" l="1" a="1"/>
  <c r="S1007" i="1" s="1"/>
  <c r="R1008" i="1"/>
  <c r="M1012" i="1"/>
  <c r="O1012" i="1" s="1"/>
  <c r="Q1010" i="1"/>
  <c r="N1012" i="1"/>
  <c r="P1012" i="1" s="1" a="1"/>
  <c r="P1012" i="1" s="1"/>
  <c r="S1008" i="1" l="1" a="1"/>
  <c r="S1008" i="1" s="1"/>
  <c r="R1009" i="1"/>
  <c r="N1013" i="1"/>
  <c r="P1013" i="1" s="1" a="1"/>
  <c r="P1013" i="1" s="1"/>
  <c r="M1013" i="1"/>
  <c r="O1013" i="1" s="1"/>
  <c r="Q1011" i="1"/>
  <c r="S1009" i="1" l="1" a="1"/>
  <c r="S1009" i="1" s="1"/>
  <c r="R1010" i="1"/>
  <c r="M1014" i="1"/>
  <c r="O1014" i="1" s="1"/>
  <c r="Q1012" i="1"/>
  <c r="N1014" i="1"/>
  <c r="P1014" i="1" s="1" a="1"/>
  <c r="P1014" i="1" s="1"/>
  <c r="S1010" i="1" l="1" a="1"/>
  <c r="S1010" i="1" s="1"/>
  <c r="R1011" i="1"/>
  <c r="N1015" i="1"/>
  <c r="P1015" i="1" s="1" a="1"/>
  <c r="P1015" i="1" s="1"/>
  <c r="M1015" i="1"/>
  <c r="O1015" i="1" s="1"/>
  <c r="Q1013" i="1"/>
  <c r="S1011" i="1" l="1" a="1"/>
  <c r="S1011" i="1" s="1"/>
  <c r="R1012" i="1"/>
  <c r="Q1014" i="1"/>
  <c r="M1016" i="1"/>
  <c r="O1016" i="1" s="1"/>
  <c r="N1016" i="1"/>
  <c r="P1016" i="1" s="1" a="1"/>
  <c r="P1016" i="1" s="1"/>
  <c r="S1012" i="1" l="1" a="1"/>
  <c r="S1012" i="1" s="1"/>
  <c r="R1013" i="1"/>
  <c r="N1017" i="1"/>
  <c r="P1017" i="1" s="1" a="1"/>
  <c r="P1017" i="1" s="1"/>
  <c r="Q1015" i="1"/>
  <c r="M1017" i="1"/>
  <c r="O1017" i="1" s="1"/>
  <c r="S1013" i="1" l="1" a="1"/>
  <c r="S1013" i="1" s="1"/>
  <c r="R1014" i="1"/>
  <c r="M1018" i="1"/>
  <c r="O1018" i="1" s="1"/>
  <c r="Q1016" i="1"/>
  <c r="N1018" i="1"/>
  <c r="P1018" i="1" s="1" a="1"/>
  <c r="P1018" i="1" s="1"/>
  <c r="S1014" i="1" l="1" a="1"/>
  <c r="S1014" i="1" s="1"/>
  <c r="R1015" i="1"/>
  <c r="Q1017" i="1"/>
  <c r="M1019" i="1"/>
  <c r="O1019" i="1" s="1"/>
  <c r="N1019" i="1"/>
  <c r="P1019" i="1" s="1" a="1"/>
  <c r="P1019" i="1" s="1"/>
  <c r="S1015" i="1" l="1" a="1"/>
  <c r="S1015" i="1" s="1"/>
  <c r="R1016" i="1"/>
  <c r="N1020" i="1"/>
  <c r="P1020" i="1" s="1" a="1"/>
  <c r="P1020" i="1" s="1"/>
  <c r="M1020" i="1"/>
  <c r="O1020" i="1" s="1"/>
  <c r="Q1018" i="1"/>
  <c r="S1016" i="1" l="1" a="1"/>
  <c r="S1016" i="1" s="1"/>
  <c r="R1017" i="1"/>
  <c r="M1021" i="1"/>
  <c r="O1021" i="1" s="1"/>
  <c r="Q1019" i="1"/>
  <c r="N1021" i="1"/>
  <c r="P1021" i="1" s="1" a="1"/>
  <c r="P1021" i="1" s="1"/>
  <c r="S1017" i="1" l="1" a="1"/>
  <c r="S1017" i="1" s="1"/>
  <c r="R1018" i="1"/>
  <c r="N1022" i="1"/>
  <c r="P1022" i="1" s="1" a="1"/>
  <c r="P1022" i="1" s="1"/>
  <c r="Q1020" i="1"/>
  <c r="M1022" i="1"/>
  <c r="O1022" i="1" s="1"/>
  <c r="S1018" i="1" l="1" a="1"/>
  <c r="S1018" i="1" s="1"/>
  <c r="R1019" i="1"/>
  <c r="M1023" i="1"/>
  <c r="O1023" i="1" s="1"/>
  <c r="Q1021" i="1"/>
  <c r="N1023" i="1"/>
  <c r="P1023" i="1" s="1" a="1"/>
  <c r="P1023" i="1" s="1"/>
  <c r="S1019" i="1" l="1" a="1"/>
  <c r="S1019" i="1" s="1"/>
  <c r="R1020" i="1"/>
  <c r="N1024" i="1"/>
  <c r="P1024" i="1" s="1" a="1"/>
  <c r="P1024" i="1" s="1"/>
  <c r="Q1022" i="1"/>
  <c r="M1024" i="1"/>
  <c r="O1024" i="1" s="1"/>
  <c r="S1020" i="1" l="1" a="1"/>
  <c r="S1020" i="1" s="1"/>
  <c r="R1021" i="1"/>
  <c r="Q1023" i="1"/>
  <c r="M1025" i="1"/>
  <c r="O1025" i="1" s="1"/>
  <c r="N1025" i="1"/>
  <c r="P1025" i="1" s="1" a="1"/>
  <c r="P1025" i="1" s="1"/>
  <c r="S1021" i="1" l="1" a="1"/>
  <c r="S1021" i="1" s="1"/>
  <c r="R1022" i="1"/>
  <c r="N1026" i="1"/>
  <c r="P1026" i="1" s="1" a="1"/>
  <c r="P1026" i="1" s="1"/>
  <c r="M1026" i="1"/>
  <c r="O1026" i="1" s="1"/>
  <c r="Q1024" i="1"/>
  <c r="S1022" i="1" l="1" a="1"/>
  <c r="S1022" i="1" s="1"/>
  <c r="R1023" i="1"/>
  <c r="Q1025" i="1"/>
  <c r="M1027" i="1"/>
  <c r="O1027" i="1" s="1"/>
  <c r="N1027" i="1"/>
  <c r="P1027" i="1" s="1" a="1"/>
  <c r="P1027" i="1" s="1"/>
  <c r="S1023" i="1" l="1" a="1"/>
  <c r="S1023" i="1" s="1"/>
  <c r="R1024" i="1"/>
  <c r="Q1026" i="1"/>
  <c r="N1028" i="1"/>
  <c r="P1028" i="1" s="1" a="1"/>
  <c r="P1028" i="1" s="1"/>
  <c r="M1028" i="1"/>
  <c r="O1028" i="1" s="1"/>
  <c r="S1024" i="1" l="1" a="1"/>
  <c r="S1024" i="1" s="1"/>
  <c r="R1025" i="1"/>
  <c r="M1029" i="1"/>
  <c r="O1029" i="1" s="1"/>
  <c r="Q1027" i="1"/>
  <c r="N1029" i="1"/>
  <c r="P1029" i="1" s="1" a="1"/>
  <c r="P1029" i="1" s="1"/>
  <c r="S1025" i="1" l="1" a="1"/>
  <c r="S1025" i="1" s="1"/>
  <c r="R1026" i="1"/>
  <c r="N1030" i="1"/>
  <c r="P1030" i="1" s="1" a="1"/>
  <c r="P1030" i="1" s="1"/>
  <c r="Q1028" i="1"/>
  <c r="M1030" i="1"/>
  <c r="O1030" i="1" s="1"/>
  <c r="S1026" i="1" l="1" a="1"/>
  <c r="S1026" i="1" s="1"/>
  <c r="R1027" i="1"/>
  <c r="M1031" i="1"/>
  <c r="O1031" i="1" s="1"/>
  <c r="Q1029" i="1"/>
  <c r="N1031" i="1"/>
  <c r="P1031" i="1" s="1" a="1"/>
  <c r="P1031" i="1" s="1"/>
  <c r="S1027" i="1" l="1" a="1"/>
  <c r="S1027" i="1" s="1"/>
  <c r="R1028" i="1"/>
  <c r="N1032" i="1"/>
  <c r="P1032" i="1" s="1" a="1"/>
  <c r="P1032" i="1" s="1"/>
  <c r="Q1030" i="1"/>
  <c r="M1032" i="1"/>
  <c r="O1032" i="1" s="1"/>
  <c r="S1028" i="1" l="1" a="1"/>
  <c r="S1028" i="1" s="1"/>
  <c r="R1029" i="1"/>
  <c r="Q1031" i="1"/>
  <c r="M1033" i="1"/>
  <c r="O1033" i="1" s="1"/>
  <c r="N1033" i="1"/>
  <c r="P1033" i="1" s="1" a="1"/>
  <c r="P1033" i="1" s="1"/>
  <c r="S1029" i="1" l="1" a="1"/>
  <c r="S1029" i="1" s="1"/>
  <c r="R1030" i="1"/>
  <c r="M1034" i="1"/>
  <c r="O1034" i="1" s="1"/>
  <c r="N1034" i="1"/>
  <c r="P1034" i="1" s="1" a="1"/>
  <c r="P1034" i="1" s="1"/>
  <c r="Q1032" i="1"/>
  <c r="S1030" i="1" l="1" a="1"/>
  <c r="S1030" i="1" s="1"/>
  <c r="R1031" i="1"/>
  <c r="N1035" i="1"/>
  <c r="P1035" i="1" s="1" a="1"/>
  <c r="P1035" i="1" s="1"/>
  <c r="M1035" i="1"/>
  <c r="O1035" i="1" s="1"/>
  <c r="Q1033" i="1"/>
  <c r="S1031" i="1" l="1" a="1"/>
  <c r="S1031" i="1" s="1"/>
  <c r="R1032" i="1"/>
  <c r="M1036" i="1"/>
  <c r="O1036" i="1" s="1"/>
  <c r="Q1034" i="1"/>
  <c r="N1036" i="1"/>
  <c r="P1036" i="1" s="1" a="1"/>
  <c r="P1036" i="1" s="1"/>
  <c r="S1032" i="1" l="1" a="1"/>
  <c r="S1032" i="1" s="1"/>
  <c r="R1033" i="1"/>
  <c r="N1037" i="1"/>
  <c r="P1037" i="1" s="1" a="1"/>
  <c r="P1037" i="1" s="1"/>
  <c r="M1037" i="1"/>
  <c r="O1037" i="1" s="1"/>
  <c r="Q1035" i="1"/>
  <c r="S1033" i="1" l="1" a="1"/>
  <c r="S1033" i="1" s="1"/>
  <c r="R1034" i="1"/>
  <c r="Q1036" i="1"/>
  <c r="M1038" i="1"/>
  <c r="O1038" i="1" s="1"/>
  <c r="N1038" i="1"/>
  <c r="P1038" i="1" s="1" a="1"/>
  <c r="P1038" i="1" s="1"/>
  <c r="S1034" i="1" l="1" a="1"/>
  <c r="S1034" i="1" s="1"/>
  <c r="R1035" i="1"/>
  <c r="N1039" i="1"/>
  <c r="P1039" i="1" s="1" a="1"/>
  <c r="P1039" i="1" s="1"/>
  <c r="M1039" i="1"/>
  <c r="O1039" i="1" s="1"/>
  <c r="Q1037" i="1"/>
  <c r="S1035" i="1" l="1" a="1"/>
  <c r="S1035" i="1" s="1"/>
  <c r="R1036" i="1"/>
  <c r="Q1038" i="1"/>
  <c r="M1040" i="1"/>
  <c r="O1040" i="1" s="1"/>
  <c r="N1040" i="1"/>
  <c r="P1040" i="1" s="1" a="1"/>
  <c r="P1040" i="1" s="1"/>
  <c r="S1036" i="1" l="1" a="1"/>
  <c r="S1036" i="1" s="1"/>
  <c r="R1037" i="1"/>
  <c r="N1041" i="1"/>
  <c r="P1041" i="1" s="1" a="1"/>
  <c r="P1041" i="1" s="1"/>
  <c r="Q1039" i="1"/>
  <c r="M1041" i="1"/>
  <c r="O1041" i="1" s="1"/>
  <c r="S1037" i="1" l="1" a="1"/>
  <c r="S1037" i="1" s="1"/>
  <c r="R1038" i="1"/>
  <c r="Q1040" i="1"/>
  <c r="M1042" i="1"/>
  <c r="O1042" i="1" s="1"/>
  <c r="N1042" i="1"/>
  <c r="P1042" i="1" s="1" a="1"/>
  <c r="P1042" i="1" s="1"/>
  <c r="S1038" i="1" l="1" a="1"/>
  <c r="S1038" i="1" s="1"/>
  <c r="R1039" i="1"/>
  <c r="N1043" i="1"/>
  <c r="P1043" i="1" s="1" a="1"/>
  <c r="P1043" i="1" s="1"/>
  <c r="Q1041" i="1"/>
  <c r="M1043" i="1"/>
  <c r="O1043" i="1" s="1"/>
  <c r="S1039" i="1" l="1" a="1"/>
  <c r="S1039" i="1" s="1"/>
  <c r="R1040" i="1"/>
  <c r="M1044" i="1"/>
  <c r="O1044" i="1" s="1"/>
  <c r="Q1042" i="1"/>
  <c r="N1044" i="1"/>
  <c r="P1044" i="1" s="1" a="1"/>
  <c r="P1044" i="1" s="1"/>
  <c r="S1040" i="1" l="1" a="1"/>
  <c r="S1040" i="1" s="1"/>
  <c r="R1041" i="1"/>
  <c r="M1045" i="1"/>
  <c r="O1045" i="1" s="1"/>
  <c r="N1045" i="1"/>
  <c r="P1045" i="1" s="1" a="1"/>
  <c r="P1045" i="1" s="1"/>
  <c r="Q1043" i="1"/>
  <c r="S1041" i="1" l="1" a="1"/>
  <c r="S1041" i="1" s="1"/>
  <c r="R1042" i="1"/>
  <c r="N1046" i="1"/>
  <c r="P1046" i="1" s="1" a="1"/>
  <c r="P1046" i="1" s="1"/>
  <c r="M1046" i="1"/>
  <c r="O1046" i="1" s="1"/>
  <c r="Q1044" i="1"/>
  <c r="S1042" i="1" l="1" a="1"/>
  <c r="S1042" i="1" s="1"/>
  <c r="R1043" i="1"/>
  <c r="M1047" i="1"/>
  <c r="O1047" i="1" s="1"/>
  <c r="Q1045" i="1"/>
  <c r="N1047" i="1"/>
  <c r="P1047" i="1" s="1" a="1"/>
  <c r="P1047" i="1" s="1"/>
  <c r="S1043" i="1" l="1" a="1"/>
  <c r="S1043" i="1" s="1"/>
  <c r="R1044" i="1"/>
  <c r="M1048" i="1"/>
  <c r="O1048" i="1" s="1"/>
  <c r="N1048" i="1"/>
  <c r="P1048" i="1" s="1" a="1"/>
  <c r="P1048" i="1" s="1"/>
  <c r="Q1046" i="1"/>
  <c r="S1044" i="1" l="1" a="1"/>
  <c r="S1044" i="1" s="1"/>
  <c r="R1045" i="1"/>
  <c r="N1049" i="1"/>
  <c r="P1049" i="1" s="1" a="1"/>
  <c r="P1049" i="1" s="1"/>
  <c r="M1049" i="1"/>
  <c r="O1049" i="1" s="1"/>
  <c r="Q1047" i="1"/>
  <c r="S1045" i="1" l="1" a="1"/>
  <c r="S1045" i="1" s="1"/>
  <c r="R1046" i="1"/>
  <c r="Q1048" i="1"/>
  <c r="M1050" i="1"/>
  <c r="O1050" i="1" s="1"/>
  <c r="N1050" i="1"/>
  <c r="P1050" i="1" s="1" a="1"/>
  <c r="P1050" i="1" s="1"/>
  <c r="S1046" i="1" l="1" a="1"/>
  <c r="S1046" i="1" s="1"/>
  <c r="R1047" i="1"/>
  <c r="N1051" i="1"/>
  <c r="P1051" i="1" s="1" a="1"/>
  <c r="P1051" i="1" s="1"/>
  <c r="M1051" i="1"/>
  <c r="O1051" i="1" s="1"/>
  <c r="Q1049" i="1"/>
  <c r="S1047" i="1" l="1" a="1"/>
  <c r="S1047" i="1" s="1"/>
  <c r="R1048" i="1"/>
  <c r="M1052" i="1"/>
  <c r="O1052" i="1" s="1"/>
  <c r="Q1050" i="1"/>
  <c r="N1052" i="1"/>
  <c r="P1052" i="1" s="1" a="1"/>
  <c r="P1052" i="1" s="1"/>
  <c r="S1048" i="1" l="1" a="1"/>
  <c r="S1048" i="1" s="1"/>
  <c r="R1049" i="1"/>
  <c r="N1053" i="1"/>
  <c r="P1053" i="1" s="1" a="1"/>
  <c r="P1053" i="1" s="1"/>
  <c r="M1053" i="1"/>
  <c r="O1053" i="1" s="1"/>
  <c r="Q1051" i="1"/>
  <c r="S1049" i="1" l="1" a="1"/>
  <c r="S1049" i="1" s="1"/>
  <c r="R1050" i="1"/>
  <c r="Q1052" i="1"/>
  <c r="M1054" i="1"/>
  <c r="O1054" i="1" s="1"/>
  <c r="N1054" i="1"/>
  <c r="P1054" i="1" s="1" a="1"/>
  <c r="P1054" i="1" s="1"/>
  <c r="S1050" i="1" l="1" a="1"/>
  <c r="S1050" i="1" s="1"/>
  <c r="R1051" i="1"/>
  <c r="N1055" i="1"/>
  <c r="P1055" i="1" s="1" a="1"/>
  <c r="P1055" i="1" s="1"/>
  <c r="M1055" i="1"/>
  <c r="O1055" i="1" s="1"/>
  <c r="Q1053" i="1"/>
  <c r="S1051" i="1" l="1" a="1"/>
  <c r="S1051" i="1" s="1"/>
  <c r="R1052" i="1"/>
  <c r="Q1054" i="1"/>
  <c r="M1056" i="1"/>
  <c r="O1056" i="1" s="1"/>
  <c r="N1056" i="1"/>
  <c r="P1056" i="1" s="1" a="1"/>
  <c r="P1056" i="1" s="1"/>
  <c r="S1052" i="1" l="1" a="1"/>
  <c r="S1052" i="1" s="1"/>
  <c r="R1053" i="1"/>
  <c r="N1057" i="1"/>
  <c r="P1057" i="1" s="1" a="1"/>
  <c r="P1057" i="1" s="1"/>
  <c r="Q1055" i="1"/>
  <c r="M1057" i="1"/>
  <c r="O1057" i="1" s="1"/>
  <c r="S1053" i="1" l="1" a="1"/>
  <c r="S1053" i="1" s="1"/>
  <c r="R1054" i="1"/>
  <c r="M1058" i="1"/>
  <c r="O1058" i="1" s="1"/>
  <c r="Q1056" i="1"/>
  <c r="N1058" i="1"/>
  <c r="P1058" i="1" s="1" a="1"/>
  <c r="P1058" i="1" s="1"/>
  <c r="S1054" i="1" l="1" a="1"/>
  <c r="S1054" i="1" s="1"/>
  <c r="R1055" i="1"/>
  <c r="N1059" i="1"/>
  <c r="P1059" i="1" s="1" a="1"/>
  <c r="P1059" i="1" s="1"/>
  <c r="Q1057" i="1"/>
  <c r="M1059" i="1"/>
  <c r="O1059" i="1" s="1"/>
  <c r="S1055" i="1" l="1" a="1"/>
  <c r="S1055" i="1" s="1"/>
  <c r="R1056" i="1"/>
  <c r="M1060" i="1"/>
  <c r="O1060" i="1" s="1"/>
  <c r="Q1058" i="1"/>
  <c r="N1060" i="1"/>
  <c r="P1060" i="1" s="1" a="1"/>
  <c r="P1060" i="1" s="1"/>
  <c r="S1056" i="1" l="1" a="1"/>
  <c r="S1056" i="1" s="1"/>
  <c r="R1057" i="1"/>
  <c r="N1061" i="1"/>
  <c r="P1061" i="1" s="1" a="1"/>
  <c r="P1061" i="1" s="1"/>
  <c r="M1061" i="1"/>
  <c r="O1061" i="1" s="1"/>
  <c r="Q1059" i="1"/>
  <c r="S1057" i="1" l="1" a="1"/>
  <c r="S1057" i="1" s="1"/>
  <c r="R1058" i="1"/>
  <c r="Q1060" i="1"/>
  <c r="M1062" i="1"/>
  <c r="O1062" i="1" s="1"/>
  <c r="N1062" i="1"/>
  <c r="P1062" i="1" s="1" a="1"/>
  <c r="P1062" i="1" s="1"/>
  <c r="S1058" i="1" l="1" a="1"/>
  <c r="S1058" i="1" s="1"/>
  <c r="R1059" i="1"/>
  <c r="M1063" i="1"/>
  <c r="O1063" i="1" s="1"/>
  <c r="N1063" i="1"/>
  <c r="P1063" i="1" s="1" a="1"/>
  <c r="P1063" i="1" s="1"/>
  <c r="Q1061" i="1"/>
  <c r="S1059" i="1" l="1" a="1"/>
  <c r="S1059" i="1" s="1"/>
  <c r="R1060" i="1"/>
  <c r="N1064" i="1"/>
  <c r="P1064" i="1" s="1" a="1"/>
  <c r="P1064" i="1" s="1"/>
  <c r="Q1062" i="1"/>
  <c r="M1064" i="1"/>
  <c r="O1064" i="1" s="1"/>
  <c r="S1060" i="1" l="1" a="1"/>
  <c r="S1060" i="1" s="1"/>
  <c r="R1061" i="1"/>
  <c r="Q1063" i="1"/>
  <c r="M1065" i="1"/>
  <c r="O1065" i="1" s="1"/>
  <c r="N1065" i="1"/>
  <c r="P1065" i="1" s="1" a="1"/>
  <c r="P1065" i="1" s="1"/>
  <c r="S1061" i="1" l="1" a="1"/>
  <c r="S1061" i="1" s="1"/>
  <c r="R1062" i="1"/>
  <c r="M1066" i="1"/>
  <c r="O1066" i="1" s="1"/>
  <c r="N1066" i="1"/>
  <c r="P1066" i="1" s="1" a="1"/>
  <c r="P1066" i="1" s="1"/>
  <c r="Q1064" i="1"/>
  <c r="S1062" i="1" l="1" a="1"/>
  <c r="S1062" i="1" s="1"/>
  <c r="R1063" i="1"/>
  <c r="Q1065" i="1"/>
  <c r="N1067" i="1"/>
  <c r="P1067" i="1" s="1" a="1"/>
  <c r="P1067" i="1" s="1"/>
  <c r="M1067" i="1"/>
  <c r="O1067" i="1" s="1"/>
  <c r="S1063" i="1" l="1" a="1"/>
  <c r="S1063" i="1" s="1"/>
  <c r="R1064" i="1"/>
  <c r="M1068" i="1"/>
  <c r="O1068" i="1" s="1"/>
  <c r="Q1066" i="1"/>
  <c r="N1068" i="1"/>
  <c r="P1068" i="1" s="1" a="1"/>
  <c r="P1068" i="1" s="1"/>
  <c r="S1064" i="1" l="1" a="1"/>
  <c r="S1064" i="1" s="1"/>
  <c r="R1065" i="1"/>
  <c r="N1069" i="1"/>
  <c r="P1069" i="1" s="1" a="1"/>
  <c r="P1069" i="1" s="1"/>
  <c r="M1069" i="1"/>
  <c r="O1069" i="1" s="1"/>
  <c r="Q1067" i="1"/>
  <c r="S1065" i="1" l="1" a="1"/>
  <c r="S1065" i="1" s="1"/>
  <c r="R1066" i="1"/>
  <c r="Q1068" i="1"/>
  <c r="M1070" i="1"/>
  <c r="O1070" i="1" s="1"/>
  <c r="N1070" i="1"/>
  <c r="P1070" i="1" s="1" a="1"/>
  <c r="P1070" i="1" s="1"/>
  <c r="S1066" i="1" l="1" a="1"/>
  <c r="S1066" i="1" s="1"/>
  <c r="R1067" i="1"/>
  <c r="N1071" i="1"/>
  <c r="P1071" i="1" s="1" a="1"/>
  <c r="P1071" i="1" s="1"/>
  <c r="M1071" i="1"/>
  <c r="O1071" i="1" s="1"/>
  <c r="Q1069" i="1"/>
  <c r="S1067" i="1" l="1" a="1"/>
  <c r="S1067" i="1" s="1"/>
  <c r="R1068" i="1"/>
  <c r="Q1070" i="1"/>
  <c r="M1072" i="1"/>
  <c r="O1072" i="1" s="1"/>
  <c r="N1072" i="1"/>
  <c r="P1072" i="1" s="1" a="1"/>
  <c r="P1072" i="1" s="1"/>
  <c r="S1068" i="1" l="1" a="1"/>
  <c r="S1068" i="1" s="1"/>
  <c r="R1069" i="1"/>
  <c r="N1073" i="1"/>
  <c r="P1073" i="1" s="1" a="1"/>
  <c r="P1073" i="1" s="1"/>
  <c r="Q1071" i="1"/>
  <c r="M1073" i="1"/>
  <c r="O1073" i="1" s="1"/>
  <c r="S1069" i="1" l="1" a="1"/>
  <c r="S1069" i="1" s="1"/>
  <c r="R1070" i="1"/>
  <c r="M1074" i="1"/>
  <c r="O1074" i="1" s="1"/>
  <c r="Q1072" i="1"/>
  <c r="N1074" i="1"/>
  <c r="P1074" i="1" s="1" a="1"/>
  <c r="P1074" i="1" s="1"/>
  <c r="S1070" i="1" l="1" a="1"/>
  <c r="S1070" i="1" s="1"/>
  <c r="R1071" i="1"/>
  <c r="N1075" i="1"/>
  <c r="P1075" i="1" s="1" a="1"/>
  <c r="P1075" i="1" s="1"/>
  <c r="Q1073" i="1"/>
  <c r="M1075" i="1"/>
  <c r="O1075" i="1" s="1"/>
  <c r="S1071" i="1" l="1" a="1"/>
  <c r="S1071" i="1" s="1"/>
  <c r="R1072" i="1"/>
  <c r="M1076" i="1"/>
  <c r="O1076" i="1" s="1"/>
  <c r="Q1074" i="1"/>
  <c r="N1076" i="1"/>
  <c r="P1076" i="1" s="1" a="1"/>
  <c r="P1076" i="1" s="1"/>
  <c r="S1072" i="1" l="1" a="1"/>
  <c r="S1072" i="1" s="1"/>
  <c r="R1073" i="1"/>
  <c r="M1077" i="1"/>
  <c r="O1077" i="1" s="1"/>
  <c r="N1077" i="1"/>
  <c r="P1077" i="1" s="1" a="1"/>
  <c r="P1077" i="1" s="1"/>
  <c r="Q1075" i="1"/>
  <c r="S1073" i="1" l="1" a="1"/>
  <c r="S1073" i="1" s="1"/>
  <c r="R1074" i="1"/>
  <c r="N1078" i="1"/>
  <c r="P1078" i="1" s="1" a="1"/>
  <c r="P1078" i="1" s="1"/>
  <c r="Q1076" i="1"/>
  <c r="M1078" i="1"/>
  <c r="O1078" i="1" s="1"/>
  <c r="S1074" i="1" l="1" a="1"/>
  <c r="S1074" i="1" s="1"/>
  <c r="R1075" i="1"/>
  <c r="M1079" i="1"/>
  <c r="O1079" i="1" s="1"/>
  <c r="Q1077" i="1"/>
  <c r="N1079" i="1"/>
  <c r="P1079" i="1" s="1" a="1"/>
  <c r="P1079" i="1" s="1"/>
  <c r="S1075" i="1" l="1" a="1"/>
  <c r="S1075" i="1" s="1"/>
  <c r="R1076" i="1"/>
  <c r="N1080" i="1"/>
  <c r="P1080" i="1" s="1" a="1"/>
  <c r="P1080" i="1" s="1"/>
  <c r="Q1078" i="1"/>
  <c r="M1080" i="1"/>
  <c r="O1080" i="1" s="1"/>
  <c r="S1076" i="1" l="1" a="1"/>
  <c r="S1076" i="1" s="1"/>
  <c r="R1077" i="1"/>
  <c r="Q1079" i="1"/>
  <c r="M1081" i="1"/>
  <c r="O1081" i="1" s="1"/>
  <c r="N1081" i="1"/>
  <c r="P1081" i="1" s="1" a="1"/>
  <c r="P1081" i="1" s="1"/>
  <c r="S1077" i="1" l="1" a="1"/>
  <c r="S1077" i="1" s="1"/>
  <c r="R1078" i="1"/>
  <c r="N1082" i="1"/>
  <c r="P1082" i="1" s="1" a="1"/>
  <c r="P1082" i="1" s="1"/>
  <c r="M1082" i="1"/>
  <c r="O1082" i="1" s="1"/>
  <c r="Q1080" i="1"/>
  <c r="S1078" i="1" l="1" a="1"/>
  <c r="S1078" i="1" s="1"/>
  <c r="R1079" i="1"/>
  <c r="Q1081" i="1"/>
  <c r="M1083" i="1"/>
  <c r="O1083" i="1" s="1"/>
  <c r="N1083" i="1"/>
  <c r="P1083" i="1" s="1" a="1"/>
  <c r="P1083" i="1" s="1"/>
  <c r="S1079" i="1" l="1" a="1"/>
  <c r="S1079" i="1" s="1"/>
  <c r="R1080" i="1"/>
  <c r="N1084" i="1"/>
  <c r="P1084" i="1" s="1" a="1"/>
  <c r="P1084" i="1" s="1"/>
  <c r="M1084" i="1"/>
  <c r="O1084" i="1" s="1"/>
  <c r="Q1082" i="1"/>
  <c r="S1080" i="1" l="1" a="1"/>
  <c r="S1080" i="1" s="1"/>
  <c r="R1081" i="1"/>
  <c r="M1085" i="1"/>
  <c r="O1085" i="1" s="1"/>
  <c r="Q1083" i="1"/>
  <c r="N1085" i="1"/>
  <c r="P1085" i="1" s="1" a="1"/>
  <c r="P1085" i="1" s="1"/>
  <c r="S1081" i="1" l="1" a="1"/>
  <c r="S1081" i="1" s="1"/>
  <c r="R1082" i="1"/>
  <c r="N1086" i="1"/>
  <c r="P1086" i="1" s="1" a="1"/>
  <c r="P1086" i="1" s="1"/>
  <c r="Q1084" i="1"/>
  <c r="M1086" i="1"/>
  <c r="O1086" i="1" s="1"/>
  <c r="S1082" i="1" l="1" a="1"/>
  <c r="S1082" i="1" s="1"/>
  <c r="R1083" i="1"/>
  <c r="M1087" i="1"/>
  <c r="O1087" i="1" s="1"/>
  <c r="Q1085" i="1"/>
  <c r="N1087" i="1"/>
  <c r="P1087" i="1" s="1" a="1"/>
  <c r="P1087" i="1" s="1"/>
  <c r="S1083" i="1" l="1" a="1"/>
  <c r="S1083" i="1" s="1"/>
  <c r="R1084" i="1"/>
  <c r="N1088" i="1"/>
  <c r="P1088" i="1" s="1" a="1"/>
  <c r="P1088" i="1" s="1"/>
  <c r="Q1086" i="1"/>
  <c r="M1088" i="1"/>
  <c r="O1088" i="1" s="1"/>
  <c r="S1084" i="1" l="1" a="1"/>
  <c r="S1084" i="1" s="1"/>
  <c r="R1085" i="1"/>
  <c r="Q1087" i="1"/>
  <c r="M1089" i="1"/>
  <c r="O1089" i="1" s="1"/>
  <c r="N1089" i="1"/>
  <c r="P1089" i="1" s="1" a="1"/>
  <c r="P1089" i="1" s="1"/>
  <c r="S1085" i="1" l="1" a="1"/>
  <c r="S1085" i="1" s="1"/>
  <c r="R1086" i="1"/>
  <c r="N1090" i="1"/>
  <c r="P1090" i="1" s="1" a="1"/>
  <c r="P1090" i="1" s="1"/>
  <c r="M1090" i="1"/>
  <c r="O1090" i="1" s="1"/>
  <c r="Q1088" i="1"/>
  <c r="S1086" i="1" l="1" a="1"/>
  <c r="S1086" i="1" s="1"/>
  <c r="R1087" i="1"/>
  <c r="Q1089" i="1"/>
  <c r="M1091" i="1"/>
  <c r="O1091" i="1" s="1"/>
  <c r="N1091" i="1"/>
  <c r="P1091" i="1" s="1" a="1"/>
  <c r="P1091" i="1" s="1"/>
  <c r="S1087" i="1" l="1" a="1"/>
  <c r="S1087" i="1" s="1"/>
  <c r="R1088" i="1"/>
  <c r="N1092" i="1"/>
  <c r="P1092" i="1" s="1" a="1"/>
  <c r="P1092" i="1" s="1"/>
  <c r="M1092" i="1"/>
  <c r="O1092" i="1" s="1"/>
  <c r="Q1090" i="1"/>
  <c r="S1088" i="1" l="1" a="1"/>
  <c r="S1088" i="1" s="1"/>
  <c r="R1089" i="1"/>
  <c r="M1093" i="1"/>
  <c r="O1093" i="1" s="1"/>
  <c r="Q1091" i="1"/>
  <c r="N1093" i="1"/>
  <c r="P1093" i="1" s="1" a="1"/>
  <c r="P1093" i="1" s="1"/>
  <c r="S1089" i="1" l="1" a="1"/>
  <c r="S1089" i="1" s="1"/>
  <c r="R1090" i="1"/>
  <c r="N1094" i="1"/>
  <c r="P1094" i="1" s="1" a="1"/>
  <c r="P1094" i="1" s="1"/>
  <c r="M1094" i="1"/>
  <c r="O1094" i="1" s="1"/>
  <c r="Q1092" i="1"/>
  <c r="S1090" i="1" l="1" a="1"/>
  <c r="S1090" i="1" s="1"/>
  <c r="R1091" i="1"/>
  <c r="M1095" i="1"/>
  <c r="O1095" i="1" s="1"/>
  <c r="Q1093" i="1"/>
  <c r="N1095" i="1"/>
  <c r="P1095" i="1" s="1" a="1"/>
  <c r="P1095" i="1" s="1"/>
  <c r="S1091" i="1" l="1" a="1"/>
  <c r="S1091" i="1" s="1"/>
  <c r="R1092" i="1"/>
  <c r="N1096" i="1"/>
  <c r="P1096" i="1" s="1" a="1"/>
  <c r="P1096" i="1" s="1"/>
  <c r="Q1094" i="1"/>
  <c r="M1096" i="1"/>
  <c r="O1096" i="1" s="1"/>
  <c r="S1092" i="1" l="1" a="1"/>
  <c r="S1092" i="1" s="1"/>
  <c r="R1093" i="1"/>
  <c r="Q1095" i="1"/>
  <c r="M1097" i="1"/>
  <c r="O1097" i="1" s="1"/>
  <c r="N1097" i="1"/>
  <c r="P1097" i="1" s="1" a="1"/>
  <c r="P1097" i="1" s="1"/>
  <c r="S1093" i="1" l="1" a="1"/>
  <c r="S1093" i="1" s="1"/>
  <c r="R1094" i="1"/>
  <c r="N1098" i="1"/>
  <c r="P1098" i="1" s="1" a="1"/>
  <c r="P1098" i="1" s="1"/>
  <c r="M1098" i="1"/>
  <c r="O1098" i="1" s="1"/>
  <c r="Q1096" i="1"/>
  <c r="S1094" i="1" l="1" a="1"/>
  <c r="S1094" i="1" s="1"/>
  <c r="R1095" i="1"/>
  <c r="Q1097" i="1"/>
  <c r="M1099" i="1"/>
  <c r="O1099" i="1" s="1"/>
  <c r="N1099" i="1"/>
  <c r="P1099" i="1" s="1" a="1"/>
  <c r="P1099" i="1" s="1"/>
  <c r="S1095" i="1" l="1" a="1"/>
  <c r="S1095" i="1" s="1"/>
  <c r="R1096" i="1"/>
  <c r="M1100" i="1"/>
  <c r="O1100" i="1" s="1"/>
  <c r="N1100" i="1"/>
  <c r="P1100" i="1" s="1" a="1"/>
  <c r="P1100" i="1" s="1"/>
  <c r="Q1098" i="1"/>
  <c r="S1096" i="1" l="1" a="1"/>
  <c r="S1096" i="1" s="1"/>
  <c r="R1097" i="1"/>
  <c r="N1101" i="1"/>
  <c r="P1101" i="1" s="1" a="1"/>
  <c r="P1101" i="1" s="1"/>
  <c r="M1101" i="1"/>
  <c r="O1101" i="1" s="1"/>
  <c r="Q1099" i="1"/>
  <c r="S1097" i="1" l="1" a="1"/>
  <c r="S1097" i="1" s="1"/>
  <c r="R1098" i="1"/>
  <c r="Q1100" i="1"/>
  <c r="M1102" i="1"/>
  <c r="O1102" i="1" s="1"/>
  <c r="N1102" i="1"/>
  <c r="P1102" i="1" s="1" a="1"/>
  <c r="P1102" i="1" s="1"/>
  <c r="S1098" i="1" l="1" a="1"/>
  <c r="S1098" i="1" s="1"/>
  <c r="R1099" i="1"/>
  <c r="N1103" i="1"/>
  <c r="P1103" i="1" s="1" a="1"/>
  <c r="P1103" i="1" s="1"/>
  <c r="M1103" i="1"/>
  <c r="O1103" i="1" s="1"/>
  <c r="Q1101" i="1"/>
  <c r="S1099" i="1" l="1" a="1"/>
  <c r="S1099" i="1" s="1"/>
  <c r="R1100" i="1"/>
  <c r="Q1102" i="1"/>
  <c r="M1104" i="1"/>
  <c r="O1104" i="1" s="1"/>
  <c r="N1104" i="1"/>
  <c r="P1104" i="1" s="1" a="1"/>
  <c r="P1104" i="1" s="1"/>
  <c r="S1100" i="1" l="1" a="1"/>
  <c r="S1100" i="1" s="1"/>
  <c r="R1101" i="1"/>
  <c r="N1105" i="1"/>
  <c r="P1105" i="1" s="1" a="1"/>
  <c r="P1105" i="1" s="1"/>
  <c r="Q1103" i="1"/>
  <c r="M1105" i="1"/>
  <c r="O1105" i="1" s="1"/>
  <c r="S1101" i="1" l="1" a="1"/>
  <c r="S1101" i="1" s="1"/>
  <c r="R1102" i="1"/>
  <c r="M1106" i="1"/>
  <c r="O1106" i="1" s="1"/>
  <c r="Q1104" i="1"/>
  <c r="N1106" i="1"/>
  <c r="P1106" i="1" s="1" a="1"/>
  <c r="P1106" i="1" s="1"/>
  <c r="S1102" i="1" l="1" a="1"/>
  <c r="S1102" i="1" s="1"/>
  <c r="R1103" i="1"/>
  <c r="N1107" i="1"/>
  <c r="P1107" i="1" s="1" a="1"/>
  <c r="P1107" i="1" s="1"/>
  <c r="M1107" i="1"/>
  <c r="O1107" i="1" s="1"/>
  <c r="Q1105" i="1"/>
  <c r="S1103" i="1" l="1" a="1"/>
  <c r="S1103" i="1" s="1"/>
  <c r="R1104" i="1"/>
  <c r="M1108" i="1"/>
  <c r="O1108" i="1" s="1"/>
  <c r="Q1106" i="1"/>
  <c r="N1108" i="1"/>
  <c r="P1108" i="1" s="1" a="1"/>
  <c r="P1108" i="1" s="1"/>
  <c r="S1104" i="1" l="1" a="1"/>
  <c r="S1104" i="1" s="1"/>
  <c r="R1105" i="1"/>
  <c r="M1109" i="1"/>
  <c r="O1109" i="1" s="1"/>
  <c r="N1109" i="1"/>
  <c r="P1109" i="1" s="1" a="1"/>
  <c r="P1109" i="1" s="1"/>
  <c r="Q1107" i="1"/>
  <c r="S1105" i="1" l="1" a="1"/>
  <c r="S1105" i="1" s="1"/>
  <c r="R1106" i="1"/>
  <c r="Q1108" i="1"/>
  <c r="M1110" i="1"/>
  <c r="O1110" i="1" s="1"/>
  <c r="N1110" i="1"/>
  <c r="P1110" i="1" s="1" a="1"/>
  <c r="P1110" i="1" s="1"/>
  <c r="S1106" i="1" l="1" a="1"/>
  <c r="S1106" i="1" s="1"/>
  <c r="R1107" i="1"/>
  <c r="N1111" i="1"/>
  <c r="P1111" i="1" s="1" a="1"/>
  <c r="P1111" i="1" s="1"/>
  <c r="M1111" i="1"/>
  <c r="O1111" i="1" s="1"/>
  <c r="Q1109" i="1"/>
  <c r="S1107" i="1" l="1" a="1"/>
  <c r="S1107" i="1" s="1"/>
  <c r="R1108" i="1"/>
  <c r="Q1110" i="1"/>
  <c r="M1112" i="1"/>
  <c r="O1112" i="1" s="1"/>
  <c r="N1112" i="1"/>
  <c r="P1112" i="1" s="1" a="1"/>
  <c r="P1112" i="1" s="1"/>
  <c r="S1108" i="1" l="1" a="1"/>
  <c r="S1108" i="1" s="1"/>
  <c r="R1109" i="1"/>
  <c r="N1113" i="1"/>
  <c r="P1113" i="1" s="1" a="1"/>
  <c r="P1113" i="1" s="1"/>
  <c r="Q1111" i="1"/>
  <c r="M1113" i="1"/>
  <c r="O1113" i="1" s="1"/>
  <c r="S1109" i="1" l="1" a="1"/>
  <c r="S1109" i="1" s="1"/>
  <c r="R1110" i="1"/>
  <c r="M1114" i="1"/>
  <c r="O1114" i="1" s="1"/>
  <c r="N1114" i="1"/>
  <c r="P1114" i="1" s="1" a="1"/>
  <c r="P1114" i="1" s="1"/>
  <c r="Q1112" i="1"/>
  <c r="S1110" i="1" l="1" a="1"/>
  <c r="S1110" i="1" s="1"/>
  <c r="R1111" i="1"/>
  <c r="N1115" i="1"/>
  <c r="P1115" i="1" s="1" a="1"/>
  <c r="P1115" i="1" s="1"/>
  <c r="Q1113" i="1"/>
  <c r="M1115" i="1"/>
  <c r="O1115" i="1" s="1"/>
  <c r="S1111" i="1" l="1" a="1"/>
  <c r="S1111" i="1" s="1"/>
  <c r="R1112" i="1"/>
  <c r="M1116" i="1"/>
  <c r="O1116" i="1" s="1"/>
  <c r="Q1114" i="1"/>
  <c r="N1116" i="1"/>
  <c r="P1116" i="1" s="1" a="1"/>
  <c r="P1116" i="1" s="1"/>
  <c r="S1112" i="1" l="1" a="1"/>
  <c r="S1112" i="1" s="1"/>
  <c r="R1113" i="1"/>
  <c r="N1117" i="1"/>
  <c r="P1117" i="1" s="1" a="1"/>
  <c r="P1117" i="1" s="1"/>
  <c r="M1117" i="1"/>
  <c r="O1117" i="1" s="1"/>
  <c r="Q1115" i="1"/>
  <c r="S1113" i="1" l="1" a="1"/>
  <c r="S1113" i="1" s="1"/>
  <c r="R1114" i="1"/>
  <c r="Q1116" i="1"/>
  <c r="M1118" i="1"/>
  <c r="O1118" i="1" s="1"/>
  <c r="N1118" i="1"/>
  <c r="P1118" i="1" s="1" a="1"/>
  <c r="P1118" i="1" s="1"/>
  <c r="S1114" i="1" l="1" a="1"/>
  <c r="S1114" i="1" s="1"/>
  <c r="R1115" i="1"/>
  <c r="N1119" i="1"/>
  <c r="P1119" i="1" s="1" a="1"/>
  <c r="P1119" i="1" s="1"/>
  <c r="M1119" i="1"/>
  <c r="O1119" i="1" s="1"/>
  <c r="Q1117" i="1"/>
  <c r="S1115" i="1" l="1" a="1"/>
  <c r="S1115" i="1" s="1"/>
  <c r="R1116" i="1"/>
  <c r="Q1118" i="1"/>
  <c r="M1120" i="1"/>
  <c r="O1120" i="1" s="1"/>
  <c r="N1120" i="1"/>
  <c r="P1120" i="1" s="1" a="1"/>
  <c r="P1120" i="1" s="1"/>
  <c r="S1116" i="1" l="1" a="1"/>
  <c r="S1116" i="1" s="1"/>
  <c r="R1117" i="1"/>
  <c r="N1121" i="1"/>
  <c r="P1121" i="1" s="1" a="1"/>
  <c r="P1121" i="1" s="1"/>
  <c r="Q1119" i="1"/>
  <c r="M1121" i="1"/>
  <c r="O1121" i="1" s="1"/>
  <c r="S1117" i="1" l="1" a="1"/>
  <c r="S1117" i="1" s="1"/>
  <c r="R1118" i="1"/>
  <c r="M1122" i="1"/>
  <c r="O1122" i="1" s="1"/>
  <c r="Q1120" i="1"/>
  <c r="N1122" i="1"/>
  <c r="P1122" i="1" s="1" a="1"/>
  <c r="P1122" i="1" s="1"/>
  <c r="S1118" i="1" l="1" a="1"/>
  <c r="S1118" i="1" s="1"/>
  <c r="R1119" i="1"/>
  <c r="N1123" i="1"/>
  <c r="P1123" i="1" s="1" a="1"/>
  <c r="P1123" i="1" s="1"/>
  <c r="Q1121" i="1"/>
  <c r="M1123" i="1"/>
  <c r="O1123" i="1" s="1"/>
  <c r="S1119" i="1" l="1" a="1"/>
  <c r="S1119" i="1" s="1"/>
  <c r="R1120" i="1"/>
  <c r="M1124" i="1"/>
  <c r="O1124" i="1" s="1"/>
  <c r="Q1122" i="1"/>
  <c r="N1124" i="1"/>
  <c r="P1124" i="1" s="1" a="1"/>
  <c r="P1124" i="1" s="1"/>
  <c r="S1120" i="1" l="1" a="1"/>
  <c r="S1120" i="1" s="1"/>
  <c r="R1121" i="1"/>
  <c r="N1125" i="1"/>
  <c r="P1125" i="1" s="1" a="1"/>
  <c r="P1125" i="1" s="1"/>
  <c r="M1125" i="1"/>
  <c r="O1125" i="1" s="1"/>
  <c r="Q1123" i="1"/>
  <c r="S1121" i="1" l="1" a="1"/>
  <c r="S1121" i="1" s="1"/>
  <c r="R1122" i="1"/>
  <c r="Q1124" i="1"/>
  <c r="M1126" i="1"/>
  <c r="O1126" i="1" s="1"/>
  <c r="N1126" i="1"/>
  <c r="P1126" i="1" s="1" a="1"/>
  <c r="P1126" i="1" s="1"/>
  <c r="S1122" i="1" l="1" a="1"/>
  <c r="S1122" i="1" s="1"/>
  <c r="R1123" i="1"/>
  <c r="N1127" i="1"/>
  <c r="P1127" i="1" s="1" a="1"/>
  <c r="P1127" i="1" s="1"/>
  <c r="Q1125" i="1"/>
  <c r="M1127" i="1"/>
  <c r="O1127" i="1" s="1"/>
  <c r="S1123" i="1" l="1" a="1"/>
  <c r="S1123" i="1" s="1"/>
  <c r="R1124" i="1"/>
  <c r="M1128" i="1"/>
  <c r="O1128" i="1" s="1"/>
  <c r="Q1126" i="1"/>
  <c r="N1128" i="1"/>
  <c r="P1128" i="1" s="1" a="1"/>
  <c r="P1128" i="1" s="1"/>
  <c r="S1124" i="1" l="1" a="1"/>
  <c r="S1124" i="1" s="1"/>
  <c r="R1125" i="1"/>
  <c r="N1129" i="1"/>
  <c r="P1129" i="1" s="1" a="1"/>
  <c r="P1129" i="1" s="1"/>
  <c r="Q1127" i="1"/>
  <c r="M1129" i="1"/>
  <c r="O1129" i="1" s="1"/>
  <c r="S1125" i="1" l="1" a="1"/>
  <c r="S1125" i="1" s="1"/>
  <c r="R1126" i="1"/>
  <c r="M1130" i="1"/>
  <c r="O1130" i="1" s="1"/>
  <c r="Q1128" i="1"/>
  <c r="N1130" i="1"/>
  <c r="P1130" i="1" s="1" a="1"/>
  <c r="P1130" i="1" s="1"/>
  <c r="S1126" i="1" l="1" a="1"/>
  <c r="S1126" i="1" s="1"/>
  <c r="R1127" i="1"/>
  <c r="N1131" i="1"/>
  <c r="P1131" i="1" s="1" a="1"/>
  <c r="P1131" i="1" s="1"/>
  <c r="M1131" i="1"/>
  <c r="O1131" i="1" s="1"/>
  <c r="Q1129" i="1"/>
  <c r="S1127" i="1" l="1" a="1"/>
  <c r="S1127" i="1" s="1"/>
  <c r="R1128" i="1"/>
  <c r="Q1130" i="1"/>
  <c r="M1132" i="1"/>
  <c r="O1132" i="1" s="1"/>
  <c r="N1132" i="1"/>
  <c r="P1132" i="1" s="1" a="1"/>
  <c r="P1132" i="1" s="1"/>
  <c r="S1128" i="1" l="1" a="1"/>
  <c r="S1128" i="1" s="1"/>
  <c r="R1129" i="1"/>
  <c r="N1133" i="1"/>
  <c r="P1133" i="1" s="1" a="1"/>
  <c r="P1133" i="1" s="1"/>
  <c r="M1133" i="1"/>
  <c r="O1133" i="1" s="1"/>
  <c r="Q1131" i="1"/>
  <c r="S1129" i="1" l="1" a="1"/>
  <c r="S1129" i="1" s="1"/>
  <c r="R1130" i="1"/>
  <c r="Q1132" i="1"/>
  <c r="M1134" i="1"/>
  <c r="O1134" i="1" s="1"/>
  <c r="N1134" i="1"/>
  <c r="P1134" i="1" s="1" a="1"/>
  <c r="P1134" i="1" s="1"/>
  <c r="S1130" i="1" l="1" a="1"/>
  <c r="S1130" i="1" s="1"/>
  <c r="R1131" i="1"/>
  <c r="N1135" i="1"/>
  <c r="P1135" i="1" s="1" a="1"/>
  <c r="P1135" i="1" s="1"/>
  <c r="Q1133" i="1"/>
  <c r="M1135" i="1"/>
  <c r="O1135" i="1" s="1"/>
  <c r="S1131" i="1" l="1" a="1"/>
  <c r="S1131" i="1" s="1"/>
  <c r="R1132" i="1"/>
  <c r="M1136" i="1"/>
  <c r="O1136" i="1" s="1"/>
  <c r="Q1134" i="1"/>
  <c r="N1136" i="1"/>
  <c r="P1136" i="1" s="1" a="1"/>
  <c r="P1136" i="1" s="1"/>
  <c r="S1132" i="1" l="1" a="1"/>
  <c r="S1132" i="1" s="1"/>
  <c r="R1133" i="1"/>
  <c r="N1137" i="1"/>
  <c r="P1137" i="1" s="1" a="1"/>
  <c r="P1137" i="1" s="1"/>
  <c r="M1137" i="1"/>
  <c r="O1137" i="1" s="1"/>
  <c r="Q1135" i="1"/>
  <c r="S1133" i="1" l="1" a="1"/>
  <c r="S1133" i="1" s="1"/>
  <c r="R1134" i="1"/>
  <c r="M1138" i="1"/>
  <c r="O1138" i="1" s="1"/>
  <c r="Q1136" i="1"/>
  <c r="N1138" i="1"/>
  <c r="P1138" i="1" s="1" a="1"/>
  <c r="P1138" i="1" s="1"/>
  <c r="S1134" i="1" l="1" a="1"/>
  <c r="S1134" i="1" s="1"/>
  <c r="R1135" i="1"/>
  <c r="N1139" i="1"/>
  <c r="P1139" i="1" s="1" a="1"/>
  <c r="P1139" i="1" s="1"/>
  <c r="M1139" i="1"/>
  <c r="O1139" i="1" s="1"/>
  <c r="Q1137" i="1"/>
  <c r="S1135" i="1" l="1" a="1"/>
  <c r="S1135" i="1" s="1"/>
  <c r="R1136" i="1"/>
  <c r="Q1138" i="1"/>
  <c r="M1140" i="1"/>
  <c r="O1140" i="1" s="1"/>
  <c r="N1140" i="1"/>
  <c r="P1140" i="1" s="1" a="1"/>
  <c r="P1140" i="1" s="1"/>
  <c r="S1136" i="1" l="1" a="1"/>
  <c r="S1136" i="1" s="1"/>
  <c r="R1137" i="1"/>
  <c r="N1141" i="1"/>
  <c r="P1141" i="1" s="1" a="1"/>
  <c r="P1141" i="1" s="1"/>
  <c r="M1141" i="1"/>
  <c r="O1141" i="1" s="1"/>
  <c r="Q1139" i="1"/>
  <c r="S1137" i="1" l="1" a="1"/>
  <c r="S1137" i="1" s="1"/>
  <c r="R1138" i="1"/>
  <c r="Q1140" i="1"/>
  <c r="M1142" i="1"/>
  <c r="O1142" i="1" s="1"/>
  <c r="N1142" i="1"/>
  <c r="P1142" i="1" s="1" a="1"/>
  <c r="P1142" i="1" s="1"/>
  <c r="S1138" i="1" l="1" a="1"/>
  <c r="S1138" i="1" s="1"/>
  <c r="R1139" i="1"/>
  <c r="N1143" i="1"/>
  <c r="P1143" i="1" s="1" a="1"/>
  <c r="P1143" i="1" s="1"/>
  <c r="Q1141" i="1"/>
  <c r="M1143" i="1"/>
  <c r="O1143" i="1" s="1"/>
  <c r="S1139" i="1" l="1" a="1"/>
  <c r="S1139" i="1" s="1"/>
  <c r="R1140" i="1"/>
  <c r="M1144" i="1"/>
  <c r="O1144" i="1" s="1"/>
  <c r="Q1142" i="1"/>
  <c r="N1144" i="1"/>
  <c r="P1144" i="1" s="1" a="1"/>
  <c r="P1144" i="1" s="1"/>
  <c r="S1140" i="1" l="1" a="1"/>
  <c r="S1140" i="1" s="1"/>
  <c r="R1141" i="1"/>
  <c r="N1145" i="1"/>
  <c r="P1145" i="1" s="1" a="1"/>
  <c r="P1145" i="1" s="1"/>
  <c r="Q1143" i="1"/>
  <c r="M1145" i="1"/>
  <c r="O1145" i="1" s="1"/>
  <c r="S1141" i="1" l="1" a="1"/>
  <c r="S1141" i="1" s="1"/>
  <c r="R1142" i="1"/>
  <c r="M1146" i="1"/>
  <c r="O1146" i="1" s="1"/>
  <c r="Q1144" i="1"/>
  <c r="N1146" i="1"/>
  <c r="P1146" i="1" s="1" a="1"/>
  <c r="P1146" i="1" s="1"/>
  <c r="S1142" i="1" l="1" a="1"/>
  <c r="S1142" i="1" s="1"/>
  <c r="R1143" i="1"/>
  <c r="N1147" i="1"/>
  <c r="P1147" i="1" s="1" a="1"/>
  <c r="P1147" i="1" s="1"/>
  <c r="M1147" i="1"/>
  <c r="O1147" i="1" s="1"/>
  <c r="Q1145" i="1"/>
  <c r="S1143" i="1" l="1" a="1"/>
  <c r="S1143" i="1" s="1"/>
  <c r="R1144" i="1"/>
  <c r="Q1146" i="1"/>
  <c r="M1148" i="1"/>
  <c r="O1148" i="1" s="1"/>
  <c r="N1148" i="1"/>
  <c r="P1148" i="1" s="1" a="1"/>
  <c r="P1148" i="1" s="1"/>
  <c r="S1144" i="1" l="1" a="1"/>
  <c r="S1144" i="1" s="1"/>
  <c r="R1145" i="1"/>
  <c r="M1149" i="1"/>
  <c r="O1149" i="1" s="1"/>
  <c r="N1149" i="1"/>
  <c r="P1149" i="1" s="1" a="1"/>
  <c r="P1149" i="1" s="1"/>
  <c r="Q1147" i="1"/>
  <c r="S1145" i="1" l="1" a="1"/>
  <c r="S1145" i="1" s="1"/>
  <c r="R1146" i="1"/>
  <c r="N1150" i="1"/>
  <c r="P1150" i="1" s="1" a="1"/>
  <c r="P1150" i="1" s="1"/>
  <c r="Q1148" i="1"/>
  <c r="M1150" i="1"/>
  <c r="O1150" i="1" s="1"/>
  <c r="S1146" i="1" l="1" a="1"/>
  <c r="S1146" i="1" s="1"/>
  <c r="R1147" i="1"/>
  <c r="N1151" i="1"/>
  <c r="P1151" i="1" s="1" a="1"/>
  <c r="P1151" i="1" s="1"/>
  <c r="Q1149" i="1"/>
  <c r="M1151" i="1"/>
  <c r="O1151" i="1" s="1"/>
  <c r="S1147" i="1" l="1" a="1"/>
  <c r="S1147" i="1" s="1"/>
  <c r="R1148" i="1"/>
  <c r="M1152" i="1"/>
  <c r="O1152" i="1" s="1"/>
  <c r="Q1150" i="1"/>
  <c r="N1152" i="1"/>
  <c r="P1152" i="1" s="1" a="1"/>
  <c r="P1152" i="1" s="1"/>
  <c r="S1148" i="1" l="1" a="1"/>
  <c r="S1148" i="1" s="1"/>
  <c r="R1149" i="1"/>
  <c r="N1153" i="1"/>
  <c r="P1153" i="1" s="1" a="1"/>
  <c r="P1153" i="1" s="1"/>
  <c r="Q1151" i="1"/>
  <c r="M1153" i="1"/>
  <c r="O1153" i="1" s="1"/>
  <c r="S1149" i="1" l="1" a="1"/>
  <c r="S1149" i="1" s="1"/>
  <c r="R1150" i="1"/>
  <c r="Q1152" i="1"/>
  <c r="M1154" i="1"/>
  <c r="O1154" i="1" s="1"/>
  <c r="N1154" i="1"/>
  <c r="P1154" i="1" s="1" a="1"/>
  <c r="P1154" i="1" s="1"/>
  <c r="S1150" i="1" l="1" a="1"/>
  <c r="S1150" i="1" s="1"/>
  <c r="R1151" i="1"/>
  <c r="N1155" i="1"/>
  <c r="P1155" i="1" s="1" a="1"/>
  <c r="P1155" i="1" s="1"/>
  <c r="M1155" i="1"/>
  <c r="O1155" i="1" s="1"/>
  <c r="Q1153" i="1"/>
  <c r="S1151" i="1" l="1" a="1"/>
  <c r="S1151" i="1" s="1"/>
  <c r="R1152" i="1"/>
  <c r="N1156" i="1"/>
  <c r="P1156" i="1" s="1" a="1"/>
  <c r="P1156" i="1" s="1"/>
  <c r="Q1154" i="1"/>
  <c r="M1156" i="1"/>
  <c r="O1156" i="1" s="1"/>
  <c r="S1152" i="1" l="1" a="1"/>
  <c r="S1152" i="1" s="1"/>
  <c r="R1153" i="1"/>
  <c r="Q1155" i="1"/>
  <c r="M1157" i="1"/>
  <c r="O1157" i="1" s="1"/>
  <c r="N1157" i="1"/>
  <c r="P1157" i="1" s="1" a="1"/>
  <c r="P1157" i="1" s="1"/>
  <c r="S1153" i="1" l="1" a="1"/>
  <c r="S1153" i="1" s="1"/>
  <c r="R1154" i="1"/>
  <c r="N1158" i="1"/>
  <c r="P1158" i="1" s="1" a="1"/>
  <c r="P1158" i="1" s="1"/>
  <c r="Q1156" i="1"/>
  <c r="M1158" i="1"/>
  <c r="O1158" i="1" s="1"/>
  <c r="S1154" i="1" l="1" a="1"/>
  <c r="S1154" i="1" s="1"/>
  <c r="R1155" i="1"/>
  <c r="Q1157" i="1"/>
  <c r="M1159" i="1"/>
  <c r="O1159" i="1" s="1"/>
  <c r="N1159" i="1"/>
  <c r="P1159" i="1" s="1" a="1"/>
  <c r="P1159" i="1" s="1"/>
  <c r="S1155" i="1" l="1" a="1"/>
  <c r="S1155" i="1" s="1"/>
  <c r="R1156" i="1"/>
  <c r="N1160" i="1"/>
  <c r="P1160" i="1" s="1" a="1"/>
  <c r="P1160" i="1" s="1"/>
  <c r="M1160" i="1"/>
  <c r="O1160" i="1" s="1"/>
  <c r="Q1158" i="1"/>
  <c r="S1156" i="1" l="1" a="1"/>
  <c r="S1156" i="1" s="1"/>
  <c r="R1157" i="1"/>
  <c r="Q1159" i="1"/>
  <c r="M1161" i="1"/>
  <c r="O1161" i="1" s="1"/>
  <c r="N1161" i="1"/>
  <c r="P1161" i="1" s="1" a="1"/>
  <c r="P1161" i="1" s="1"/>
  <c r="S1157" i="1" l="1" a="1"/>
  <c r="S1157" i="1" s="1"/>
  <c r="R1158" i="1"/>
  <c r="M1162" i="1"/>
  <c r="O1162" i="1" s="1"/>
  <c r="N1162" i="1"/>
  <c r="P1162" i="1" s="1" a="1"/>
  <c r="P1162" i="1" s="1"/>
  <c r="Q1160" i="1"/>
  <c r="S1158" i="1" l="1" a="1"/>
  <c r="S1158" i="1" s="1"/>
  <c r="R1159" i="1"/>
  <c r="N1163" i="1"/>
  <c r="P1163" i="1" s="1" a="1"/>
  <c r="P1163" i="1" s="1"/>
  <c r="Q1161" i="1"/>
  <c r="M1163" i="1"/>
  <c r="O1163" i="1" s="1"/>
  <c r="S1159" i="1" l="1" a="1"/>
  <c r="S1159" i="1" s="1"/>
  <c r="R1160" i="1"/>
  <c r="Q1162" i="1"/>
  <c r="M1164" i="1"/>
  <c r="O1164" i="1" s="1"/>
  <c r="N1164" i="1"/>
  <c r="P1164" i="1" s="1" a="1"/>
  <c r="P1164" i="1" s="1"/>
  <c r="S1160" i="1" l="1" a="1"/>
  <c r="S1160" i="1" s="1"/>
  <c r="R1161" i="1"/>
  <c r="M1165" i="1"/>
  <c r="O1165" i="1" s="1"/>
  <c r="N1165" i="1"/>
  <c r="P1165" i="1" s="1" a="1"/>
  <c r="P1165" i="1" s="1"/>
  <c r="Q1163" i="1"/>
  <c r="S1161" i="1" l="1" a="1"/>
  <c r="S1161" i="1" s="1"/>
  <c r="R1162" i="1"/>
  <c r="N1166" i="1"/>
  <c r="P1166" i="1" s="1" a="1"/>
  <c r="P1166" i="1" s="1"/>
  <c r="Q1164" i="1"/>
  <c r="M1166" i="1"/>
  <c r="O1166" i="1" s="1"/>
  <c r="S1162" i="1" l="1" a="1"/>
  <c r="S1162" i="1" s="1"/>
  <c r="R1163" i="1"/>
  <c r="Q1165" i="1"/>
  <c r="M1167" i="1"/>
  <c r="O1167" i="1" s="1"/>
  <c r="N1167" i="1"/>
  <c r="P1167" i="1" s="1" a="1"/>
  <c r="P1167" i="1" s="1"/>
  <c r="S1163" i="1" l="1" a="1"/>
  <c r="S1163" i="1" s="1"/>
  <c r="R1164" i="1"/>
  <c r="M1168" i="1"/>
  <c r="O1168" i="1" s="1"/>
  <c r="N1168" i="1"/>
  <c r="P1168" i="1" s="1" a="1"/>
  <c r="P1168" i="1" s="1"/>
  <c r="Q1166" i="1"/>
  <c r="S1164" i="1" l="1" a="1"/>
  <c r="S1164" i="1" s="1"/>
  <c r="R1165" i="1"/>
  <c r="N1169" i="1"/>
  <c r="P1169" i="1" s="1" a="1"/>
  <c r="P1169" i="1" s="1"/>
  <c r="Q1167" i="1"/>
  <c r="M1169" i="1"/>
  <c r="O1169" i="1" s="1"/>
  <c r="S1165" i="1" l="1" a="1"/>
  <c r="S1165" i="1" s="1"/>
  <c r="R1166" i="1"/>
  <c r="M1170" i="1"/>
  <c r="O1170" i="1" s="1"/>
  <c r="Q1168" i="1"/>
  <c r="N1170" i="1"/>
  <c r="P1170" i="1" s="1" a="1"/>
  <c r="P1170" i="1" s="1"/>
  <c r="S1166" i="1" l="1" a="1"/>
  <c r="S1166" i="1" s="1"/>
  <c r="R1167" i="1"/>
  <c r="M1171" i="1"/>
  <c r="O1171" i="1" s="1"/>
  <c r="N1171" i="1"/>
  <c r="P1171" i="1" s="1" a="1"/>
  <c r="P1171" i="1" s="1"/>
  <c r="Q1169" i="1"/>
  <c r="S1167" i="1" l="1" a="1"/>
  <c r="S1167" i="1" s="1"/>
  <c r="R1168" i="1"/>
  <c r="N1172" i="1"/>
  <c r="P1172" i="1" s="1" a="1"/>
  <c r="P1172" i="1" s="1"/>
  <c r="M1172" i="1"/>
  <c r="O1172" i="1" s="1"/>
  <c r="Q1170" i="1"/>
  <c r="S1168" i="1" l="1" a="1"/>
  <c r="S1168" i="1" s="1"/>
  <c r="R1169" i="1"/>
  <c r="M1173" i="1"/>
  <c r="O1173" i="1" s="1"/>
  <c r="Q1171" i="1"/>
  <c r="N1173" i="1"/>
  <c r="P1173" i="1" s="1" a="1"/>
  <c r="P1173" i="1" s="1"/>
  <c r="S1169" i="1" l="1" a="1"/>
  <c r="S1169" i="1" s="1"/>
  <c r="R1170" i="1"/>
  <c r="N1174" i="1"/>
  <c r="P1174" i="1" s="1" a="1"/>
  <c r="P1174" i="1" s="1"/>
  <c r="Q1172" i="1"/>
  <c r="M1174" i="1"/>
  <c r="O1174" i="1" s="1"/>
  <c r="S1170" i="1" l="1" a="1"/>
  <c r="S1170" i="1" s="1"/>
  <c r="R1171" i="1"/>
  <c r="Q1173" i="1"/>
  <c r="M1175" i="1"/>
  <c r="O1175" i="1" s="1"/>
  <c r="N1175" i="1"/>
  <c r="P1175" i="1" s="1" a="1"/>
  <c r="P1175" i="1" s="1"/>
  <c r="S1171" i="1" l="1" a="1"/>
  <c r="S1171" i="1" s="1"/>
  <c r="R1172" i="1"/>
  <c r="M1176" i="1"/>
  <c r="O1176" i="1" s="1"/>
  <c r="N1176" i="1"/>
  <c r="P1176" i="1" s="1" a="1"/>
  <c r="P1176" i="1" s="1"/>
  <c r="Q1174" i="1"/>
  <c r="S1172" i="1" l="1" a="1"/>
  <c r="S1172" i="1" s="1"/>
  <c r="R1173" i="1"/>
  <c r="N1177" i="1"/>
  <c r="P1177" i="1" s="1" a="1"/>
  <c r="P1177" i="1" s="1"/>
  <c r="Q1175" i="1"/>
  <c r="M1177" i="1"/>
  <c r="O1177" i="1" s="1"/>
  <c r="S1173" i="1" l="1" a="1"/>
  <c r="S1173" i="1" s="1"/>
  <c r="R1174" i="1"/>
  <c r="Q1176" i="1"/>
  <c r="N1178" i="1"/>
  <c r="P1178" i="1" s="1" a="1"/>
  <c r="P1178" i="1" s="1"/>
  <c r="M1178" i="1"/>
  <c r="O1178" i="1" s="1"/>
  <c r="S1174" i="1" l="1" a="1"/>
  <c r="S1174" i="1" s="1"/>
  <c r="R1175" i="1"/>
  <c r="M1179" i="1"/>
  <c r="O1179" i="1" s="1"/>
  <c r="Q1177" i="1"/>
  <c r="N1179" i="1"/>
  <c r="P1179" i="1" s="1" a="1"/>
  <c r="P1179" i="1" s="1"/>
  <c r="S1175" i="1" l="1" a="1"/>
  <c r="S1175" i="1" s="1"/>
  <c r="R1176" i="1"/>
  <c r="N1180" i="1"/>
  <c r="P1180" i="1" s="1" a="1"/>
  <c r="P1180" i="1" s="1"/>
  <c r="Q1178" i="1"/>
  <c r="M1180" i="1"/>
  <c r="O1180" i="1" s="1"/>
  <c r="S1176" i="1" l="1" a="1"/>
  <c r="S1176" i="1" s="1"/>
  <c r="R1177" i="1"/>
  <c r="M1181" i="1"/>
  <c r="O1181" i="1" s="1"/>
  <c r="Q1179" i="1"/>
  <c r="N1181" i="1"/>
  <c r="P1181" i="1" s="1" a="1"/>
  <c r="P1181" i="1" s="1"/>
  <c r="S1177" i="1" l="1" a="1"/>
  <c r="S1177" i="1" s="1"/>
  <c r="R1178" i="1"/>
  <c r="N1182" i="1"/>
  <c r="P1182" i="1" s="1" a="1"/>
  <c r="P1182" i="1" s="1"/>
  <c r="Q1180" i="1"/>
  <c r="M1182" i="1"/>
  <c r="O1182" i="1" s="1"/>
  <c r="S1178" i="1" l="1" a="1"/>
  <c r="S1178" i="1" s="1"/>
  <c r="R1179" i="1"/>
  <c r="Q1181" i="1"/>
  <c r="M1183" i="1"/>
  <c r="O1183" i="1" s="1"/>
  <c r="N1183" i="1"/>
  <c r="P1183" i="1" s="1" a="1"/>
  <c r="P1183" i="1" s="1"/>
  <c r="S1179" i="1" l="1" a="1"/>
  <c r="S1179" i="1" s="1"/>
  <c r="R1180" i="1"/>
  <c r="N1184" i="1"/>
  <c r="P1184" i="1" s="1" a="1"/>
  <c r="P1184" i="1" s="1"/>
  <c r="M1184" i="1"/>
  <c r="O1184" i="1" s="1"/>
  <c r="Q1182" i="1"/>
  <c r="S1180" i="1" l="1" a="1"/>
  <c r="S1180" i="1" s="1"/>
  <c r="R1181" i="1"/>
  <c r="Q1183" i="1"/>
  <c r="M1185" i="1"/>
  <c r="O1185" i="1" s="1"/>
  <c r="N1185" i="1"/>
  <c r="P1185" i="1" s="1" a="1"/>
  <c r="P1185" i="1" s="1"/>
  <c r="S1181" i="1" l="1" a="1"/>
  <c r="S1181" i="1" s="1"/>
  <c r="R1182" i="1"/>
  <c r="M1186" i="1"/>
  <c r="O1186" i="1" s="1"/>
  <c r="N1186" i="1"/>
  <c r="P1186" i="1" s="1" a="1"/>
  <c r="P1186" i="1" s="1"/>
  <c r="Q1184" i="1"/>
  <c r="S1182" i="1" l="1" a="1"/>
  <c r="S1182" i="1" s="1"/>
  <c r="R1183" i="1"/>
  <c r="N1187" i="1"/>
  <c r="P1187" i="1" s="1" a="1"/>
  <c r="P1187" i="1" s="1"/>
  <c r="M1187" i="1"/>
  <c r="O1187" i="1" s="1"/>
  <c r="Q1185" i="1"/>
  <c r="S1183" i="1" l="1" a="1"/>
  <c r="S1183" i="1" s="1"/>
  <c r="R1184" i="1"/>
  <c r="Q1186" i="1"/>
  <c r="M1188" i="1"/>
  <c r="O1188" i="1" s="1"/>
  <c r="N1188" i="1"/>
  <c r="P1188" i="1" s="1" a="1"/>
  <c r="P1188" i="1" s="1"/>
  <c r="S1184" i="1" l="1" a="1"/>
  <c r="S1184" i="1" s="1"/>
  <c r="R1185" i="1"/>
  <c r="N1189" i="1"/>
  <c r="P1189" i="1" s="1" a="1"/>
  <c r="P1189" i="1" s="1"/>
  <c r="M1189" i="1"/>
  <c r="O1189" i="1" s="1"/>
  <c r="Q1187" i="1"/>
  <c r="S1185" i="1" l="1" a="1"/>
  <c r="S1185" i="1" s="1"/>
  <c r="R1186" i="1"/>
  <c r="Q1188" i="1"/>
  <c r="M1190" i="1"/>
  <c r="O1190" i="1" s="1"/>
  <c r="N1190" i="1"/>
  <c r="P1190" i="1" s="1" a="1"/>
  <c r="P1190" i="1" s="1"/>
  <c r="S1186" i="1" l="1" a="1"/>
  <c r="S1186" i="1" s="1"/>
  <c r="R1187" i="1"/>
  <c r="N1191" i="1"/>
  <c r="P1191" i="1" s="1" a="1"/>
  <c r="P1191" i="1" s="1"/>
  <c r="Q1189" i="1"/>
  <c r="M1191" i="1"/>
  <c r="O1191" i="1" s="1"/>
  <c r="S1187" i="1" l="1" a="1"/>
  <c r="S1187" i="1" s="1"/>
  <c r="R1188" i="1"/>
  <c r="M1192" i="1"/>
  <c r="O1192" i="1" s="1"/>
  <c r="Q1190" i="1"/>
  <c r="N1192" i="1"/>
  <c r="P1192" i="1" s="1" a="1"/>
  <c r="P1192" i="1" s="1"/>
  <c r="S1188" i="1" l="1" a="1"/>
  <c r="S1188" i="1" s="1"/>
  <c r="R1189" i="1"/>
  <c r="N1193" i="1"/>
  <c r="P1193" i="1" s="1" a="1"/>
  <c r="P1193" i="1" s="1"/>
  <c r="Q1191" i="1"/>
  <c r="M1193" i="1"/>
  <c r="O1193" i="1" s="1"/>
  <c r="S1189" i="1" l="1" a="1"/>
  <c r="S1189" i="1" s="1"/>
  <c r="R1190" i="1"/>
  <c r="M1194" i="1"/>
  <c r="O1194" i="1" s="1"/>
  <c r="Q1192" i="1"/>
  <c r="N1194" i="1"/>
  <c r="P1194" i="1" s="1" a="1"/>
  <c r="P1194" i="1" s="1"/>
  <c r="S1190" i="1" l="1" a="1"/>
  <c r="S1190" i="1" s="1"/>
  <c r="R1191" i="1"/>
  <c r="N1195" i="1"/>
  <c r="P1195" i="1" s="1" a="1"/>
  <c r="P1195" i="1" s="1"/>
  <c r="M1195" i="1"/>
  <c r="O1195" i="1" s="1"/>
  <c r="Q1193" i="1"/>
  <c r="S1191" i="1" l="1" a="1"/>
  <c r="S1191" i="1" s="1"/>
  <c r="R1192" i="1"/>
  <c r="Q1194" i="1"/>
  <c r="M1196" i="1"/>
  <c r="O1196" i="1" s="1"/>
  <c r="N1196" i="1"/>
  <c r="P1196" i="1" s="1" a="1"/>
  <c r="P1196" i="1" s="1"/>
  <c r="S1192" i="1" l="1" a="1"/>
  <c r="S1192" i="1" s="1"/>
  <c r="R1193" i="1"/>
  <c r="N1197" i="1"/>
  <c r="P1197" i="1" s="1" a="1"/>
  <c r="P1197" i="1" s="1"/>
  <c r="M1197" i="1"/>
  <c r="O1197" i="1" s="1"/>
  <c r="Q1195" i="1"/>
  <c r="S1193" i="1" l="1" a="1"/>
  <c r="S1193" i="1" s="1"/>
  <c r="R1194" i="1"/>
  <c r="Q1196" i="1"/>
  <c r="M1198" i="1"/>
  <c r="O1198" i="1" s="1"/>
  <c r="N1198" i="1"/>
  <c r="P1198" i="1" s="1" a="1"/>
  <c r="P1198" i="1" s="1"/>
  <c r="S1194" i="1" l="1" a="1"/>
  <c r="S1194" i="1" s="1"/>
  <c r="R1195" i="1"/>
  <c r="N1199" i="1"/>
  <c r="P1199" i="1" s="1" a="1"/>
  <c r="P1199" i="1" s="1"/>
  <c r="Q1197" i="1"/>
  <c r="M1199" i="1"/>
  <c r="O1199" i="1" s="1"/>
  <c r="S1195" i="1" l="1" a="1"/>
  <c r="S1195" i="1" s="1"/>
  <c r="R1196" i="1"/>
  <c r="M1200" i="1"/>
  <c r="O1200" i="1" s="1"/>
  <c r="Q1198" i="1"/>
  <c r="N1200" i="1"/>
  <c r="P1200" i="1" s="1" a="1"/>
  <c r="P1200" i="1" s="1"/>
  <c r="S1196" i="1" l="1" a="1"/>
  <c r="S1196" i="1" s="1"/>
  <c r="R1197" i="1"/>
  <c r="N1201" i="1"/>
  <c r="P1201" i="1" s="1" a="1"/>
  <c r="P1201" i="1" s="1"/>
  <c r="Q1199" i="1"/>
  <c r="M1201" i="1"/>
  <c r="O1201" i="1" s="1"/>
  <c r="S1197" i="1" l="1" a="1"/>
  <c r="S1197" i="1" s="1"/>
  <c r="R1198" i="1"/>
  <c r="M1202" i="1"/>
  <c r="O1202" i="1" s="1"/>
  <c r="Q1200" i="1"/>
  <c r="N1202" i="1"/>
  <c r="P1202" i="1" s="1" a="1"/>
  <c r="P1202" i="1" s="1"/>
  <c r="S1198" i="1" l="1" a="1"/>
  <c r="S1198" i="1" s="1"/>
  <c r="R1199" i="1"/>
  <c r="N1203" i="1"/>
  <c r="P1203" i="1" s="1" a="1"/>
  <c r="P1203" i="1" s="1"/>
  <c r="M1203" i="1"/>
  <c r="O1203" i="1" s="1"/>
  <c r="Q1201" i="1"/>
  <c r="S1199" i="1" l="1" a="1"/>
  <c r="S1199" i="1" s="1"/>
  <c r="R1200" i="1"/>
  <c r="Q1202" i="1"/>
  <c r="M1204" i="1"/>
  <c r="O1204" i="1" s="1"/>
  <c r="N1204" i="1"/>
  <c r="P1204" i="1" s="1" a="1"/>
  <c r="P1204" i="1" s="1"/>
  <c r="S1200" i="1" l="1" a="1"/>
  <c r="S1200" i="1" s="1"/>
  <c r="R1201" i="1"/>
  <c r="N1205" i="1"/>
  <c r="P1205" i="1" s="1" a="1"/>
  <c r="P1205" i="1" s="1"/>
  <c r="Q1203" i="1"/>
  <c r="M1205" i="1"/>
  <c r="O1205" i="1" s="1"/>
  <c r="S1201" i="1" l="1" a="1"/>
  <c r="S1201" i="1" s="1"/>
  <c r="R1202" i="1"/>
  <c r="Q1204" i="1"/>
  <c r="M1206" i="1"/>
  <c r="O1206" i="1" s="1"/>
  <c r="N1206" i="1"/>
  <c r="P1206" i="1" s="1" a="1"/>
  <c r="P1206" i="1" s="1"/>
  <c r="S1202" i="1" l="1" a="1"/>
  <c r="S1202" i="1" s="1"/>
  <c r="R1203" i="1"/>
  <c r="N1207" i="1"/>
  <c r="P1207" i="1" s="1" a="1"/>
  <c r="P1207" i="1" s="1"/>
  <c r="Q1205" i="1"/>
  <c r="M1207" i="1"/>
  <c r="O1207" i="1" s="1"/>
  <c r="S1203" i="1" l="1" a="1"/>
  <c r="S1203" i="1" s="1"/>
  <c r="R1204" i="1"/>
  <c r="Q1206" i="1"/>
  <c r="M1208" i="1"/>
  <c r="O1208" i="1" s="1"/>
  <c r="N1208" i="1"/>
  <c r="P1208" i="1" s="1" a="1"/>
  <c r="P1208" i="1" s="1"/>
  <c r="S1204" i="1" l="1" a="1"/>
  <c r="S1204" i="1" s="1"/>
  <c r="R1205" i="1"/>
  <c r="N1209" i="1"/>
  <c r="P1209" i="1" s="1" a="1"/>
  <c r="P1209" i="1" s="1"/>
  <c r="Q1207" i="1"/>
  <c r="M1209" i="1"/>
  <c r="O1209" i="1" s="1"/>
  <c r="S1205" i="1" l="1" a="1"/>
  <c r="S1205" i="1" s="1"/>
  <c r="R1206" i="1"/>
  <c r="Q1208" i="1"/>
  <c r="M1210" i="1"/>
  <c r="O1210" i="1" s="1"/>
  <c r="N1210" i="1"/>
  <c r="P1210" i="1" s="1" a="1"/>
  <c r="P1210" i="1" s="1"/>
  <c r="S1206" i="1" l="1" a="1"/>
  <c r="S1206" i="1" s="1"/>
  <c r="R1207" i="1"/>
  <c r="M1211" i="1"/>
  <c r="O1211" i="1" s="1"/>
  <c r="N1211" i="1"/>
  <c r="P1211" i="1" s="1" a="1"/>
  <c r="P1211" i="1" s="1"/>
  <c r="Q1209" i="1"/>
  <c r="S1207" i="1" l="1" a="1"/>
  <c r="S1207" i="1" s="1"/>
  <c r="R1208" i="1"/>
  <c r="N1212" i="1"/>
  <c r="P1212" i="1" s="1" a="1"/>
  <c r="P1212" i="1" s="1"/>
  <c r="Q1210" i="1"/>
  <c r="M1212" i="1"/>
  <c r="O1212" i="1" s="1"/>
  <c r="S1208" i="1" l="1" a="1"/>
  <c r="S1208" i="1" s="1"/>
  <c r="R1209" i="1"/>
  <c r="M1213" i="1"/>
  <c r="O1213" i="1" s="1"/>
  <c r="Q1211" i="1"/>
  <c r="N1213" i="1"/>
  <c r="P1213" i="1" s="1" a="1"/>
  <c r="P1213" i="1" s="1"/>
  <c r="S1209" i="1" l="1" a="1"/>
  <c r="S1209" i="1" s="1"/>
  <c r="R1210" i="1"/>
  <c r="N1214" i="1"/>
  <c r="P1214" i="1" s="1" a="1"/>
  <c r="P1214" i="1" s="1"/>
  <c r="Q1212" i="1"/>
  <c r="M1214" i="1"/>
  <c r="O1214" i="1" s="1"/>
  <c r="S1210" i="1" l="1" a="1"/>
  <c r="S1210" i="1" s="1"/>
  <c r="R1211" i="1"/>
  <c r="Q1213" i="1"/>
  <c r="M1215" i="1"/>
  <c r="O1215" i="1" s="1"/>
  <c r="N1215" i="1"/>
  <c r="P1215" i="1" s="1" a="1"/>
  <c r="P1215" i="1" s="1"/>
  <c r="S1211" i="1" l="1" a="1"/>
  <c r="S1211" i="1" s="1"/>
  <c r="R1212" i="1"/>
  <c r="Q1214" i="1"/>
  <c r="N1216" i="1"/>
  <c r="P1216" i="1" s="1" a="1"/>
  <c r="P1216" i="1" s="1"/>
  <c r="M1216" i="1"/>
  <c r="O1216" i="1" s="1"/>
  <c r="S1212" i="1" l="1" a="1"/>
  <c r="S1212" i="1" s="1"/>
  <c r="R1213" i="1"/>
  <c r="Q1215" i="1"/>
  <c r="M1217" i="1"/>
  <c r="O1217" i="1" s="1"/>
  <c r="N1217" i="1"/>
  <c r="P1217" i="1" s="1" a="1"/>
  <c r="P1217" i="1" s="1"/>
  <c r="S1213" i="1" l="1" a="1"/>
  <c r="S1213" i="1" s="1"/>
  <c r="R1214" i="1"/>
  <c r="N1218" i="1"/>
  <c r="P1218" i="1" s="1" a="1"/>
  <c r="P1218" i="1" s="1"/>
  <c r="Q1216" i="1"/>
  <c r="M1218" i="1"/>
  <c r="O1218" i="1" s="1"/>
  <c r="S1214" i="1" l="1" a="1"/>
  <c r="S1214" i="1" s="1"/>
  <c r="R1215" i="1"/>
  <c r="M1219" i="1"/>
  <c r="O1219" i="1" s="1"/>
  <c r="Q1217" i="1"/>
  <c r="N1219" i="1"/>
  <c r="P1219" i="1" s="1" a="1"/>
  <c r="P1219" i="1" s="1"/>
  <c r="S1215" i="1" l="1" a="1"/>
  <c r="S1215" i="1" s="1"/>
  <c r="R1216" i="1"/>
  <c r="N1220" i="1"/>
  <c r="P1220" i="1" s="1" a="1"/>
  <c r="P1220" i="1" s="1"/>
  <c r="M1220" i="1"/>
  <c r="O1220" i="1" s="1"/>
  <c r="Q1218" i="1"/>
  <c r="S1216" i="1" l="1" a="1"/>
  <c r="S1216" i="1" s="1"/>
  <c r="R1217" i="1"/>
  <c r="M1221" i="1"/>
  <c r="O1221" i="1" s="1"/>
  <c r="Q1219" i="1"/>
  <c r="N1221" i="1"/>
  <c r="P1221" i="1" s="1" a="1"/>
  <c r="P1221" i="1" s="1"/>
  <c r="S1217" i="1" l="1" a="1"/>
  <c r="S1217" i="1" s="1"/>
  <c r="R1218" i="1"/>
  <c r="N1222" i="1"/>
  <c r="P1222" i="1" s="1" a="1"/>
  <c r="P1222" i="1" s="1"/>
  <c r="Q1220" i="1"/>
  <c r="M1222" i="1"/>
  <c r="O1222" i="1" s="1"/>
  <c r="S1218" i="1" l="1" a="1"/>
  <c r="S1218" i="1" s="1"/>
  <c r="R1219" i="1"/>
  <c r="Q1221" i="1"/>
  <c r="M1223" i="1"/>
  <c r="O1223" i="1" s="1"/>
  <c r="N1223" i="1"/>
  <c r="P1223" i="1" s="1" a="1"/>
  <c r="P1223" i="1" s="1"/>
  <c r="S1219" i="1" l="1" a="1"/>
  <c r="S1219" i="1" s="1"/>
  <c r="R1220" i="1"/>
  <c r="M1224" i="1"/>
  <c r="O1224" i="1" s="1"/>
  <c r="N1224" i="1"/>
  <c r="P1224" i="1" s="1" a="1"/>
  <c r="P1224" i="1" s="1"/>
  <c r="Q1222" i="1"/>
  <c r="S1220" i="1" l="1" a="1"/>
  <c r="S1220" i="1" s="1"/>
  <c r="R1221" i="1"/>
  <c r="N1225" i="1"/>
  <c r="P1225" i="1" s="1" a="1"/>
  <c r="P1225" i="1" s="1"/>
  <c r="Q1223" i="1"/>
  <c r="M1225" i="1"/>
  <c r="O1225" i="1" s="1"/>
  <c r="S1221" i="1" l="1" a="1"/>
  <c r="S1221" i="1" s="1"/>
  <c r="R1222" i="1"/>
  <c r="M1226" i="1"/>
  <c r="O1226" i="1" s="1"/>
  <c r="Q1224" i="1"/>
  <c r="N1226" i="1"/>
  <c r="P1226" i="1" s="1" a="1"/>
  <c r="P1226" i="1" s="1"/>
  <c r="S1222" i="1" l="1" a="1"/>
  <c r="S1222" i="1" s="1"/>
  <c r="R1223" i="1"/>
  <c r="N1227" i="1"/>
  <c r="P1227" i="1" s="1" a="1"/>
  <c r="P1227" i="1" s="1"/>
  <c r="M1227" i="1"/>
  <c r="O1227" i="1" s="1"/>
  <c r="Q1225" i="1"/>
  <c r="S1223" i="1" l="1" a="1"/>
  <c r="S1223" i="1" s="1"/>
  <c r="R1224" i="1"/>
  <c r="Q1226" i="1"/>
  <c r="M1228" i="1"/>
  <c r="O1228" i="1" s="1"/>
  <c r="N1228" i="1"/>
  <c r="P1228" i="1" s="1" a="1"/>
  <c r="P1228" i="1" s="1"/>
  <c r="S1224" i="1" l="1" a="1"/>
  <c r="S1224" i="1" s="1"/>
  <c r="R1225" i="1"/>
  <c r="N1229" i="1"/>
  <c r="P1229" i="1" s="1" a="1"/>
  <c r="P1229" i="1" s="1"/>
  <c r="M1229" i="1"/>
  <c r="O1229" i="1" s="1"/>
  <c r="Q1227" i="1"/>
  <c r="S1225" i="1" l="1" a="1"/>
  <c r="S1225" i="1" s="1"/>
  <c r="R1226" i="1"/>
  <c r="Q1228" i="1"/>
  <c r="M1230" i="1"/>
  <c r="O1230" i="1" s="1"/>
  <c r="N1230" i="1"/>
  <c r="P1230" i="1" s="1" a="1"/>
  <c r="P1230" i="1" s="1"/>
  <c r="S1226" i="1" l="1" a="1"/>
  <c r="S1226" i="1" s="1"/>
  <c r="R1227" i="1"/>
  <c r="N1231" i="1"/>
  <c r="P1231" i="1" s="1" a="1"/>
  <c r="P1231" i="1" s="1"/>
  <c r="Q1229" i="1"/>
  <c r="M1231" i="1"/>
  <c r="O1231" i="1" s="1"/>
  <c r="S1227" i="1" l="1" a="1"/>
  <c r="S1227" i="1" s="1"/>
  <c r="R1228" i="1"/>
  <c r="M1232" i="1"/>
  <c r="O1232" i="1" s="1"/>
  <c r="Q1230" i="1"/>
  <c r="N1232" i="1"/>
  <c r="P1232" i="1" s="1" a="1"/>
  <c r="P1232" i="1" s="1"/>
  <c r="S1228" i="1" l="1" a="1"/>
  <c r="S1228" i="1" s="1"/>
  <c r="R1229" i="1"/>
  <c r="N1233" i="1"/>
  <c r="P1233" i="1" s="1" a="1"/>
  <c r="P1233" i="1" s="1"/>
  <c r="Q1231" i="1"/>
  <c r="M1233" i="1"/>
  <c r="O1233" i="1" s="1"/>
  <c r="S1229" i="1" l="1" a="1"/>
  <c r="S1229" i="1" s="1"/>
  <c r="R1230" i="1"/>
  <c r="Q1232" i="1"/>
  <c r="M1234" i="1"/>
  <c r="O1234" i="1" s="1"/>
  <c r="N1234" i="1"/>
  <c r="P1234" i="1" s="1" a="1"/>
  <c r="P1234" i="1" s="1"/>
  <c r="S1230" i="1" l="1" a="1"/>
  <c r="S1230" i="1" s="1"/>
  <c r="R1231" i="1"/>
  <c r="N1235" i="1"/>
  <c r="P1235" i="1" s="1" a="1"/>
  <c r="P1235" i="1" s="1"/>
  <c r="Q1233" i="1"/>
  <c r="M1235" i="1"/>
  <c r="O1235" i="1" s="1"/>
  <c r="S1231" i="1" l="1" a="1"/>
  <c r="S1231" i="1" s="1"/>
  <c r="R1232" i="1"/>
  <c r="Q1234" i="1"/>
  <c r="M1236" i="1"/>
  <c r="O1236" i="1" s="1"/>
  <c r="N1236" i="1"/>
  <c r="P1236" i="1" s="1" a="1"/>
  <c r="P1236" i="1" s="1"/>
  <c r="S1232" i="1" l="1" a="1"/>
  <c r="S1232" i="1" s="1"/>
  <c r="R1233" i="1"/>
  <c r="M1237" i="1"/>
  <c r="O1237" i="1" s="1"/>
  <c r="N1237" i="1"/>
  <c r="P1237" i="1" s="1" a="1"/>
  <c r="P1237" i="1" s="1"/>
  <c r="Q1235" i="1"/>
  <c r="S1233" i="1" l="1" a="1"/>
  <c r="S1233" i="1" s="1"/>
  <c r="R1234" i="1"/>
  <c r="N1238" i="1"/>
  <c r="P1238" i="1" s="1" a="1"/>
  <c r="P1238" i="1" s="1"/>
  <c r="Q1236" i="1"/>
  <c r="M1238" i="1"/>
  <c r="O1238" i="1" s="1"/>
  <c r="S1234" i="1" l="1" a="1"/>
  <c r="S1234" i="1" s="1"/>
  <c r="R1235" i="1"/>
  <c r="Q1237" i="1"/>
  <c r="M1239" i="1"/>
  <c r="O1239" i="1" s="1"/>
  <c r="N1239" i="1"/>
  <c r="P1239" i="1" s="1" a="1"/>
  <c r="P1239" i="1" s="1"/>
  <c r="S1235" i="1" l="1" a="1"/>
  <c r="S1235" i="1" s="1"/>
  <c r="R1236" i="1"/>
  <c r="N1240" i="1"/>
  <c r="P1240" i="1" s="1" a="1"/>
  <c r="P1240" i="1" s="1"/>
  <c r="M1240" i="1"/>
  <c r="O1240" i="1" s="1"/>
  <c r="Q1238" i="1"/>
  <c r="S1236" i="1" l="1" a="1"/>
  <c r="S1236" i="1" s="1"/>
  <c r="R1237" i="1"/>
  <c r="Q1239" i="1"/>
  <c r="M1241" i="1"/>
  <c r="O1241" i="1" s="1"/>
  <c r="N1241" i="1"/>
  <c r="P1241" i="1" s="1" a="1"/>
  <c r="P1241" i="1" s="1"/>
  <c r="S1237" i="1" l="1" a="1"/>
  <c r="S1237" i="1" s="1"/>
  <c r="R1238" i="1"/>
  <c r="N1242" i="1"/>
  <c r="P1242" i="1" s="1" a="1"/>
  <c r="P1242" i="1" s="1"/>
  <c r="M1242" i="1"/>
  <c r="O1242" i="1" s="1"/>
  <c r="Q1240" i="1"/>
  <c r="S1238" i="1" l="1" a="1"/>
  <c r="S1238" i="1" s="1"/>
  <c r="R1239" i="1"/>
  <c r="M1243" i="1"/>
  <c r="O1243" i="1" s="1"/>
  <c r="Q1241" i="1"/>
  <c r="N1243" i="1"/>
  <c r="P1243" i="1" s="1" a="1"/>
  <c r="P1243" i="1" s="1"/>
  <c r="S1239" i="1" l="1" a="1"/>
  <c r="S1239" i="1" s="1"/>
  <c r="R1240" i="1"/>
  <c r="N1244" i="1"/>
  <c r="P1244" i="1" s="1" a="1"/>
  <c r="P1244" i="1" s="1"/>
  <c r="Q1242" i="1"/>
  <c r="M1244" i="1"/>
  <c r="O1244" i="1" s="1"/>
  <c r="S1240" i="1" l="1" a="1"/>
  <c r="S1240" i="1" s="1"/>
  <c r="R1241" i="1"/>
  <c r="M1245" i="1"/>
  <c r="O1245" i="1" s="1"/>
  <c r="Q1243" i="1"/>
  <c r="N1245" i="1"/>
  <c r="P1245" i="1" s="1" a="1"/>
  <c r="P1245" i="1" s="1"/>
  <c r="S1241" i="1" l="1" a="1"/>
  <c r="S1241" i="1" s="1"/>
  <c r="R1242" i="1"/>
  <c r="N1246" i="1"/>
  <c r="P1246" i="1" s="1" a="1"/>
  <c r="P1246" i="1" s="1"/>
  <c r="Q1244" i="1"/>
  <c r="M1246" i="1"/>
  <c r="O1246" i="1" s="1"/>
  <c r="S1242" i="1" l="1" a="1"/>
  <c r="S1242" i="1" s="1"/>
  <c r="R1243" i="1"/>
  <c r="Q1245" i="1"/>
  <c r="N1247" i="1"/>
  <c r="P1247" i="1" s="1" a="1"/>
  <c r="P1247" i="1" s="1"/>
  <c r="M1247" i="1"/>
  <c r="O1247" i="1" s="1"/>
  <c r="S1243" i="1" l="1" a="1"/>
  <c r="S1243" i="1" s="1"/>
  <c r="R1244" i="1"/>
  <c r="M1248" i="1"/>
  <c r="O1248" i="1" s="1"/>
  <c r="Q1246" i="1"/>
  <c r="N1248" i="1"/>
  <c r="P1248" i="1" s="1" a="1"/>
  <c r="P1248" i="1" s="1"/>
  <c r="S1244" i="1" l="1" a="1"/>
  <c r="S1244" i="1" s="1"/>
  <c r="R1245" i="1"/>
  <c r="N1249" i="1"/>
  <c r="P1249" i="1" s="1" a="1"/>
  <c r="P1249" i="1" s="1"/>
  <c r="Q1247" i="1"/>
  <c r="M1249" i="1"/>
  <c r="O1249" i="1" s="1"/>
  <c r="S1245" i="1" l="1" a="1"/>
  <c r="S1245" i="1" s="1"/>
  <c r="R1246" i="1"/>
  <c r="M1250" i="1"/>
  <c r="O1250" i="1" s="1"/>
  <c r="Q1248" i="1"/>
  <c r="N1250" i="1"/>
  <c r="P1250" i="1" s="1" a="1"/>
  <c r="P1250" i="1" s="1"/>
  <c r="S1246" i="1" l="1" a="1"/>
  <c r="S1246" i="1" s="1"/>
  <c r="R1247" i="1"/>
  <c r="N1251" i="1"/>
  <c r="P1251" i="1" s="1" a="1"/>
  <c r="P1251" i="1" s="1"/>
  <c r="M1251" i="1"/>
  <c r="O1251" i="1" s="1"/>
  <c r="Q1249" i="1"/>
  <c r="S1247" i="1" l="1" a="1"/>
  <c r="S1247" i="1" s="1"/>
  <c r="R1248" i="1"/>
  <c r="Q1250" i="1"/>
  <c r="M1252" i="1"/>
  <c r="O1252" i="1" s="1"/>
  <c r="N1252" i="1"/>
  <c r="P1252" i="1" s="1" a="1"/>
  <c r="P1252" i="1" s="1"/>
  <c r="S1248" i="1" l="1" a="1"/>
  <c r="S1248" i="1" s="1"/>
  <c r="R1249" i="1"/>
  <c r="N1253" i="1"/>
  <c r="P1253" i="1" s="1" a="1"/>
  <c r="P1253" i="1" s="1"/>
  <c r="M1253" i="1"/>
  <c r="O1253" i="1" s="1"/>
  <c r="Q1251" i="1"/>
  <c r="S1249" i="1" l="1" a="1"/>
  <c r="S1249" i="1" s="1"/>
  <c r="R1250" i="1"/>
  <c r="Q1252" i="1"/>
  <c r="M1254" i="1"/>
  <c r="O1254" i="1" s="1"/>
  <c r="N1254" i="1"/>
  <c r="P1254" i="1" s="1" a="1"/>
  <c r="P1254" i="1" s="1"/>
  <c r="S1250" i="1" l="1" a="1"/>
  <c r="S1250" i="1" s="1"/>
  <c r="R1251" i="1"/>
  <c r="N1255" i="1"/>
  <c r="P1255" i="1" s="1" a="1"/>
  <c r="P1255" i="1" s="1"/>
  <c r="Q1253" i="1"/>
  <c r="M1255" i="1"/>
  <c r="O1255" i="1" s="1"/>
  <c r="S1251" i="1" l="1" a="1"/>
  <c r="S1251" i="1" s="1"/>
  <c r="R1252" i="1"/>
  <c r="M1256" i="1"/>
  <c r="O1256" i="1" s="1"/>
  <c r="Q1254" i="1"/>
  <c r="N1256" i="1"/>
  <c r="P1256" i="1" s="1" a="1"/>
  <c r="P1256" i="1" s="1"/>
  <c r="S1252" i="1" l="1" a="1"/>
  <c r="S1252" i="1" s="1"/>
  <c r="R1253" i="1"/>
  <c r="N1257" i="1"/>
  <c r="P1257" i="1" s="1" a="1"/>
  <c r="P1257" i="1" s="1"/>
  <c r="Q1255" i="1"/>
  <c r="M1257" i="1"/>
  <c r="O1257" i="1" s="1"/>
  <c r="S1253" i="1" l="1" a="1"/>
  <c r="S1253" i="1" s="1"/>
  <c r="R1254" i="1"/>
  <c r="M1258" i="1"/>
  <c r="O1258" i="1" s="1"/>
  <c r="Q1256" i="1"/>
  <c r="N1258" i="1"/>
  <c r="P1258" i="1" s="1" a="1"/>
  <c r="P1258" i="1" s="1"/>
  <c r="S1254" i="1" l="1" a="1"/>
  <c r="S1254" i="1" s="1"/>
  <c r="R1255" i="1"/>
  <c r="N1259" i="1"/>
  <c r="P1259" i="1" s="1" a="1"/>
  <c r="P1259" i="1" s="1"/>
  <c r="M1259" i="1"/>
  <c r="O1259" i="1" s="1"/>
  <c r="Q1257" i="1"/>
  <c r="S1255" i="1" l="1" a="1"/>
  <c r="S1255" i="1" s="1"/>
  <c r="R1256" i="1"/>
  <c r="Q1258" i="1"/>
  <c r="M1260" i="1"/>
  <c r="O1260" i="1" s="1"/>
  <c r="N1260" i="1"/>
  <c r="P1260" i="1" s="1" a="1"/>
  <c r="P1260" i="1" s="1"/>
  <c r="S1256" i="1" l="1" a="1"/>
  <c r="S1256" i="1" s="1"/>
  <c r="R1257" i="1"/>
  <c r="N1261" i="1"/>
  <c r="P1261" i="1" s="1" a="1"/>
  <c r="P1261" i="1" s="1"/>
  <c r="M1261" i="1"/>
  <c r="O1261" i="1" s="1"/>
  <c r="Q1259" i="1"/>
  <c r="S1257" i="1" l="1" a="1"/>
  <c r="S1257" i="1" s="1"/>
  <c r="R1258" i="1"/>
  <c r="Q1260" i="1"/>
  <c r="M1262" i="1"/>
  <c r="O1262" i="1" s="1"/>
  <c r="N1262" i="1"/>
  <c r="P1262" i="1" s="1" a="1"/>
  <c r="P1262" i="1" s="1"/>
  <c r="S1258" i="1" l="1" a="1"/>
  <c r="S1258" i="1" s="1"/>
  <c r="R1259" i="1"/>
  <c r="N1263" i="1"/>
  <c r="P1263" i="1" s="1" a="1"/>
  <c r="P1263" i="1" s="1"/>
  <c r="Q1261" i="1"/>
  <c r="M1263" i="1"/>
  <c r="O1263" i="1" s="1"/>
  <c r="S1259" i="1" l="1" a="1"/>
  <c r="S1259" i="1" s="1"/>
  <c r="R1260" i="1"/>
  <c r="M1264" i="1"/>
  <c r="O1264" i="1" s="1"/>
  <c r="Q1262" i="1"/>
  <c r="N1264" i="1"/>
  <c r="P1264" i="1" s="1" a="1"/>
  <c r="P1264" i="1" s="1"/>
  <c r="S1260" i="1" l="1" a="1"/>
  <c r="S1260" i="1" s="1"/>
  <c r="R1261" i="1"/>
  <c r="N1265" i="1"/>
  <c r="P1265" i="1" s="1" a="1"/>
  <c r="P1265" i="1" s="1"/>
  <c r="Q1263" i="1"/>
  <c r="M1265" i="1"/>
  <c r="O1265" i="1" s="1"/>
  <c r="S1261" i="1" l="1" a="1"/>
  <c r="S1261" i="1" s="1"/>
  <c r="R1262" i="1"/>
  <c r="Q1264" i="1"/>
  <c r="M1266" i="1"/>
  <c r="O1266" i="1" s="1"/>
  <c r="N1266" i="1"/>
  <c r="P1266" i="1" s="1" a="1"/>
  <c r="P1266" i="1" s="1"/>
  <c r="S1262" i="1" l="1" a="1"/>
  <c r="S1262" i="1" s="1"/>
  <c r="R1263" i="1"/>
  <c r="N1267" i="1"/>
  <c r="P1267" i="1" s="1" a="1"/>
  <c r="P1267" i="1" s="1"/>
  <c r="M1267" i="1"/>
  <c r="O1267" i="1" s="1"/>
  <c r="Q1265" i="1"/>
  <c r="S1263" i="1" l="1" a="1"/>
  <c r="S1263" i="1" s="1"/>
  <c r="R1264" i="1"/>
  <c r="Q1266" i="1"/>
  <c r="M1268" i="1"/>
  <c r="O1268" i="1" s="1"/>
  <c r="N1268" i="1"/>
  <c r="P1268" i="1" s="1" a="1"/>
  <c r="P1268" i="1" s="1"/>
  <c r="S1264" i="1" l="1" a="1"/>
  <c r="S1264" i="1" s="1"/>
  <c r="R1265" i="1"/>
  <c r="M1269" i="1"/>
  <c r="O1269" i="1" s="1"/>
  <c r="N1269" i="1"/>
  <c r="P1269" i="1" s="1" a="1"/>
  <c r="P1269" i="1" s="1"/>
  <c r="Q1267" i="1"/>
  <c r="S1265" i="1" l="1" a="1"/>
  <c r="S1265" i="1" s="1"/>
  <c r="R1266" i="1"/>
  <c r="N1270" i="1"/>
  <c r="P1270" i="1" s="1" a="1"/>
  <c r="P1270" i="1" s="1"/>
  <c r="Q1268" i="1"/>
  <c r="M1270" i="1"/>
  <c r="O1270" i="1" s="1"/>
  <c r="S1266" i="1" l="1" a="1"/>
  <c r="S1266" i="1" s="1"/>
  <c r="R1267" i="1"/>
  <c r="Q1269" i="1"/>
  <c r="M1271" i="1"/>
  <c r="O1271" i="1" s="1"/>
  <c r="N1271" i="1"/>
  <c r="P1271" i="1" s="1" a="1"/>
  <c r="P1271" i="1" s="1"/>
  <c r="S1267" i="1" l="1" a="1"/>
  <c r="S1267" i="1" s="1"/>
  <c r="R1268" i="1"/>
  <c r="N1272" i="1"/>
  <c r="P1272" i="1" s="1" a="1"/>
  <c r="P1272" i="1" s="1"/>
  <c r="M1272" i="1"/>
  <c r="O1272" i="1" s="1"/>
  <c r="Q1270" i="1"/>
  <c r="S1268" i="1" l="1" a="1"/>
  <c r="S1268" i="1" s="1"/>
  <c r="R1269" i="1"/>
  <c r="Q1271" i="1"/>
  <c r="M1273" i="1"/>
  <c r="O1273" i="1" s="1"/>
  <c r="N1273" i="1"/>
  <c r="P1273" i="1" s="1" a="1"/>
  <c r="P1273" i="1" s="1"/>
  <c r="S1269" i="1" l="1" a="1"/>
  <c r="S1269" i="1" s="1"/>
  <c r="R1270" i="1"/>
  <c r="N1274" i="1"/>
  <c r="P1274" i="1" s="1" a="1"/>
  <c r="P1274" i="1" s="1"/>
  <c r="Q1272" i="1"/>
  <c r="M1274" i="1"/>
  <c r="O1274" i="1" s="1"/>
  <c r="S1270" i="1" l="1" a="1"/>
  <c r="S1270" i="1" s="1"/>
  <c r="R1271" i="1"/>
  <c r="M1275" i="1"/>
  <c r="O1275" i="1" s="1"/>
  <c r="Q1273" i="1"/>
  <c r="N1275" i="1"/>
  <c r="P1275" i="1" s="1" a="1"/>
  <c r="P1275" i="1" s="1"/>
  <c r="S1271" i="1" l="1" a="1"/>
  <c r="S1271" i="1" s="1"/>
  <c r="R1272" i="1"/>
  <c r="N1276" i="1"/>
  <c r="P1276" i="1" s="1" a="1"/>
  <c r="P1276" i="1" s="1"/>
  <c r="Q1274" i="1"/>
  <c r="M1276" i="1"/>
  <c r="O1276" i="1" s="1"/>
  <c r="S1272" i="1" l="1" a="1"/>
  <c r="S1272" i="1" s="1"/>
  <c r="R1273" i="1"/>
  <c r="M1277" i="1"/>
  <c r="O1277" i="1" s="1"/>
  <c r="Q1275" i="1"/>
  <c r="N1277" i="1"/>
  <c r="P1277" i="1" s="1" a="1"/>
  <c r="P1277" i="1" s="1"/>
  <c r="S1273" i="1" l="1" a="1"/>
  <c r="S1273" i="1" s="1"/>
  <c r="R1274" i="1"/>
  <c r="N1278" i="1"/>
  <c r="P1278" i="1" s="1" a="1"/>
  <c r="P1278" i="1" s="1"/>
  <c r="Q1276" i="1"/>
  <c r="M1278" i="1"/>
  <c r="O1278" i="1" s="1"/>
  <c r="S1274" i="1" l="1" a="1"/>
  <c r="S1274" i="1" s="1"/>
  <c r="R1275" i="1"/>
  <c r="Q1277" i="1"/>
  <c r="M1279" i="1"/>
  <c r="O1279" i="1" s="1"/>
  <c r="N1279" i="1"/>
  <c r="P1279" i="1" s="1" a="1"/>
  <c r="P1279" i="1" s="1"/>
  <c r="S1275" i="1" l="1" a="1"/>
  <c r="S1275" i="1" s="1"/>
  <c r="R1276" i="1"/>
  <c r="N1280" i="1"/>
  <c r="P1280" i="1" s="1" a="1"/>
  <c r="P1280" i="1" s="1"/>
  <c r="M1280" i="1"/>
  <c r="O1280" i="1" s="1"/>
  <c r="Q1278" i="1"/>
  <c r="S1276" i="1" l="1" a="1"/>
  <c r="S1276" i="1" s="1"/>
  <c r="R1277" i="1"/>
  <c r="Q1279" i="1"/>
  <c r="M1281" i="1"/>
  <c r="O1281" i="1" s="1"/>
  <c r="N1281" i="1"/>
  <c r="P1281" i="1" s="1" a="1"/>
  <c r="P1281" i="1" s="1"/>
  <c r="S1277" i="1" l="1" a="1"/>
  <c r="S1277" i="1" s="1"/>
  <c r="R1278" i="1"/>
  <c r="M1282" i="1"/>
  <c r="O1282" i="1" s="1"/>
  <c r="N1282" i="1"/>
  <c r="P1282" i="1" s="1" a="1"/>
  <c r="P1282" i="1" s="1"/>
  <c r="Q1280" i="1"/>
  <c r="S1278" i="1" l="1" a="1"/>
  <c r="S1278" i="1" s="1"/>
  <c r="R1279" i="1"/>
  <c r="N1283" i="1"/>
  <c r="P1283" i="1" s="1" a="1"/>
  <c r="P1283" i="1" s="1"/>
  <c r="M1283" i="1"/>
  <c r="O1283" i="1" s="1"/>
  <c r="Q1281" i="1"/>
  <c r="S1279" i="1" l="1" a="1"/>
  <c r="S1279" i="1" s="1"/>
  <c r="R1280" i="1"/>
  <c r="Q1282" i="1"/>
  <c r="M1284" i="1"/>
  <c r="O1284" i="1" s="1"/>
  <c r="N1284" i="1"/>
  <c r="P1284" i="1" s="1" a="1"/>
  <c r="P1284" i="1" s="1"/>
  <c r="S1280" i="1" l="1" a="1"/>
  <c r="S1280" i="1" s="1"/>
  <c r="R1281" i="1"/>
  <c r="M1285" i="1"/>
  <c r="O1285" i="1" s="1"/>
  <c r="N1285" i="1"/>
  <c r="P1285" i="1" s="1" a="1"/>
  <c r="P1285" i="1" s="1"/>
  <c r="Q1283" i="1"/>
  <c r="S1281" i="1" l="1" a="1"/>
  <c r="S1281" i="1" s="1"/>
  <c r="R1282" i="1"/>
  <c r="N1286" i="1"/>
  <c r="P1286" i="1" s="1" a="1"/>
  <c r="P1286" i="1" s="1"/>
  <c r="Q1284" i="1"/>
  <c r="M1286" i="1"/>
  <c r="O1286" i="1" s="1"/>
  <c r="S1282" i="1" l="1" a="1"/>
  <c r="S1282" i="1" s="1"/>
  <c r="R1283" i="1"/>
  <c r="Q1285" i="1"/>
  <c r="M1287" i="1"/>
  <c r="O1287" i="1" s="1"/>
  <c r="N1287" i="1"/>
  <c r="P1287" i="1" s="1" a="1"/>
  <c r="P1287" i="1" s="1"/>
  <c r="S1283" i="1" l="1" a="1"/>
  <c r="S1283" i="1" s="1"/>
  <c r="R1284" i="1"/>
  <c r="N1288" i="1"/>
  <c r="P1288" i="1" s="1" a="1"/>
  <c r="P1288" i="1" s="1"/>
  <c r="M1288" i="1"/>
  <c r="O1288" i="1" s="1"/>
  <c r="Q1286" i="1"/>
  <c r="S1284" i="1" l="1" a="1"/>
  <c r="S1284" i="1" s="1"/>
  <c r="R1285" i="1"/>
  <c r="Q1287" i="1"/>
  <c r="M1289" i="1"/>
  <c r="O1289" i="1" s="1"/>
  <c r="N1289" i="1"/>
  <c r="P1289" i="1" s="1" a="1"/>
  <c r="P1289" i="1" s="1"/>
  <c r="S1285" i="1" l="1" a="1"/>
  <c r="S1285" i="1" s="1"/>
  <c r="R1286" i="1"/>
  <c r="N1290" i="1"/>
  <c r="P1290" i="1" s="1" a="1"/>
  <c r="P1290" i="1" s="1"/>
  <c r="M1290" i="1"/>
  <c r="O1290" i="1" s="1"/>
  <c r="Q1288" i="1"/>
  <c r="S1286" i="1" l="1" a="1"/>
  <c r="S1286" i="1" s="1"/>
  <c r="R1287" i="1"/>
  <c r="M1291" i="1"/>
  <c r="O1291" i="1" s="1"/>
  <c r="Q1289" i="1"/>
  <c r="N1291" i="1"/>
  <c r="P1291" i="1" s="1" a="1"/>
  <c r="P1291" i="1" s="1"/>
  <c r="S1287" i="1" l="1" a="1"/>
  <c r="S1287" i="1" s="1"/>
  <c r="R1288" i="1"/>
  <c r="N1292" i="1"/>
  <c r="P1292" i="1" s="1" a="1"/>
  <c r="P1292" i="1" s="1"/>
  <c r="Q1290" i="1"/>
  <c r="M1292" i="1"/>
  <c r="O1292" i="1" s="1"/>
  <c r="S1288" i="1" l="1" a="1"/>
  <c r="S1288" i="1" s="1"/>
  <c r="R1289" i="1"/>
  <c r="M1293" i="1"/>
  <c r="O1293" i="1" s="1"/>
  <c r="Q1291" i="1"/>
  <c r="N1293" i="1"/>
  <c r="P1293" i="1" s="1" a="1"/>
  <c r="P1293" i="1" s="1"/>
  <c r="S1289" i="1" l="1" a="1"/>
  <c r="S1289" i="1" s="1"/>
  <c r="R1290" i="1"/>
  <c r="N1294" i="1"/>
  <c r="P1294" i="1" s="1" a="1"/>
  <c r="P1294" i="1" s="1"/>
  <c r="Q1292" i="1"/>
  <c r="M1294" i="1"/>
  <c r="O1294" i="1" s="1"/>
  <c r="S1290" i="1" l="1" a="1"/>
  <c r="S1290" i="1" s="1"/>
  <c r="R1291" i="1"/>
  <c r="Q1293" i="1"/>
  <c r="M1295" i="1"/>
  <c r="O1295" i="1" s="1"/>
  <c r="N1295" i="1"/>
  <c r="P1295" i="1" s="1" a="1"/>
  <c r="P1295" i="1" s="1"/>
  <c r="S1291" i="1" l="1" a="1"/>
  <c r="S1291" i="1" s="1"/>
  <c r="R1292" i="1"/>
  <c r="N1296" i="1"/>
  <c r="P1296" i="1" s="1" a="1"/>
  <c r="P1296" i="1" s="1"/>
  <c r="M1296" i="1"/>
  <c r="O1296" i="1" s="1"/>
  <c r="Q1294" i="1"/>
  <c r="S1292" i="1" l="1" a="1"/>
  <c r="S1292" i="1" s="1"/>
  <c r="R1293" i="1"/>
  <c r="Q1295" i="1"/>
  <c r="M1297" i="1"/>
  <c r="O1297" i="1" s="1"/>
  <c r="N1297" i="1"/>
  <c r="P1297" i="1" s="1" a="1"/>
  <c r="P1297" i="1" s="1"/>
  <c r="S1293" i="1" l="1" a="1"/>
  <c r="S1293" i="1" s="1"/>
  <c r="R1294" i="1"/>
  <c r="N1298" i="1"/>
  <c r="P1298" i="1" s="1" a="1"/>
  <c r="P1298" i="1" s="1"/>
  <c r="M1298" i="1"/>
  <c r="O1298" i="1" s="1"/>
  <c r="Q1296" i="1"/>
  <c r="S1294" i="1" l="1" a="1"/>
  <c r="S1294" i="1" s="1"/>
  <c r="R1295" i="1"/>
  <c r="M1299" i="1"/>
  <c r="O1299" i="1" s="1"/>
  <c r="Q1297" i="1"/>
  <c r="N1299" i="1"/>
  <c r="P1299" i="1" s="1" a="1"/>
  <c r="P1299" i="1" s="1"/>
  <c r="S1295" i="1" l="1" a="1"/>
  <c r="S1295" i="1" s="1"/>
  <c r="R1296" i="1"/>
  <c r="N1300" i="1"/>
  <c r="P1300" i="1" s="1" a="1"/>
  <c r="P1300" i="1" s="1"/>
  <c r="Q1298" i="1"/>
  <c r="M1300" i="1"/>
  <c r="O1300" i="1" s="1"/>
  <c r="S1296" i="1" l="1" a="1"/>
  <c r="S1296" i="1" s="1"/>
  <c r="R1297" i="1"/>
  <c r="M1301" i="1"/>
  <c r="O1301" i="1" s="1"/>
  <c r="Q1299" i="1"/>
  <c r="N1301" i="1"/>
  <c r="P1301" i="1" s="1" a="1"/>
  <c r="P1301" i="1" s="1"/>
  <c r="S1297" i="1" l="1" a="1"/>
  <c r="S1297" i="1" s="1"/>
  <c r="R1298" i="1"/>
  <c r="N1302" i="1"/>
  <c r="P1302" i="1" s="1" a="1"/>
  <c r="P1302" i="1" s="1"/>
  <c r="Q1300" i="1"/>
  <c r="M1302" i="1"/>
  <c r="O1302" i="1" s="1"/>
  <c r="S1298" i="1" l="1" a="1"/>
  <c r="S1298" i="1" s="1"/>
  <c r="R1299" i="1"/>
  <c r="Q1301" i="1"/>
  <c r="M1303" i="1"/>
  <c r="O1303" i="1" s="1"/>
  <c r="N1303" i="1"/>
  <c r="P1303" i="1" s="1" a="1"/>
  <c r="P1303" i="1" s="1"/>
  <c r="S1299" i="1" l="1" a="1"/>
  <c r="S1299" i="1" s="1"/>
  <c r="R1300" i="1"/>
  <c r="N1304" i="1"/>
  <c r="P1304" i="1" s="1" a="1"/>
  <c r="P1304" i="1" s="1"/>
  <c r="M1304" i="1"/>
  <c r="O1304" i="1" s="1"/>
  <c r="Q1302" i="1"/>
  <c r="S1300" i="1" l="1" a="1"/>
  <c r="S1300" i="1" s="1"/>
  <c r="R1301" i="1"/>
  <c r="Q1303" i="1"/>
  <c r="M1305" i="1"/>
  <c r="O1305" i="1" s="1"/>
  <c r="N1305" i="1"/>
  <c r="P1305" i="1" s="1" a="1"/>
  <c r="P1305" i="1" s="1"/>
  <c r="S1301" i="1" l="1" a="1"/>
  <c r="S1301" i="1" s="1"/>
  <c r="R1302" i="1"/>
  <c r="M1306" i="1"/>
  <c r="O1306" i="1" s="1"/>
  <c r="N1306" i="1"/>
  <c r="P1306" i="1" s="1" a="1"/>
  <c r="P1306" i="1" s="1"/>
  <c r="Q1304" i="1"/>
  <c r="S1302" i="1" l="1" a="1"/>
  <c r="S1302" i="1" s="1"/>
  <c r="R1303" i="1"/>
  <c r="N1307" i="1"/>
  <c r="P1307" i="1" s="1" a="1"/>
  <c r="P1307" i="1" s="1"/>
  <c r="M1307" i="1"/>
  <c r="O1307" i="1" s="1"/>
  <c r="Q1305" i="1"/>
  <c r="S1303" i="1" l="1" a="1"/>
  <c r="S1303" i="1" s="1"/>
  <c r="R1304" i="1"/>
  <c r="Q1306" i="1"/>
  <c r="M1308" i="1"/>
  <c r="O1308" i="1" s="1"/>
  <c r="N1308" i="1"/>
  <c r="P1308" i="1" s="1" a="1"/>
  <c r="P1308" i="1" s="1"/>
  <c r="S1304" i="1" l="1" a="1"/>
  <c r="S1304" i="1" s="1"/>
  <c r="R1305" i="1"/>
  <c r="N1309" i="1"/>
  <c r="P1309" i="1" s="1" a="1"/>
  <c r="P1309" i="1" s="1"/>
  <c r="M1309" i="1"/>
  <c r="O1309" i="1" s="1"/>
  <c r="Q1307" i="1"/>
  <c r="S1305" i="1" l="1" a="1"/>
  <c r="S1305" i="1" s="1"/>
  <c r="R1306" i="1"/>
  <c r="Q1308" i="1"/>
  <c r="M1310" i="1"/>
  <c r="O1310" i="1" s="1"/>
  <c r="N1310" i="1"/>
  <c r="P1310" i="1" s="1" a="1"/>
  <c r="P1310" i="1" s="1"/>
  <c r="S1306" i="1" l="1" a="1"/>
  <c r="S1306" i="1" s="1"/>
  <c r="R1307" i="1"/>
  <c r="N1311" i="1"/>
  <c r="P1311" i="1" s="1" a="1"/>
  <c r="P1311" i="1" s="1"/>
  <c r="Q1309" i="1"/>
  <c r="M1311" i="1"/>
  <c r="O1311" i="1" s="1"/>
  <c r="S1307" i="1" l="1" a="1"/>
  <c r="S1307" i="1" s="1"/>
  <c r="R1308" i="1"/>
  <c r="M1312" i="1"/>
  <c r="O1312" i="1" s="1"/>
  <c r="Q1310" i="1"/>
  <c r="N1312" i="1"/>
  <c r="P1312" i="1" s="1" a="1"/>
  <c r="P1312" i="1" s="1"/>
  <c r="S1308" i="1" l="1" a="1"/>
  <c r="S1308" i="1" s="1"/>
  <c r="R1309" i="1"/>
  <c r="N1313" i="1"/>
  <c r="P1313" i="1" s="1" a="1"/>
  <c r="P1313" i="1" s="1"/>
  <c r="Q1311" i="1"/>
  <c r="M1313" i="1"/>
  <c r="O1313" i="1" s="1"/>
  <c r="S1309" i="1" l="1" a="1"/>
  <c r="S1309" i="1" s="1"/>
  <c r="R1310" i="1"/>
  <c r="M1314" i="1"/>
  <c r="O1314" i="1" s="1"/>
  <c r="Q1312" i="1"/>
  <c r="N1314" i="1"/>
  <c r="P1314" i="1" s="1" a="1"/>
  <c r="P1314" i="1" s="1"/>
  <c r="S1310" i="1" l="1" a="1"/>
  <c r="S1310" i="1" s="1"/>
  <c r="R1311" i="1"/>
  <c r="N1315" i="1"/>
  <c r="P1315" i="1" s="1" a="1"/>
  <c r="P1315" i="1" s="1"/>
  <c r="M1315" i="1"/>
  <c r="O1315" i="1" s="1"/>
  <c r="Q1313" i="1"/>
  <c r="S1311" i="1" l="1" a="1"/>
  <c r="S1311" i="1" s="1"/>
  <c r="R1312" i="1"/>
  <c r="Q1314" i="1"/>
  <c r="M1316" i="1"/>
  <c r="O1316" i="1" s="1"/>
  <c r="N1316" i="1"/>
  <c r="P1316" i="1" s="1" a="1"/>
  <c r="P1316" i="1" s="1"/>
  <c r="S1312" i="1" l="1" a="1"/>
  <c r="S1312" i="1" s="1"/>
  <c r="R1313" i="1"/>
  <c r="N1317" i="1"/>
  <c r="P1317" i="1" s="1" a="1"/>
  <c r="P1317" i="1" s="1"/>
  <c r="M1317" i="1"/>
  <c r="O1317" i="1" s="1"/>
  <c r="Q1315" i="1"/>
  <c r="S1313" i="1" l="1" a="1"/>
  <c r="S1313" i="1" s="1"/>
  <c r="R1314" i="1"/>
  <c r="Q1316" i="1"/>
  <c r="M1318" i="1"/>
  <c r="O1318" i="1" s="1"/>
  <c r="N1318" i="1"/>
  <c r="P1318" i="1" s="1" a="1"/>
  <c r="P1318" i="1" s="1"/>
  <c r="S1314" i="1" l="1" a="1"/>
  <c r="S1314" i="1" s="1"/>
  <c r="R1315" i="1"/>
  <c r="N1319" i="1"/>
  <c r="P1319" i="1" s="1" a="1"/>
  <c r="P1319" i="1" s="1"/>
  <c r="Q1317" i="1"/>
  <c r="M1319" i="1"/>
  <c r="O1319" i="1" s="1"/>
  <c r="S1315" i="1" l="1" a="1"/>
  <c r="S1315" i="1" s="1"/>
  <c r="R1316" i="1"/>
  <c r="Q1318" i="1"/>
  <c r="M1320" i="1"/>
  <c r="O1320" i="1" s="1"/>
  <c r="N1320" i="1"/>
  <c r="P1320" i="1" s="1" a="1"/>
  <c r="P1320" i="1" s="1"/>
  <c r="S1316" i="1" l="1" a="1"/>
  <c r="S1316" i="1" s="1"/>
  <c r="R1317" i="1"/>
  <c r="N1321" i="1"/>
  <c r="P1321" i="1" s="1" a="1"/>
  <c r="P1321" i="1" s="1"/>
  <c r="Q1319" i="1"/>
  <c r="M1321" i="1"/>
  <c r="O1321" i="1" s="1"/>
  <c r="S1317" i="1" l="1" a="1"/>
  <c r="S1317" i="1" s="1"/>
  <c r="R1318" i="1"/>
  <c r="M1322" i="1"/>
  <c r="O1322" i="1" s="1"/>
  <c r="Q1320" i="1"/>
  <c r="N1322" i="1"/>
  <c r="P1322" i="1" s="1" a="1"/>
  <c r="P1322" i="1" s="1"/>
  <c r="S1318" i="1" l="1" a="1"/>
  <c r="S1318" i="1" s="1"/>
  <c r="R1319" i="1"/>
  <c r="N1323" i="1"/>
  <c r="P1323" i="1" s="1" a="1"/>
  <c r="P1323" i="1" s="1"/>
  <c r="M1323" i="1"/>
  <c r="O1323" i="1" s="1"/>
  <c r="Q1321" i="1"/>
  <c r="S1319" i="1" l="1" a="1"/>
  <c r="S1319" i="1" s="1"/>
  <c r="R1320" i="1"/>
  <c r="Q1322" i="1"/>
  <c r="M1324" i="1"/>
  <c r="O1324" i="1" s="1"/>
  <c r="N1324" i="1"/>
  <c r="P1324" i="1" s="1" a="1"/>
  <c r="P1324" i="1" s="1"/>
  <c r="S1320" i="1" l="1" a="1"/>
  <c r="S1320" i="1" s="1"/>
  <c r="R1321" i="1"/>
  <c r="N1325" i="1"/>
  <c r="P1325" i="1" s="1" a="1"/>
  <c r="P1325" i="1" s="1"/>
  <c r="M1325" i="1"/>
  <c r="O1325" i="1" s="1"/>
  <c r="Q1323" i="1"/>
  <c r="S1321" i="1" l="1" a="1"/>
  <c r="S1321" i="1" s="1"/>
  <c r="R1322" i="1"/>
  <c r="Q1324" i="1"/>
  <c r="M1326" i="1"/>
  <c r="O1326" i="1" s="1"/>
  <c r="N1326" i="1"/>
  <c r="P1326" i="1" s="1" a="1"/>
  <c r="P1326" i="1" s="1"/>
  <c r="S1322" i="1" l="1" a="1"/>
  <c r="S1322" i="1" s="1"/>
  <c r="R1323" i="1"/>
  <c r="N1327" i="1"/>
  <c r="P1327" i="1" s="1" a="1"/>
  <c r="P1327" i="1" s="1"/>
  <c r="Q1325" i="1"/>
  <c r="M1327" i="1"/>
  <c r="O1327" i="1" s="1"/>
  <c r="S1323" i="1" l="1" a="1"/>
  <c r="S1323" i="1" s="1"/>
  <c r="R1324" i="1"/>
  <c r="M1328" i="1"/>
  <c r="O1328" i="1" s="1"/>
  <c r="Q1326" i="1"/>
  <c r="N1328" i="1"/>
  <c r="P1328" i="1" s="1" a="1"/>
  <c r="P1328" i="1" s="1"/>
  <c r="S1324" i="1" l="1" a="1"/>
  <c r="S1324" i="1" s="1"/>
  <c r="R1325" i="1"/>
  <c r="N1329" i="1"/>
  <c r="P1329" i="1" s="1" a="1"/>
  <c r="P1329" i="1" s="1"/>
  <c r="Q1327" i="1"/>
  <c r="M1329" i="1"/>
  <c r="O1329" i="1" s="1"/>
  <c r="S1325" i="1" l="1" a="1"/>
  <c r="S1325" i="1" s="1"/>
  <c r="R1326" i="1"/>
  <c r="M1330" i="1"/>
  <c r="O1330" i="1" s="1"/>
  <c r="Q1328" i="1"/>
  <c r="N1330" i="1"/>
  <c r="P1330" i="1" s="1" a="1"/>
  <c r="P1330" i="1" s="1"/>
  <c r="S1326" i="1" l="1" a="1"/>
  <c r="S1326" i="1" s="1"/>
  <c r="R1327" i="1"/>
  <c r="N1331" i="1"/>
  <c r="P1331" i="1" s="1" a="1"/>
  <c r="P1331" i="1" s="1"/>
  <c r="M1331" i="1"/>
  <c r="O1331" i="1" s="1"/>
  <c r="Q1329" i="1"/>
  <c r="S1327" i="1" l="1" a="1"/>
  <c r="S1327" i="1" s="1"/>
  <c r="R1328" i="1"/>
  <c r="Q1330" i="1"/>
  <c r="M1332" i="1"/>
  <c r="O1332" i="1" s="1"/>
  <c r="N1332" i="1"/>
  <c r="P1332" i="1" s="1" a="1"/>
  <c r="P1332" i="1" s="1"/>
  <c r="S1328" i="1" l="1" a="1"/>
  <c r="S1328" i="1" s="1"/>
  <c r="R1329" i="1"/>
  <c r="N1333" i="1"/>
  <c r="P1333" i="1" s="1" a="1"/>
  <c r="P1333" i="1" s="1"/>
  <c r="M1333" i="1"/>
  <c r="O1333" i="1" s="1"/>
  <c r="Q1331" i="1"/>
  <c r="S1329" i="1" l="1" a="1"/>
  <c r="S1329" i="1" s="1"/>
  <c r="R1330" i="1"/>
  <c r="Q1332" i="1"/>
  <c r="M1334" i="1"/>
  <c r="O1334" i="1" s="1"/>
  <c r="N1334" i="1"/>
  <c r="P1334" i="1" s="1" a="1"/>
  <c r="P1334" i="1" s="1"/>
  <c r="S1330" i="1" l="1" a="1"/>
  <c r="S1330" i="1" s="1"/>
  <c r="R1331" i="1"/>
  <c r="N1335" i="1"/>
  <c r="P1335" i="1" s="1" a="1"/>
  <c r="P1335" i="1" s="1"/>
  <c r="Q1333" i="1"/>
  <c r="M1335" i="1"/>
  <c r="O1335" i="1" s="1"/>
  <c r="S1331" i="1" l="1" a="1"/>
  <c r="S1331" i="1" s="1"/>
  <c r="R1332" i="1"/>
  <c r="M1336" i="1"/>
  <c r="O1336" i="1" s="1"/>
  <c r="Q1334" i="1"/>
  <c r="N1336" i="1"/>
  <c r="P1336" i="1" s="1" a="1"/>
  <c r="P1336" i="1" s="1"/>
  <c r="S1332" i="1" l="1" a="1"/>
  <c r="S1332" i="1" s="1"/>
  <c r="R1333" i="1"/>
  <c r="N1337" i="1"/>
  <c r="P1337" i="1" s="1" a="1"/>
  <c r="P1337" i="1" s="1"/>
  <c r="Q1335" i="1"/>
  <c r="M1337" i="1"/>
  <c r="O1337" i="1" s="1"/>
  <c r="S1333" i="1" l="1" a="1"/>
  <c r="S1333" i="1" s="1"/>
  <c r="R1334" i="1"/>
  <c r="M1338" i="1"/>
  <c r="O1338" i="1" s="1"/>
  <c r="Q1336" i="1"/>
  <c r="N1338" i="1"/>
  <c r="P1338" i="1" s="1" a="1"/>
  <c r="P1338" i="1" s="1"/>
  <c r="S1334" i="1" l="1" a="1"/>
  <c r="S1334" i="1" s="1"/>
  <c r="R1335" i="1"/>
  <c r="N1339" i="1"/>
  <c r="P1339" i="1" s="1" a="1"/>
  <c r="P1339" i="1" s="1"/>
  <c r="M1339" i="1"/>
  <c r="O1339" i="1" s="1"/>
  <c r="Q1337" i="1"/>
  <c r="S1335" i="1" l="1" a="1"/>
  <c r="S1335" i="1" s="1"/>
  <c r="R1336" i="1"/>
  <c r="Q1338" i="1"/>
  <c r="M1340" i="1"/>
  <c r="O1340" i="1" s="1"/>
  <c r="N1340" i="1"/>
  <c r="P1340" i="1" s="1" a="1"/>
  <c r="P1340" i="1" s="1"/>
  <c r="S1336" i="1" l="1" a="1"/>
  <c r="S1336" i="1" s="1"/>
  <c r="R1337" i="1"/>
  <c r="N1341" i="1"/>
  <c r="P1341" i="1" s="1" a="1"/>
  <c r="P1341" i="1" s="1"/>
  <c r="M1341" i="1"/>
  <c r="O1341" i="1" s="1"/>
  <c r="Q1339" i="1"/>
  <c r="S1337" i="1" l="1" a="1"/>
  <c r="S1337" i="1" s="1"/>
  <c r="R1338" i="1"/>
  <c r="Q1340" i="1"/>
  <c r="M1342" i="1"/>
  <c r="O1342" i="1" s="1"/>
  <c r="N1342" i="1"/>
  <c r="P1342" i="1" s="1" a="1"/>
  <c r="P1342" i="1" s="1"/>
  <c r="S1338" i="1" l="1" a="1"/>
  <c r="S1338" i="1" s="1"/>
  <c r="R1339" i="1"/>
  <c r="N1343" i="1"/>
  <c r="P1343" i="1" s="1" a="1"/>
  <c r="P1343" i="1" s="1"/>
  <c r="Q1341" i="1"/>
  <c r="M1343" i="1"/>
  <c r="O1343" i="1" s="1"/>
  <c r="S1339" i="1" l="1" a="1"/>
  <c r="S1339" i="1" s="1"/>
  <c r="R1340" i="1"/>
  <c r="M1344" i="1"/>
  <c r="O1344" i="1" s="1"/>
  <c r="Q1342" i="1"/>
  <c r="N1344" i="1"/>
  <c r="P1344" i="1" s="1" a="1"/>
  <c r="P1344" i="1" s="1"/>
  <c r="S1340" i="1" l="1" a="1"/>
  <c r="S1340" i="1" s="1"/>
  <c r="R1341" i="1"/>
  <c r="N1345" i="1"/>
  <c r="P1345" i="1" s="1" a="1"/>
  <c r="P1345" i="1" s="1"/>
  <c r="Q1343" i="1"/>
  <c r="M1345" i="1"/>
  <c r="O1345" i="1" s="1"/>
  <c r="S1341" i="1" l="1" a="1"/>
  <c r="S1341" i="1" s="1"/>
  <c r="R1342" i="1"/>
  <c r="Q1344" i="1"/>
  <c r="M1346" i="1"/>
  <c r="O1346" i="1" s="1"/>
  <c r="N1346" i="1"/>
  <c r="P1346" i="1" s="1" a="1"/>
  <c r="P1346" i="1" s="1"/>
  <c r="S1342" i="1" l="1" a="1"/>
  <c r="S1342" i="1" s="1"/>
  <c r="R1343" i="1"/>
  <c r="N1347" i="1"/>
  <c r="P1347" i="1" s="1" a="1"/>
  <c r="P1347" i="1" s="1"/>
  <c r="M1347" i="1"/>
  <c r="O1347" i="1" s="1"/>
  <c r="Q1345" i="1"/>
  <c r="S1343" i="1" l="1" a="1"/>
  <c r="S1343" i="1" s="1"/>
  <c r="R1344" i="1"/>
  <c r="Q1346" i="1"/>
  <c r="M1348" i="1"/>
  <c r="O1348" i="1" s="1"/>
  <c r="N1348" i="1"/>
  <c r="P1348" i="1" s="1" a="1"/>
  <c r="P1348" i="1" s="1"/>
  <c r="S1344" i="1" l="1" a="1"/>
  <c r="S1344" i="1" s="1"/>
  <c r="R1345" i="1"/>
  <c r="N1349" i="1"/>
  <c r="P1349" i="1" s="1" a="1"/>
  <c r="P1349" i="1" s="1"/>
  <c r="M1349" i="1"/>
  <c r="O1349" i="1" s="1"/>
  <c r="Q1347" i="1"/>
  <c r="S1345" i="1" l="1" a="1"/>
  <c r="S1345" i="1" s="1"/>
  <c r="R1346" i="1"/>
  <c r="Q1348" i="1"/>
  <c r="M1350" i="1"/>
  <c r="O1350" i="1" s="1"/>
  <c r="N1350" i="1"/>
  <c r="P1350" i="1" s="1" a="1"/>
  <c r="P1350" i="1" s="1"/>
  <c r="S1346" i="1" l="1" a="1"/>
  <c r="S1346" i="1" s="1"/>
  <c r="R1347" i="1"/>
  <c r="N1351" i="1"/>
  <c r="P1351" i="1" s="1" a="1"/>
  <c r="P1351" i="1" s="1"/>
  <c r="Q1349" i="1"/>
  <c r="M1351" i="1"/>
  <c r="O1351" i="1" s="1"/>
  <c r="S1347" i="1" l="1" a="1"/>
  <c r="S1347" i="1" s="1"/>
  <c r="R1348" i="1"/>
  <c r="M1352" i="1"/>
  <c r="O1352" i="1" s="1"/>
  <c r="Q1350" i="1"/>
  <c r="N1352" i="1"/>
  <c r="P1352" i="1" s="1" a="1"/>
  <c r="P1352" i="1" s="1"/>
  <c r="S1348" i="1" l="1" a="1"/>
  <c r="S1348" i="1" s="1"/>
  <c r="R1349" i="1"/>
  <c r="N1353" i="1"/>
  <c r="P1353" i="1" s="1" a="1"/>
  <c r="P1353" i="1" s="1"/>
  <c r="Q1351" i="1"/>
  <c r="M1353" i="1"/>
  <c r="O1353" i="1" s="1"/>
  <c r="S1349" i="1" l="1" a="1"/>
  <c r="S1349" i="1" s="1"/>
  <c r="R1350" i="1"/>
  <c r="M1354" i="1"/>
  <c r="O1354" i="1" s="1"/>
  <c r="Q1352" i="1"/>
  <c r="N1354" i="1"/>
  <c r="P1354" i="1" s="1" a="1"/>
  <c r="P1354" i="1" s="1"/>
  <c r="S1350" i="1" l="1" a="1"/>
  <c r="S1350" i="1" s="1"/>
  <c r="R1351" i="1"/>
  <c r="N1355" i="1"/>
  <c r="P1355" i="1" s="1" a="1"/>
  <c r="P1355" i="1" s="1"/>
  <c r="M1355" i="1"/>
  <c r="O1355" i="1" s="1"/>
  <c r="Q1353" i="1"/>
  <c r="S1351" i="1" l="1" a="1"/>
  <c r="S1351" i="1" s="1"/>
  <c r="R1352" i="1"/>
  <c r="Q1354" i="1"/>
  <c r="M1356" i="1"/>
  <c r="O1356" i="1" s="1"/>
  <c r="N1356" i="1"/>
  <c r="P1356" i="1" s="1" a="1"/>
  <c r="P1356" i="1" s="1"/>
  <c r="S1352" i="1" l="1" a="1"/>
  <c r="S1352" i="1" s="1"/>
  <c r="R1353" i="1"/>
  <c r="M1357" i="1"/>
  <c r="O1357" i="1" s="1"/>
  <c r="N1357" i="1"/>
  <c r="P1357" i="1" s="1" a="1"/>
  <c r="P1357" i="1" s="1"/>
  <c r="Q1355" i="1"/>
  <c r="S1353" i="1" l="1" a="1"/>
  <c r="S1353" i="1" s="1"/>
  <c r="R1354" i="1"/>
  <c r="N1358" i="1"/>
  <c r="P1358" i="1" s="1" a="1"/>
  <c r="P1358" i="1" s="1"/>
  <c r="Q1356" i="1"/>
  <c r="M1358" i="1"/>
  <c r="O1358" i="1" s="1"/>
  <c r="S1354" i="1" l="1" a="1"/>
  <c r="S1354" i="1" s="1"/>
  <c r="R1355" i="1"/>
  <c r="Q1357" i="1"/>
  <c r="M1359" i="1"/>
  <c r="O1359" i="1" s="1"/>
  <c r="N1359" i="1"/>
  <c r="P1359" i="1" s="1" a="1"/>
  <c r="P1359" i="1" s="1"/>
  <c r="S1355" i="1" l="1" a="1"/>
  <c r="S1355" i="1" s="1"/>
  <c r="R1356" i="1"/>
  <c r="M1360" i="1"/>
  <c r="O1360" i="1" s="1"/>
  <c r="N1360" i="1"/>
  <c r="P1360" i="1" s="1" a="1"/>
  <c r="P1360" i="1" s="1"/>
  <c r="Q1358" i="1"/>
  <c r="S1356" i="1" l="1" a="1"/>
  <c r="S1356" i="1" s="1"/>
  <c r="R1357" i="1"/>
  <c r="N1361" i="1"/>
  <c r="P1361" i="1" s="1" a="1"/>
  <c r="P1361" i="1" s="1"/>
  <c r="Q1359" i="1"/>
  <c r="M1361" i="1"/>
  <c r="O1361" i="1" s="1"/>
  <c r="S1357" i="1" l="1" a="1"/>
  <c r="S1357" i="1" s="1"/>
  <c r="R1358" i="1"/>
  <c r="M1362" i="1"/>
  <c r="O1362" i="1" s="1"/>
  <c r="Q1360" i="1"/>
  <c r="N1362" i="1"/>
  <c r="P1362" i="1" s="1" a="1"/>
  <c r="P1362" i="1" s="1"/>
  <c r="S1358" i="1" l="1" a="1"/>
  <c r="S1358" i="1" s="1"/>
  <c r="R1359" i="1"/>
  <c r="N1363" i="1"/>
  <c r="P1363" i="1" s="1" a="1"/>
  <c r="P1363" i="1" s="1"/>
  <c r="M1363" i="1"/>
  <c r="O1363" i="1" s="1"/>
  <c r="Q1361" i="1"/>
  <c r="S1359" i="1" l="1" a="1"/>
  <c r="S1359" i="1" s="1"/>
  <c r="R1360" i="1"/>
  <c r="Q1362" i="1"/>
  <c r="M1364" i="1"/>
  <c r="O1364" i="1" s="1"/>
  <c r="N1364" i="1"/>
  <c r="P1364" i="1" s="1" a="1"/>
  <c r="P1364" i="1" s="1"/>
  <c r="S1360" i="1" l="1" a="1"/>
  <c r="S1360" i="1" s="1"/>
  <c r="R1361" i="1"/>
  <c r="N1365" i="1"/>
  <c r="P1365" i="1" s="1" a="1"/>
  <c r="P1365" i="1" s="1"/>
  <c r="M1365" i="1"/>
  <c r="O1365" i="1" s="1"/>
  <c r="Q1363" i="1"/>
  <c r="S1361" i="1" l="1" a="1"/>
  <c r="S1361" i="1" s="1"/>
  <c r="R1362" i="1"/>
  <c r="Q1364" i="1"/>
  <c r="M1366" i="1"/>
  <c r="O1366" i="1" s="1"/>
  <c r="N1366" i="1"/>
  <c r="P1366" i="1" s="1" a="1"/>
  <c r="P1366" i="1" s="1"/>
  <c r="S1362" i="1" l="1" a="1"/>
  <c r="S1362" i="1" s="1"/>
  <c r="R1363" i="1"/>
  <c r="N1367" i="1"/>
  <c r="P1367" i="1" s="1" a="1"/>
  <c r="P1367" i="1" s="1"/>
  <c r="Q1365" i="1"/>
  <c r="M1367" i="1"/>
  <c r="O1367" i="1" s="1"/>
  <c r="S1363" i="1" l="1" a="1"/>
  <c r="S1363" i="1" s="1"/>
  <c r="R1364" i="1"/>
  <c r="M1368" i="1"/>
  <c r="O1368" i="1" s="1"/>
  <c r="Q1366" i="1"/>
  <c r="N1368" i="1"/>
  <c r="P1368" i="1" s="1" a="1"/>
  <c r="P1368" i="1" s="1"/>
  <c r="S1364" i="1" l="1" a="1"/>
  <c r="S1364" i="1" s="1"/>
  <c r="R1365" i="1"/>
  <c r="N1369" i="1"/>
  <c r="P1369" i="1" s="1" a="1"/>
  <c r="P1369" i="1" s="1"/>
  <c r="Q1367" i="1"/>
  <c r="M1369" i="1"/>
  <c r="O1369" i="1" s="1"/>
  <c r="S1365" i="1" l="1" a="1"/>
  <c r="S1365" i="1" s="1"/>
  <c r="R1366" i="1"/>
  <c r="M1370" i="1"/>
  <c r="O1370" i="1" s="1"/>
  <c r="Q1368" i="1"/>
  <c r="N1370" i="1"/>
  <c r="P1370" i="1" s="1" a="1"/>
  <c r="P1370" i="1" s="1"/>
  <c r="S1366" i="1" l="1" a="1"/>
  <c r="S1366" i="1" s="1"/>
  <c r="R1367" i="1"/>
  <c r="N1371" i="1"/>
  <c r="P1371" i="1" s="1" a="1"/>
  <c r="P1371" i="1" s="1"/>
  <c r="M1371" i="1"/>
  <c r="O1371" i="1" s="1"/>
  <c r="Q1369" i="1"/>
  <c r="S1367" i="1" l="1" a="1"/>
  <c r="S1367" i="1" s="1"/>
  <c r="R1368" i="1"/>
  <c r="Q1370" i="1"/>
  <c r="M1372" i="1"/>
  <c r="O1372" i="1" s="1"/>
  <c r="N1372" i="1"/>
  <c r="P1372" i="1" s="1" a="1"/>
  <c r="P1372" i="1" s="1"/>
  <c r="S1368" i="1" l="1" a="1"/>
  <c r="S1368" i="1" s="1"/>
  <c r="R1369" i="1"/>
  <c r="M1373" i="1"/>
  <c r="O1373" i="1" s="1"/>
  <c r="N1373" i="1"/>
  <c r="P1373" i="1" s="1" a="1"/>
  <c r="P1373" i="1" s="1"/>
  <c r="Q1371" i="1"/>
  <c r="S1369" i="1" l="1" a="1"/>
  <c r="S1369" i="1" s="1"/>
  <c r="R1370" i="1"/>
  <c r="Q1372" i="1"/>
  <c r="N1374" i="1"/>
  <c r="P1374" i="1" s="1" a="1"/>
  <c r="P1374" i="1" s="1"/>
  <c r="M1374" i="1"/>
  <c r="O1374" i="1" s="1"/>
  <c r="S1370" i="1" l="1" a="1"/>
  <c r="S1370" i="1" s="1"/>
  <c r="R1371" i="1"/>
  <c r="Q1373" i="1"/>
  <c r="M1375" i="1"/>
  <c r="O1375" i="1" s="1"/>
  <c r="N1375" i="1"/>
  <c r="P1375" i="1" s="1" a="1"/>
  <c r="P1375" i="1" s="1"/>
  <c r="S1371" i="1" l="1" a="1"/>
  <c r="S1371" i="1" s="1"/>
  <c r="R1372" i="1"/>
  <c r="N1376" i="1"/>
  <c r="P1376" i="1" s="1" a="1"/>
  <c r="P1376" i="1" s="1"/>
  <c r="M1376" i="1"/>
  <c r="O1376" i="1" s="1"/>
  <c r="Q1374" i="1"/>
  <c r="S1372" i="1" l="1" a="1"/>
  <c r="S1372" i="1" s="1"/>
  <c r="R1373" i="1"/>
  <c r="Q1375" i="1"/>
  <c r="M1377" i="1"/>
  <c r="O1377" i="1" s="1"/>
  <c r="N1377" i="1"/>
  <c r="P1377" i="1" s="1" a="1"/>
  <c r="P1377" i="1" s="1"/>
  <c r="S1373" i="1" l="1" a="1"/>
  <c r="S1373" i="1" s="1"/>
  <c r="R1374" i="1"/>
  <c r="N1378" i="1"/>
  <c r="P1378" i="1" s="1" a="1"/>
  <c r="P1378" i="1" s="1"/>
  <c r="M1378" i="1"/>
  <c r="O1378" i="1" s="1"/>
  <c r="Q1376" i="1"/>
  <c r="S1374" i="1" l="1" a="1"/>
  <c r="S1374" i="1" s="1"/>
  <c r="R1375" i="1"/>
  <c r="M1379" i="1"/>
  <c r="O1379" i="1" s="1"/>
  <c r="Q1377" i="1"/>
  <c r="N1379" i="1"/>
  <c r="P1379" i="1" s="1" a="1"/>
  <c r="P1379" i="1" s="1"/>
  <c r="S1375" i="1" l="1" a="1"/>
  <c r="S1375" i="1" s="1"/>
  <c r="R1376" i="1"/>
  <c r="N1380" i="1"/>
  <c r="P1380" i="1" s="1" a="1"/>
  <c r="P1380" i="1" s="1"/>
  <c r="Q1378" i="1"/>
  <c r="M1380" i="1"/>
  <c r="O1380" i="1" s="1"/>
  <c r="S1376" i="1" l="1" a="1"/>
  <c r="S1376" i="1" s="1"/>
  <c r="R1377" i="1"/>
  <c r="M1381" i="1"/>
  <c r="O1381" i="1" s="1"/>
  <c r="Q1379" i="1"/>
  <c r="N1381" i="1"/>
  <c r="P1381" i="1" s="1" a="1"/>
  <c r="P1381" i="1" s="1"/>
  <c r="S1377" i="1" l="1" a="1"/>
  <c r="S1377" i="1" s="1"/>
  <c r="R1378" i="1"/>
  <c r="N1382" i="1"/>
  <c r="P1382" i="1" s="1" a="1"/>
  <c r="P1382" i="1" s="1"/>
  <c r="Q1380" i="1"/>
  <c r="M1382" i="1"/>
  <c r="O1382" i="1" s="1"/>
  <c r="S1378" i="1" l="1" a="1"/>
  <c r="S1378" i="1" s="1"/>
  <c r="R1379" i="1"/>
  <c r="Q1381" i="1"/>
  <c r="M1383" i="1"/>
  <c r="O1383" i="1" s="1"/>
  <c r="N1383" i="1"/>
  <c r="P1383" i="1" s="1" a="1"/>
  <c r="P1383" i="1" s="1"/>
  <c r="S1379" i="1" l="1" a="1"/>
  <c r="S1379" i="1" s="1"/>
  <c r="R1380" i="1"/>
  <c r="N1384" i="1"/>
  <c r="P1384" i="1" s="1" a="1"/>
  <c r="P1384" i="1" s="1"/>
  <c r="M1384" i="1"/>
  <c r="O1384" i="1" s="1"/>
  <c r="Q1382" i="1"/>
  <c r="S1380" i="1" l="1" a="1"/>
  <c r="S1380" i="1" s="1"/>
  <c r="R1381" i="1"/>
  <c r="Q1383" i="1"/>
  <c r="M1385" i="1"/>
  <c r="O1385" i="1" s="1"/>
  <c r="N1385" i="1"/>
  <c r="P1385" i="1" s="1" a="1"/>
  <c r="P1385" i="1" s="1"/>
  <c r="S1381" i="1" l="1" a="1"/>
  <c r="S1381" i="1" s="1"/>
  <c r="R1382" i="1"/>
  <c r="N1386" i="1"/>
  <c r="P1386" i="1" s="1" a="1"/>
  <c r="P1386" i="1" s="1"/>
  <c r="M1386" i="1"/>
  <c r="O1386" i="1" s="1"/>
  <c r="Q1384" i="1"/>
  <c r="S1382" i="1" l="1" a="1"/>
  <c r="S1382" i="1" s="1"/>
  <c r="R1383" i="1"/>
  <c r="M1387" i="1"/>
  <c r="O1387" i="1" s="1"/>
  <c r="Q1385" i="1"/>
  <c r="N1387" i="1"/>
  <c r="P1387" i="1" s="1" a="1"/>
  <c r="P1387" i="1" s="1"/>
  <c r="S1383" i="1" l="1" a="1"/>
  <c r="S1383" i="1" s="1"/>
  <c r="R1384" i="1"/>
  <c r="N1388" i="1"/>
  <c r="P1388" i="1" s="1" a="1"/>
  <c r="P1388" i="1" s="1"/>
  <c r="Q1386" i="1"/>
  <c r="M1388" i="1"/>
  <c r="O1388" i="1" s="1"/>
  <c r="S1384" i="1" l="1" a="1"/>
  <c r="S1384" i="1" s="1"/>
  <c r="R1385" i="1"/>
  <c r="M1389" i="1"/>
  <c r="O1389" i="1" s="1"/>
  <c r="Q1387" i="1"/>
  <c r="N1389" i="1"/>
  <c r="P1389" i="1" s="1" a="1"/>
  <c r="P1389" i="1" s="1"/>
  <c r="S1385" i="1" l="1" a="1"/>
  <c r="S1385" i="1" s="1"/>
  <c r="R1386" i="1"/>
  <c r="N1390" i="1"/>
  <c r="P1390" i="1" s="1" a="1"/>
  <c r="P1390" i="1" s="1"/>
  <c r="Q1388" i="1"/>
  <c r="M1390" i="1"/>
  <c r="O1390" i="1" s="1"/>
  <c r="S1386" i="1" l="1" a="1"/>
  <c r="S1386" i="1" s="1"/>
  <c r="R1387" i="1"/>
  <c r="Q1389" i="1"/>
  <c r="M1391" i="1"/>
  <c r="O1391" i="1" s="1"/>
  <c r="N1391" i="1"/>
  <c r="P1391" i="1" s="1" a="1"/>
  <c r="P1391" i="1" s="1"/>
  <c r="S1387" i="1" l="1" a="1"/>
  <c r="S1387" i="1" s="1"/>
  <c r="R1388" i="1"/>
  <c r="N1392" i="1"/>
  <c r="P1392" i="1" s="1" a="1"/>
  <c r="P1392" i="1" s="1"/>
  <c r="M1392" i="1"/>
  <c r="O1392" i="1" s="1"/>
  <c r="Q1390" i="1"/>
  <c r="S1388" i="1" l="1" a="1"/>
  <c r="S1388" i="1" s="1"/>
  <c r="R1389" i="1"/>
  <c r="Q1391" i="1"/>
  <c r="M1393" i="1"/>
  <c r="O1393" i="1" s="1"/>
  <c r="N1393" i="1"/>
  <c r="P1393" i="1" s="1" a="1"/>
  <c r="P1393" i="1" s="1"/>
  <c r="S1389" i="1" l="1" a="1"/>
  <c r="S1389" i="1" s="1"/>
  <c r="R1390" i="1"/>
  <c r="M1394" i="1"/>
  <c r="O1394" i="1" s="1"/>
  <c r="N1394" i="1"/>
  <c r="P1394" i="1" s="1" a="1"/>
  <c r="P1394" i="1" s="1"/>
  <c r="Q1392" i="1"/>
  <c r="S1390" i="1" l="1" a="1"/>
  <c r="S1390" i="1" s="1"/>
  <c r="R1391" i="1"/>
  <c r="N1395" i="1"/>
  <c r="P1395" i="1" s="1" a="1"/>
  <c r="P1395" i="1" s="1"/>
  <c r="M1395" i="1"/>
  <c r="O1395" i="1" s="1"/>
  <c r="Q1393" i="1"/>
  <c r="S1391" i="1" l="1" a="1"/>
  <c r="S1391" i="1" s="1"/>
  <c r="R1392" i="1"/>
  <c r="Q1394" i="1"/>
  <c r="M1396" i="1"/>
  <c r="O1396" i="1" s="1"/>
  <c r="N1396" i="1"/>
  <c r="P1396" i="1" s="1" a="1"/>
  <c r="P1396" i="1" s="1"/>
  <c r="S1392" i="1" l="1" a="1"/>
  <c r="S1392" i="1" s="1"/>
  <c r="R1393" i="1"/>
  <c r="N1397" i="1"/>
  <c r="P1397" i="1" s="1" a="1"/>
  <c r="P1397" i="1" s="1"/>
  <c r="M1397" i="1"/>
  <c r="O1397" i="1" s="1"/>
  <c r="Q1395" i="1"/>
  <c r="S1393" i="1" l="1" a="1"/>
  <c r="S1393" i="1" s="1"/>
  <c r="R1394" i="1"/>
  <c r="Q1396" i="1"/>
  <c r="M1398" i="1"/>
  <c r="O1398" i="1" s="1"/>
  <c r="N1398" i="1"/>
  <c r="P1398" i="1" s="1" a="1"/>
  <c r="P1398" i="1" s="1"/>
  <c r="S1394" i="1" l="1" a="1"/>
  <c r="S1394" i="1" s="1"/>
  <c r="R1395" i="1"/>
  <c r="N1399" i="1"/>
  <c r="P1399" i="1" s="1" a="1"/>
  <c r="P1399" i="1" s="1"/>
  <c r="Q1397" i="1"/>
  <c r="M1399" i="1"/>
  <c r="O1399" i="1" s="1"/>
  <c r="S1395" i="1" l="1" a="1"/>
  <c r="S1395" i="1" s="1"/>
  <c r="R1396" i="1"/>
  <c r="M1400" i="1"/>
  <c r="O1400" i="1" s="1"/>
  <c r="Q1398" i="1"/>
  <c r="N1400" i="1"/>
  <c r="P1400" i="1" s="1" a="1"/>
  <c r="P1400" i="1" s="1"/>
  <c r="S1396" i="1" l="1" a="1"/>
  <c r="S1396" i="1" s="1"/>
  <c r="R1397" i="1"/>
  <c r="Q1399" i="1"/>
  <c r="M1401" i="1"/>
  <c r="O1401" i="1" s="1"/>
  <c r="N1401" i="1"/>
  <c r="P1401" i="1" s="1" a="1"/>
  <c r="P1401" i="1" s="1"/>
  <c r="S1397" i="1" l="1" a="1"/>
  <c r="S1397" i="1" s="1"/>
  <c r="R1398" i="1"/>
  <c r="N1402" i="1"/>
  <c r="P1402" i="1" s="1" a="1"/>
  <c r="P1402" i="1" s="1"/>
  <c r="M1402" i="1"/>
  <c r="O1402" i="1" s="1"/>
  <c r="Q1400" i="1"/>
  <c r="S1398" i="1" l="1" a="1"/>
  <c r="S1398" i="1" s="1"/>
  <c r="R1399" i="1"/>
  <c r="M1403" i="1"/>
  <c r="O1403" i="1" s="1"/>
  <c r="Q1401" i="1"/>
  <c r="N1403" i="1"/>
  <c r="P1403" i="1" s="1" a="1"/>
  <c r="P1403" i="1" s="1"/>
  <c r="S1399" i="1" l="1" a="1"/>
  <c r="S1399" i="1" s="1"/>
  <c r="R1400" i="1"/>
  <c r="Q1402" i="1"/>
  <c r="N1404" i="1"/>
  <c r="P1404" i="1" s="1" a="1"/>
  <c r="P1404" i="1" s="1"/>
  <c r="M1404" i="1"/>
  <c r="O1404" i="1" s="1"/>
  <c r="S1400" i="1" l="1" a="1"/>
  <c r="S1400" i="1" s="1"/>
  <c r="R1401" i="1"/>
  <c r="M1405" i="1"/>
  <c r="O1405" i="1" s="1"/>
  <c r="Q1403" i="1"/>
  <c r="N1405" i="1"/>
  <c r="P1405" i="1" s="1" a="1"/>
  <c r="P1405" i="1" s="1"/>
  <c r="S1401" i="1" l="1" a="1"/>
  <c r="S1401" i="1" s="1"/>
  <c r="R1402" i="1"/>
  <c r="N1406" i="1"/>
  <c r="P1406" i="1" s="1" a="1"/>
  <c r="P1406" i="1" s="1"/>
  <c r="Q1404" i="1"/>
  <c r="M1406" i="1"/>
  <c r="O1406" i="1" s="1"/>
  <c r="S1402" i="1" l="1" a="1"/>
  <c r="S1402" i="1" s="1"/>
  <c r="R1403" i="1"/>
  <c r="Q1405" i="1"/>
  <c r="M1407" i="1"/>
  <c r="O1407" i="1" s="1"/>
  <c r="N1407" i="1"/>
  <c r="P1407" i="1" s="1" a="1"/>
  <c r="P1407" i="1" s="1"/>
  <c r="S1403" i="1" l="1" a="1"/>
  <c r="S1403" i="1" s="1"/>
  <c r="R1404" i="1"/>
  <c r="N1408" i="1"/>
  <c r="P1408" i="1" s="1" a="1"/>
  <c r="P1408" i="1" s="1"/>
  <c r="M1408" i="1"/>
  <c r="O1408" i="1" s="1"/>
  <c r="Q1406" i="1"/>
  <c r="S1404" i="1" l="1" a="1"/>
  <c r="S1404" i="1" s="1"/>
  <c r="R1405" i="1"/>
  <c r="Q1407" i="1"/>
  <c r="M1409" i="1"/>
  <c r="O1409" i="1" s="1"/>
  <c r="N1409" i="1"/>
  <c r="P1409" i="1" s="1" a="1"/>
  <c r="P1409" i="1" s="1"/>
  <c r="S1405" i="1" l="1" a="1"/>
  <c r="S1405" i="1" s="1"/>
  <c r="R1406" i="1"/>
  <c r="N1410" i="1"/>
  <c r="P1410" i="1" s="1" a="1"/>
  <c r="P1410" i="1" s="1"/>
  <c r="M1410" i="1"/>
  <c r="O1410" i="1" s="1"/>
  <c r="Q1408" i="1"/>
  <c r="S1406" i="1" l="1" a="1"/>
  <c r="S1406" i="1" s="1"/>
  <c r="R1407" i="1"/>
  <c r="M1411" i="1"/>
  <c r="O1411" i="1" s="1"/>
  <c r="Q1409" i="1"/>
  <c r="N1411" i="1"/>
  <c r="P1411" i="1" s="1" a="1"/>
  <c r="P1411" i="1" s="1"/>
  <c r="S1407" i="1" l="1" a="1"/>
  <c r="S1407" i="1" s="1"/>
  <c r="R1408" i="1"/>
  <c r="N1412" i="1"/>
  <c r="P1412" i="1" s="1" a="1"/>
  <c r="P1412" i="1" s="1"/>
  <c r="Q1410" i="1"/>
  <c r="M1412" i="1"/>
  <c r="O1412" i="1" s="1"/>
  <c r="S1408" i="1" l="1" a="1"/>
  <c r="S1408" i="1" s="1"/>
  <c r="R1409" i="1"/>
  <c r="M1413" i="1"/>
  <c r="O1413" i="1" s="1"/>
  <c r="Q1411" i="1"/>
  <c r="N1413" i="1"/>
  <c r="P1413" i="1" s="1" a="1"/>
  <c r="P1413" i="1" s="1"/>
  <c r="S1409" i="1" l="1" a="1"/>
  <c r="S1409" i="1" s="1"/>
  <c r="R1410" i="1"/>
  <c r="N1414" i="1"/>
  <c r="P1414" i="1" s="1" a="1"/>
  <c r="P1414" i="1" s="1"/>
  <c r="Q1412" i="1"/>
  <c r="M1414" i="1"/>
  <c r="O1414" i="1" s="1"/>
  <c r="S1410" i="1" l="1" a="1"/>
  <c r="S1410" i="1" s="1"/>
  <c r="R1411" i="1"/>
  <c r="Q1413" i="1"/>
  <c r="M1415" i="1"/>
  <c r="O1415" i="1" s="1"/>
  <c r="N1415" i="1"/>
  <c r="P1415" i="1" s="1" a="1"/>
  <c r="P1415" i="1" s="1"/>
  <c r="S1411" i="1" l="1" a="1"/>
  <c r="S1411" i="1" s="1"/>
  <c r="R1412" i="1"/>
  <c r="M1416" i="1"/>
  <c r="O1416" i="1" s="1"/>
  <c r="N1416" i="1"/>
  <c r="P1416" i="1" s="1" a="1"/>
  <c r="P1416" i="1" s="1"/>
  <c r="Q1414" i="1"/>
  <c r="S1412" i="1" l="1" a="1"/>
  <c r="S1412" i="1" s="1"/>
  <c r="R1413" i="1"/>
  <c r="N1417" i="1"/>
  <c r="P1417" i="1" s="1" a="1"/>
  <c r="P1417" i="1" s="1"/>
  <c r="Q1415" i="1"/>
  <c r="M1417" i="1"/>
  <c r="O1417" i="1" s="1"/>
  <c r="S1413" i="1" l="1" a="1"/>
  <c r="S1413" i="1" s="1"/>
  <c r="R1414" i="1"/>
  <c r="M1418" i="1"/>
  <c r="O1418" i="1" s="1"/>
  <c r="N1418" i="1"/>
  <c r="P1418" i="1" s="1" a="1"/>
  <c r="P1418" i="1" s="1"/>
  <c r="Q1416" i="1"/>
  <c r="S1414" i="1" l="1" a="1"/>
  <c r="S1414" i="1" s="1"/>
  <c r="R1415" i="1"/>
  <c r="N1419" i="1"/>
  <c r="P1419" i="1" s="1" a="1"/>
  <c r="P1419" i="1" s="1"/>
  <c r="M1419" i="1"/>
  <c r="O1419" i="1" s="1"/>
  <c r="Q1417" i="1"/>
  <c r="S1415" i="1" l="1" a="1"/>
  <c r="S1415" i="1" s="1"/>
  <c r="R1416" i="1"/>
  <c r="Q1418" i="1"/>
  <c r="M1420" i="1"/>
  <c r="O1420" i="1" s="1"/>
  <c r="N1420" i="1"/>
  <c r="P1420" i="1" s="1" a="1"/>
  <c r="P1420" i="1" s="1"/>
  <c r="S1416" i="1" l="1" a="1"/>
  <c r="S1416" i="1" s="1"/>
  <c r="R1417" i="1"/>
  <c r="M1421" i="1"/>
  <c r="O1421" i="1" s="1"/>
  <c r="N1421" i="1"/>
  <c r="P1421" i="1" s="1" a="1"/>
  <c r="P1421" i="1" s="1"/>
  <c r="Q1419" i="1"/>
  <c r="S1417" i="1" l="1" a="1"/>
  <c r="S1417" i="1" s="1"/>
  <c r="R1418" i="1"/>
  <c r="N1422" i="1"/>
  <c r="P1422" i="1" s="1" a="1"/>
  <c r="P1422" i="1" s="1"/>
  <c r="Q1420" i="1"/>
  <c r="M1422" i="1"/>
  <c r="O1422" i="1" s="1"/>
  <c r="S1418" i="1" l="1" a="1"/>
  <c r="S1418" i="1" s="1"/>
  <c r="R1419" i="1"/>
  <c r="Q1421" i="1"/>
  <c r="M1423" i="1"/>
  <c r="O1423" i="1" s="1"/>
  <c r="N1423" i="1"/>
  <c r="P1423" i="1" s="1" a="1"/>
  <c r="P1423" i="1" s="1"/>
  <c r="S1419" i="1" l="1" a="1"/>
  <c r="S1419" i="1" s="1"/>
  <c r="R1420" i="1"/>
  <c r="N1424" i="1"/>
  <c r="P1424" i="1" s="1" a="1"/>
  <c r="P1424" i="1" s="1"/>
  <c r="M1424" i="1"/>
  <c r="O1424" i="1" s="1"/>
  <c r="Q1422" i="1"/>
  <c r="S1420" i="1" l="1" a="1"/>
  <c r="S1420" i="1" s="1"/>
  <c r="R1421" i="1"/>
  <c r="Q1423" i="1"/>
  <c r="M1425" i="1"/>
  <c r="O1425" i="1" s="1"/>
  <c r="N1425" i="1"/>
  <c r="P1425" i="1" s="1" a="1"/>
  <c r="P1425" i="1" s="1"/>
  <c r="S1421" i="1" l="1" a="1"/>
  <c r="S1421" i="1" s="1"/>
  <c r="R1422" i="1"/>
  <c r="N1426" i="1"/>
  <c r="P1426" i="1" s="1" a="1"/>
  <c r="P1426" i="1" s="1"/>
  <c r="M1426" i="1"/>
  <c r="O1426" i="1" s="1"/>
  <c r="Q1424" i="1"/>
  <c r="S1422" i="1" l="1" a="1"/>
  <c r="S1422" i="1" s="1"/>
  <c r="R1423" i="1"/>
  <c r="M1427" i="1"/>
  <c r="O1427" i="1" s="1"/>
  <c r="Q1425" i="1"/>
  <c r="N1427" i="1"/>
  <c r="P1427" i="1" s="1" a="1"/>
  <c r="P1427" i="1" s="1"/>
  <c r="S1423" i="1" l="1" a="1"/>
  <c r="S1423" i="1" s="1"/>
  <c r="R1424" i="1"/>
  <c r="N1428" i="1"/>
  <c r="P1428" i="1" s="1" a="1"/>
  <c r="P1428" i="1" s="1"/>
  <c r="Q1426" i="1"/>
  <c r="M1428" i="1"/>
  <c r="O1428" i="1" s="1"/>
  <c r="S1424" i="1" l="1" a="1"/>
  <c r="S1424" i="1" s="1"/>
  <c r="R1425" i="1"/>
  <c r="M1429" i="1"/>
  <c r="O1429" i="1" s="1"/>
  <c r="Q1427" i="1"/>
  <c r="N1429" i="1"/>
  <c r="P1429" i="1" s="1" a="1"/>
  <c r="P1429" i="1" s="1"/>
  <c r="S1425" i="1" l="1" a="1"/>
  <c r="S1425" i="1" s="1"/>
  <c r="R1426" i="1"/>
  <c r="N1430" i="1"/>
  <c r="P1430" i="1" s="1" a="1"/>
  <c r="P1430" i="1" s="1"/>
  <c r="Q1428" i="1"/>
  <c r="M1430" i="1"/>
  <c r="O1430" i="1" s="1"/>
  <c r="S1426" i="1" l="1" a="1"/>
  <c r="S1426" i="1" s="1"/>
  <c r="R1427" i="1"/>
  <c r="Q1429" i="1"/>
  <c r="M1431" i="1"/>
  <c r="O1431" i="1" s="1"/>
  <c r="N1431" i="1"/>
  <c r="P1431" i="1" s="1" a="1"/>
  <c r="P1431" i="1" s="1"/>
  <c r="S1427" i="1" l="1" a="1"/>
  <c r="S1427" i="1" s="1"/>
  <c r="R1428" i="1"/>
  <c r="N1432" i="1"/>
  <c r="P1432" i="1" s="1" a="1"/>
  <c r="P1432" i="1" s="1"/>
  <c r="M1432" i="1"/>
  <c r="O1432" i="1" s="1"/>
  <c r="Q1430" i="1"/>
  <c r="S1428" i="1" l="1" a="1"/>
  <c r="S1428" i="1" s="1"/>
  <c r="R1429" i="1"/>
  <c r="Q1431" i="1"/>
  <c r="M1433" i="1"/>
  <c r="O1433" i="1" s="1"/>
  <c r="N1433" i="1"/>
  <c r="P1433" i="1" s="1" a="1"/>
  <c r="P1433" i="1" s="1"/>
  <c r="S1429" i="1" l="1" a="1"/>
  <c r="S1429" i="1" s="1"/>
  <c r="R1430" i="1"/>
  <c r="N1434" i="1"/>
  <c r="P1434" i="1" s="1" a="1"/>
  <c r="P1434" i="1" s="1"/>
  <c r="M1434" i="1"/>
  <c r="O1434" i="1" s="1"/>
  <c r="Q1432" i="1"/>
  <c r="S1430" i="1" l="1" a="1"/>
  <c r="S1430" i="1" s="1"/>
  <c r="R1431" i="1"/>
  <c r="M1435" i="1"/>
  <c r="O1435" i="1" s="1"/>
  <c r="N1435" i="1"/>
  <c r="P1435" i="1" s="1" a="1"/>
  <c r="P1435" i="1" s="1"/>
  <c r="Q1433" i="1"/>
  <c r="S1431" i="1" l="1" a="1"/>
  <c r="S1431" i="1" s="1"/>
  <c r="R1432" i="1"/>
  <c r="N1436" i="1"/>
  <c r="P1436" i="1" s="1" a="1"/>
  <c r="P1436" i="1" s="1"/>
  <c r="Q1434" i="1"/>
  <c r="M1436" i="1"/>
  <c r="O1436" i="1" s="1"/>
  <c r="S1432" i="1" l="1" a="1"/>
  <c r="S1432" i="1" s="1"/>
  <c r="R1433" i="1"/>
  <c r="M1437" i="1"/>
  <c r="O1437" i="1" s="1"/>
  <c r="Q1435" i="1"/>
  <c r="N1437" i="1"/>
  <c r="P1437" i="1" s="1" a="1"/>
  <c r="P1437" i="1" s="1"/>
  <c r="S1433" i="1" l="1" a="1"/>
  <c r="S1433" i="1" s="1"/>
  <c r="R1434" i="1"/>
  <c r="N1438" i="1"/>
  <c r="P1438" i="1" s="1" a="1"/>
  <c r="P1438" i="1" s="1"/>
  <c r="Q1436" i="1"/>
  <c r="M1438" i="1"/>
  <c r="O1438" i="1" s="1"/>
  <c r="S1434" i="1" l="1" a="1"/>
  <c r="S1434" i="1" s="1"/>
  <c r="R1435" i="1"/>
  <c r="Q1437" i="1"/>
  <c r="M1439" i="1"/>
  <c r="O1439" i="1" s="1"/>
  <c r="N1439" i="1"/>
  <c r="P1439" i="1" s="1" a="1"/>
  <c r="P1439" i="1" s="1"/>
  <c r="S1435" i="1" l="1" a="1"/>
  <c r="S1435" i="1" s="1"/>
  <c r="R1436" i="1"/>
  <c r="N1440" i="1"/>
  <c r="P1440" i="1" s="1" a="1"/>
  <c r="P1440" i="1" s="1"/>
  <c r="M1440" i="1"/>
  <c r="O1440" i="1" s="1"/>
  <c r="Q1438" i="1"/>
  <c r="S1436" i="1" l="1" a="1"/>
  <c r="S1436" i="1" s="1"/>
  <c r="R1437" i="1"/>
  <c r="Q1439" i="1"/>
  <c r="M1441" i="1"/>
  <c r="O1441" i="1" s="1"/>
  <c r="N1441" i="1"/>
  <c r="P1441" i="1" s="1" a="1"/>
  <c r="P1441" i="1" s="1"/>
  <c r="S1437" i="1" l="1" a="1"/>
  <c r="S1437" i="1" s="1"/>
  <c r="R1438" i="1"/>
  <c r="N1442" i="1"/>
  <c r="P1442" i="1" s="1" a="1"/>
  <c r="P1442" i="1" s="1"/>
  <c r="M1442" i="1"/>
  <c r="O1442" i="1" s="1"/>
  <c r="Q1440" i="1"/>
  <c r="S1438" i="1" l="1" a="1"/>
  <c r="S1438" i="1" s="1"/>
  <c r="R1439" i="1"/>
  <c r="M1443" i="1"/>
  <c r="O1443" i="1" s="1"/>
  <c r="Q1441" i="1"/>
  <c r="N1443" i="1"/>
  <c r="P1443" i="1" s="1" a="1"/>
  <c r="P1443" i="1" s="1"/>
  <c r="S1439" i="1" l="1" a="1"/>
  <c r="S1439" i="1" s="1"/>
  <c r="R1440" i="1"/>
  <c r="N1444" i="1"/>
  <c r="P1444" i="1" s="1" a="1"/>
  <c r="P1444" i="1" s="1"/>
  <c r="Q1442" i="1"/>
  <c r="M1444" i="1"/>
  <c r="O1444" i="1" s="1"/>
  <c r="S1440" i="1" l="1" a="1"/>
  <c r="S1440" i="1" s="1"/>
  <c r="R1441" i="1"/>
  <c r="M1445" i="1"/>
  <c r="O1445" i="1" s="1"/>
  <c r="Q1443" i="1"/>
  <c r="N1445" i="1"/>
  <c r="P1445" i="1" s="1" a="1"/>
  <c r="P1445" i="1" s="1"/>
  <c r="S1441" i="1" l="1" a="1"/>
  <c r="S1441" i="1" s="1"/>
  <c r="R1442" i="1"/>
  <c r="N1446" i="1"/>
  <c r="P1446" i="1" s="1" a="1"/>
  <c r="P1446" i="1" s="1"/>
  <c r="Q1444" i="1"/>
  <c r="M1446" i="1"/>
  <c r="O1446" i="1" s="1"/>
  <c r="S1442" i="1" l="1" a="1"/>
  <c r="S1442" i="1" s="1"/>
  <c r="R1443" i="1"/>
  <c r="Q1445" i="1"/>
  <c r="M1447" i="1"/>
  <c r="O1447" i="1" s="1"/>
  <c r="N1447" i="1"/>
  <c r="P1447" i="1" s="1" a="1"/>
  <c r="P1447" i="1" s="1"/>
  <c r="S1443" i="1" l="1" a="1"/>
  <c r="S1443" i="1" s="1"/>
  <c r="R1444" i="1"/>
  <c r="N1448" i="1"/>
  <c r="P1448" i="1" s="1" a="1"/>
  <c r="P1448" i="1" s="1"/>
  <c r="M1448" i="1"/>
  <c r="O1448" i="1" s="1"/>
  <c r="Q1446" i="1"/>
  <c r="S1444" i="1" l="1" a="1"/>
  <c r="S1444" i="1" s="1"/>
  <c r="R1445" i="1"/>
  <c r="Q1447" i="1"/>
  <c r="M1449" i="1"/>
  <c r="O1449" i="1" s="1"/>
  <c r="N1449" i="1"/>
  <c r="P1449" i="1" s="1" a="1"/>
  <c r="P1449" i="1" s="1"/>
  <c r="S1445" i="1" l="1" a="1"/>
  <c r="S1445" i="1" s="1"/>
  <c r="R1446" i="1"/>
  <c r="N1450" i="1"/>
  <c r="P1450" i="1" s="1" a="1"/>
  <c r="P1450" i="1" s="1"/>
  <c r="M1450" i="1"/>
  <c r="O1450" i="1" s="1"/>
  <c r="Q1448" i="1"/>
  <c r="S1446" i="1" l="1" a="1"/>
  <c r="S1446" i="1" s="1"/>
  <c r="R1447" i="1"/>
  <c r="M1451" i="1"/>
  <c r="O1451" i="1" s="1"/>
  <c r="Q1449" i="1"/>
  <c r="N1451" i="1"/>
  <c r="P1451" i="1" s="1" a="1"/>
  <c r="P1451" i="1" s="1"/>
  <c r="S1447" i="1" l="1" a="1"/>
  <c r="S1447" i="1" s="1"/>
  <c r="R1448" i="1"/>
  <c r="N1452" i="1"/>
  <c r="P1452" i="1" s="1" a="1"/>
  <c r="P1452" i="1" s="1"/>
  <c r="Q1450" i="1"/>
  <c r="M1452" i="1"/>
  <c r="O1452" i="1" s="1"/>
  <c r="S1448" i="1" l="1" a="1"/>
  <c r="S1448" i="1" s="1"/>
  <c r="R1449" i="1"/>
  <c r="M1453" i="1"/>
  <c r="O1453" i="1" s="1"/>
  <c r="Q1451" i="1"/>
  <c r="N1453" i="1"/>
  <c r="P1453" i="1" s="1" a="1"/>
  <c r="P1453" i="1" s="1"/>
  <c r="S1449" i="1" l="1" a="1"/>
  <c r="S1449" i="1" s="1"/>
  <c r="R1450" i="1"/>
  <c r="N1454" i="1"/>
  <c r="P1454" i="1" s="1" a="1"/>
  <c r="P1454" i="1" s="1"/>
  <c r="Q1452" i="1"/>
  <c r="M1454" i="1"/>
  <c r="O1454" i="1" s="1"/>
  <c r="S1450" i="1" l="1" a="1"/>
  <c r="S1450" i="1" s="1"/>
  <c r="R1451" i="1"/>
  <c r="Q1453" i="1"/>
  <c r="M1455" i="1"/>
  <c r="O1455" i="1" s="1"/>
  <c r="N1455" i="1"/>
  <c r="P1455" i="1" s="1" a="1"/>
  <c r="P1455" i="1" s="1"/>
  <c r="S1451" i="1" l="1" a="1"/>
  <c r="S1451" i="1" s="1"/>
  <c r="R1452" i="1"/>
  <c r="N1456" i="1"/>
  <c r="P1456" i="1" s="1" a="1"/>
  <c r="P1456" i="1" s="1"/>
  <c r="M1456" i="1"/>
  <c r="O1456" i="1" s="1"/>
  <c r="Q1454" i="1"/>
  <c r="S1452" i="1" l="1" a="1"/>
  <c r="S1452" i="1" s="1"/>
  <c r="R1453" i="1"/>
  <c r="Q1455" i="1"/>
  <c r="M1457" i="1"/>
  <c r="O1457" i="1" s="1"/>
  <c r="N1457" i="1"/>
  <c r="P1457" i="1" s="1" a="1"/>
  <c r="P1457" i="1" s="1"/>
  <c r="S1453" i="1" l="1" a="1"/>
  <c r="S1453" i="1" s="1"/>
  <c r="R1454" i="1"/>
  <c r="N1458" i="1"/>
  <c r="P1458" i="1" s="1" a="1"/>
  <c r="P1458" i="1" s="1"/>
  <c r="M1458" i="1"/>
  <c r="O1458" i="1" s="1"/>
  <c r="Q1456" i="1"/>
  <c r="S1454" i="1" l="1" a="1"/>
  <c r="S1454" i="1" s="1"/>
  <c r="R1455" i="1"/>
  <c r="M1459" i="1"/>
  <c r="O1459" i="1" s="1"/>
  <c r="Q1457" i="1"/>
  <c r="N1459" i="1"/>
  <c r="P1459" i="1" s="1" a="1"/>
  <c r="P1459" i="1" s="1"/>
  <c r="S1455" i="1" l="1" a="1"/>
  <c r="S1455" i="1" s="1"/>
  <c r="R1456" i="1"/>
  <c r="N1460" i="1"/>
  <c r="P1460" i="1" s="1" a="1"/>
  <c r="P1460" i="1" s="1"/>
  <c r="Q1458" i="1"/>
  <c r="M1460" i="1"/>
  <c r="O1460" i="1" s="1"/>
  <c r="S1456" i="1" l="1" a="1"/>
  <c r="S1456" i="1" s="1"/>
  <c r="R1457" i="1"/>
  <c r="M1461" i="1"/>
  <c r="O1461" i="1" s="1"/>
  <c r="Q1459" i="1"/>
  <c r="N1461" i="1"/>
  <c r="P1461" i="1" s="1" a="1"/>
  <c r="P1461" i="1" s="1"/>
  <c r="S1457" i="1" l="1" a="1"/>
  <c r="S1457" i="1" s="1"/>
  <c r="R1458" i="1"/>
  <c r="N1462" i="1"/>
  <c r="P1462" i="1" s="1" a="1"/>
  <c r="P1462" i="1" s="1"/>
  <c r="Q1460" i="1"/>
  <c r="M1462" i="1"/>
  <c r="O1462" i="1" s="1"/>
  <c r="S1458" i="1" l="1" a="1"/>
  <c r="S1458" i="1" s="1"/>
  <c r="R1459" i="1"/>
  <c r="Q1461" i="1"/>
  <c r="M1463" i="1"/>
  <c r="O1463" i="1" s="1"/>
  <c r="N1463" i="1"/>
  <c r="P1463" i="1" s="1" a="1"/>
  <c r="P1463" i="1" s="1"/>
  <c r="S1459" i="1" l="1" a="1"/>
  <c r="S1459" i="1" s="1"/>
  <c r="R1460" i="1"/>
  <c r="M1464" i="1"/>
  <c r="O1464" i="1" s="1"/>
  <c r="N1464" i="1"/>
  <c r="P1464" i="1" s="1" a="1"/>
  <c r="P1464" i="1" s="1"/>
  <c r="Q1462" i="1"/>
  <c r="S1460" i="1" l="1" a="1"/>
  <c r="S1460" i="1" s="1"/>
  <c r="R1461" i="1"/>
  <c r="N1465" i="1"/>
  <c r="P1465" i="1" s="1" a="1"/>
  <c r="P1465" i="1" s="1"/>
  <c r="Q1463" i="1"/>
  <c r="M1465" i="1"/>
  <c r="O1465" i="1" s="1"/>
  <c r="S1461" i="1" l="1" a="1"/>
  <c r="S1461" i="1" s="1"/>
  <c r="R1462" i="1"/>
  <c r="M1466" i="1"/>
  <c r="O1466" i="1" s="1"/>
  <c r="Q1464" i="1"/>
  <c r="N1466" i="1"/>
  <c r="P1466" i="1" s="1" a="1"/>
  <c r="P1466" i="1" s="1"/>
  <c r="S1462" i="1" l="1" a="1"/>
  <c r="S1462" i="1" s="1"/>
  <c r="R1463" i="1"/>
  <c r="N1467" i="1"/>
  <c r="P1467" i="1" s="1" a="1"/>
  <c r="P1467" i="1" s="1"/>
  <c r="Q1465" i="1"/>
  <c r="M1467" i="1"/>
  <c r="O1467" i="1" s="1"/>
  <c r="S1463" i="1" l="1" a="1"/>
  <c r="S1463" i="1" s="1"/>
  <c r="R1464" i="1"/>
  <c r="Q1466" i="1"/>
  <c r="M1468" i="1"/>
  <c r="O1468" i="1" s="1"/>
  <c r="N1468" i="1"/>
  <c r="P1468" i="1" s="1" a="1"/>
  <c r="P1468" i="1" s="1"/>
  <c r="S1464" i="1" l="1" a="1"/>
  <c r="S1464" i="1" s="1"/>
  <c r="R1465" i="1"/>
  <c r="N1469" i="1"/>
  <c r="P1469" i="1" s="1" a="1"/>
  <c r="P1469" i="1" s="1"/>
  <c r="M1469" i="1"/>
  <c r="O1469" i="1" s="1"/>
  <c r="Q1467" i="1"/>
  <c r="S1465" i="1" l="1" a="1"/>
  <c r="S1465" i="1" s="1"/>
  <c r="R1466" i="1"/>
  <c r="Q1468" i="1"/>
  <c r="M1470" i="1"/>
  <c r="O1470" i="1" s="1"/>
  <c r="N1470" i="1"/>
  <c r="P1470" i="1" s="1" a="1"/>
  <c r="P1470" i="1" s="1"/>
  <c r="S1466" i="1" l="1" a="1"/>
  <c r="S1466" i="1" s="1"/>
  <c r="R1467" i="1"/>
  <c r="N1471" i="1"/>
  <c r="P1471" i="1" s="1" a="1"/>
  <c r="P1471" i="1" s="1"/>
  <c r="Q1469" i="1"/>
  <c r="M1471" i="1"/>
  <c r="O1471" i="1" s="1"/>
  <c r="S1467" i="1" l="1" a="1"/>
  <c r="S1467" i="1" s="1"/>
  <c r="R1468" i="1"/>
  <c r="M1472" i="1"/>
  <c r="O1472" i="1" s="1"/>
  <c r="Q1470" i="1"/>
  <c r="N1472" i="1"/>
  <c r="P1472" i="1" s="1" a="1"/>
  <c r="P1472" i="1" s="1"/>
  <c r="S1468" i="1" l="1" a="1"/>
  <c r="S1468" i="1" s="1"/>
  <c r="R1469" i="1"/>
  <c r="N1473" i="1"/>
  <c r="P1473" i="1" s="1" a="1"/>
  <c r="P1473" i="1" s="1"/>
  <c r="Q1471" i="1"/>
  <c r="M1473" i="1"/>
  <c r="O1473" i="1" s="1"/>
  <c r="S1469" i="1" l="1" a="1"/>
  <c r="S1469" i="1" s="1"/>
  <c r="R1470" i="1"/>
  <c r="M1474" i="1"/>
  <c r="O1474" i="1" s="1"/>
  <c r="Q1472" i="1"/>
  <c r="N1474" i="1"/>
  <c r="P1474" i="1" s="1" a="1"/>
  <c r="P1474" i="1" s="1"/>
  <c r="S1470" i="1" l="1" a="1"/>
  <c r="S1470" i="1" s="1"/>
  <c r="R1471" i="1"/>
  <c r="N1475" i="1"/>
  <c r="P1475" i="1" s="1" a="1"/>
  <c r="P1475" i="1" s="1"/>
  <c r="M1475" i="1"/>
  <c r="O1475" i="1" s="1"/>
  <c r="Q1473" i="1"/>
  <c r="S1471" i="1" l="1" a="1"/>
  <c r="S1471" i="1" s="1"/>
  <c r="R1472" i="1"/>
  <c r="Q1474" i="1"/>
  <c r="M1476" i="1"/>
  <c r="O1476" i="1" s="1"/>
  <c r="N1476" i="1"/>
  <c r="P1476" i="1" s="1" a="1"/>
  <c r="P1476" i="1" s="1"/>
  <c r="S1472" i="1" l="1" a="1"/>
  <c r="S1472" i="1" s="1"/>
  <c r="R1473" i="1"/>
  <c r="N1477" i="1"/>
  <c r="P1477" i="1" s="1" a="1"/>
  <c r="P1477" i="1" s="1"/>
  <c r="M1477" i="1"/>
  <c r="O1477" i="1" s="1"/>
  <c r="Q1475" i="1"/>
  <c r="S1473" i="1" l="1" a="1"/>
  <c r="S1473" i="1" s="1"/>
  <c r="R1474" i="1"/>
  <c r="Q1476" i="1"/>
  <c r="M1478" i="1"/>
  <c r="O1478" i="1" s="1"/>
  <c r="N1478" i="1"/>
  <c r="P1478" i="1" s="1" a="1"/>
  <c r="P1478" i="1" s="1"/>
  <c r="S1474" i="1" l="1" a="1"/>
  <c r="S1474" i="1" s="1"/>
  <c r="R1475" i="1"/>
  <c r="N1479" i="1"/>
  <c r="P1479" i="1" s="1" a="1"/>
  <c r="P1479" i="1" s="1"/>
  <c r="Q1477" i="1"/>
  <c r="M1479" i="1"/>
  <c r="O1479" i="1" s="1"/>
  <c r="S1475" i="1" l="1" a="1"/>
  <c r="S1475" i="1" s="1"/>
  <c r="R1476" i="1"/>
  <c r="M1480" i="1"/>
  <c r="O1480" i="1" s="1"/>
  <c r="Q1478" i="1"/>
  <c r="N1480" i="1"/>
  <c r="P1480" i="1" s="1" a="1"/>
  <c r="P1480" i="1" s="1"/>
  <c r="S1476" i="1" l="1" a="1"/>
  <c r="S1476" i="1" s="1"/>
  <c r="R1477" i="1"/>
  <c r="N1481" i="1"/>
  <c r="P1481" i="1" s="1" a="1"/>
  <c r="P1481" i="1" s="1"/>
  <c r="Q1479" i="1"/>
  <c r="M1481" i="1"/>
  <c r="O1481" i="1" s="1"/>
  <c r="S1477" i="1" l="1" a="1"/>
  <c r="S1477" i="1" s="1"/>
  <c r="R1478" i="1"/>
  <c r="M1482" i="1"/>
  <c r="O1482" i="1" s="1"/>
  <c r="Q1480" i="1"/>
  <c r="N1482" i="1"/>
  <c r="P1482" i="1" s="1" a="1"/>
  <c r="P1482" i="1" s="1"/>
  <c r="S1478" i="1" l="1" a="1"/>
  <c r="S1478" i="1" s="1"/>
  <c r="R1479" i="1"/>
  <c r="N1483" i="1"/>
  <c r="P1483" i="1" s="1" a="1"/>
  <c r="P1483" i="1" s="1"/>
  <c r="M1483" i="1"/>
  <c r="O1483" i="1" s="1"/>
  <c r="Q1481" i="1"/>
  <c r="S1479" i="1" l="1" a="1"/>
  <c r="S1479" i="1" s="1"/>
  <c r="R1480" i="1"/>
  <c r="Q1482" i="1"/>
  <c r="M1484" i="1"/>
  <c r="O1484" i="1" s="1"/>
  <c r="N1484" i="1"/>
  <c r="P1484" i="1" s="1" a="1"/>
  <c r="P1484" i="1" s="1"/>
  <c r="S1480" i="1" l="1" a="1"/>
  <c r="S1480" i="1" s="1"/>
  <c r="R1481" i="1"/>
  <c r="M1485" i="1"/>
  <c r="O1485" i="1" s="1"/>
  <c r="N1485" i="1"/>
  <c r="P1485" i="1" s="1" a="1"/>
  <c r="P1485" i="1" s="1"/>
  <c r="Q1483" i="1"/>
  <c r="S1481" i="1" l="1" a="1"/>
  <c r="S1481" i="1" s="1"/>
  <c r="R1482" i="1"/>
  <c r="N1486" i="1"/>
  <c r="P1486" i="1" s="1" a="1"/>
  <c r="P1486" i="1" s="1"/>
  <c r="Q1484" i="1"/>
  <c r="M1486" i="1"/>
  <c r="O1486" i="1" s="1"/>
  <c r="S1482" i="1" l="1" a="1"/>
  <c r="S1482" i="1" s="1"/>
  <c r="R1483" i="1"/>
  <c r="Q1485" i="1"/>
  <c r="M1487" i="1"/>
  <c r="O1487" i="1" s="1"/>
  <c r="N1487" i="1"/>
  <c r="P1487" i="1" s="1" a="1"/>
  <c r="P1487" i="1" s="1"/>
  <c r="S1483" i="1" l="1" a="1"/>
  <c r="S1483" i="1" s="1"/>
  <c r="R1484" i="1"/>
  <c r="M1488" i="1"/>
  <c r="O1488" i="1" s="1"/>
  <c r="N1488" i="1"/>
  <c r="P1488" i="1" s="1" a="1"/>
  <c r="P1488" i="1" s="1"/>
  <c r="Q1486" i="1"/>
  <c r="S1484" i="1" l="1" a="1"/>
  <c r="S1484" i="1" s="1"/>
  <c r="R1485" i="1"/>
  <c r="N1489" i="1"/>
  <c r="P1489" i="1" s="1" a="1"/>
  <c r="P1489" i="1" s="1"/>
  <c r="Q1487" i="1"/>
  <c r="M1489" i="1"/>
  <c r="O1489" i="1" s="1"/>
  <c r="S1485" i="1" l="1" a="1"/>
  <c r="S1485" i="1" s="1"/>
  <c r="R1486" i="1"/>
  <c r="M1490" i="1"/>
  <c r="O1490" i="1" s="1"/>
  <c r="Q1488" i="1"/>
  <c r="N1490" i="1"/>
  <c r="P1490" i="1" s="1" a="1"/>
  <c r="P1490" i="1" s="1"/>
  <c r="S1486" i="1" l="1" a="1"/>
  <c r="S1486" i="1" s="1"/>
  <c r="R1487" i="1"/>
  <c r="N1491" i="1"/>
  <c r="P1491" i="1" s="1" a="1"/>
  <c r="P1491" i="1" s="1"/>
  <c r="M1491" i="1"/>
  <c r="O1491" i="1" s="1"/>
  <c r="Q1489" i="1"/>
  <c r="S1487" i="1" l="1" a="1"/>
  <c r="S1487" i="1" s="1"/>
  <c r="R1488" i="1"/>
  <c r="Q1490" i="1"/>
  <c r="M1492" i="1"/>
  <c r="O1492" i="1" s="1"/>
  <c r="N1492" i="1"/>
  <c r="P1492" i="1" s="1" a="1"/>
  <c r="P1492" i="1" s="1"/>
  <c r="S1488" i="1" l="1" a="1"/>
  <c r="S1488" i="1" s="1"/>
  <c r="R1489" i="1"/>
  <c r="N1493" i="1"/>
  <c r="P1493" i="1" s="1" a="1"/>
  <c r="P1493" i="1" s="1"/>
  <c r="M1493" i="1"/>
  <c r="O1493" i="1" s="1"/>
  <c r="Q1491" i="1"/>
  <c r="S1489" i="1" l="1" a="1"/>
  <c r="S1489" i="1" s="1"/>
  <c r="R1490" i="1"/>
  <c r="Q1492" i="1"/>
  <c r="M1494" i="1"/>
  <c r="O1494" i="1" s="1"/>
  <c r="N1494" i="1"/>
  <c r="P1494" i="1" s="1" a="1"/>
  <c r="P1494" i="1" s="1"/>
  <c r="S1490" i="1" l="1" a="1"/>
  <c r="S1490" i="1" s="1"/>
  <c r="R1491" i="1"/>
  <c r="N1495" i="1"/>
  <c r="P1495" i="1" s="1" a="1"/>
  <c r="P1495" i="1" s="1"/>
  <c r="Q1493" i="1"/>
  <c r="M1495" i="1"/>
  <c r="O1495" i="1" s="1"/>
  <c r="S1491" i="1" l="1" a="1"/>
  <c r="S1491" i="1" s="1"/>
  <c r="R1492" i="1"/>
  <c r="M1496" i="1"/>
  <c r="O1496" i="1" s="1"/>
  <c r="Q1494" i="1"/>
  <c r="N1496" i="1"/>
  <c r="P1496" i="1" s="1" a="1"/>
  <c r="P1496" i="1" s="1"/>
  <c r="S1492" i="1" l="1" a="1"/>
  <c r="S1492" i="1" s="1"/>
  <c r="R1493" i="1"/>
  <c r="Q1495" i="1"/>
  <c r="M1497" i="1"/>
  <c r="O1497" i="1" s="1"/>
  <c r="N1497" i="1"/>
  <c r="P1497" i="1" s="1" a="1"/>
  <c r="P1497" i="1" s="1"/>
  <c r="S1493" i="1" l="1" a="1"/>
  <c r="S1493" i="1" s="1"/>
  <c r="R1494" i="1"/>
  <c r="N1498" i="1"/>
  <c r="P1498" i="1" s="1" a="1"/>
  <c r="P1498" i="1" s="1"/>
  <c r="M1498" i="1"/>
  <c r="O1498" i="1" s="1"/>
  <c r="Q1496" i="1"/>
  <c r="S1494" i="1" l="1" a="1"/>
  <c r="S1494" i="1" s="1"/>
  <c r="R1495" i="1"/>
  <c r="M1499" i="1"/>
  <c r="O1499" i="1" s="1"/>
  <c r="Q1497" i="1"/>
  <c r="N1499" i="1"/>
  <c r="P1499" i="1" s="1" a="1"/>
  <c r="P1499" i="1" s="1"/>
  <c r="S1495" i="1" l="1" a="1"/>
  <c r="S1495" i="1" s="1"/>
  <c r="R1496" i="1"/>
  <c r="N1500" i="1"/>
  <c r="P1500" i="1" s="1" a="1"/>
  <c r="P1500" i="1" s="1"/>
  <c r="Q1498" i="1"/>
  <c r="M1500" i="1"/>
  <c r="O1500" i="1" s="1"/>
  <c r="S1496" i="1" l="1" a="1"/>
  <c r="S1496" i="1" s="1"/>
  <c r="R1497" i="1"/>
  <c r="Q1499" i="1"/>
  <c r="N1501" i="1"/>
  <c r="P1501" i="1" s="1" a="1"/>
  <c r="P1501" i="1" s="1"/>
  <c r="M1501" i="1"/>
  <c r="O1501" i="1" s="1"/>
  <c r="S1497" i="1" l="1" a="1"/>
  <c r="S1497" i="1" s="1"/>
  <c r="R1498" i="1"/>
  <c r="Q1500" i="1"/>
  <c r="M1502" i="1"/>
  <c r="O1502" i="1" s="1"/>
  <c r="N1502" i="1"/>
  <c r="P1502" i="1" s="1" a="1"/>
  <c r="P1502" i="1" s="1"/>
  <c r="S1498" i="1" l="1" a="1"/>
  <c r="S1498" i="1" s="1"/>
  <c r="R1499" i="1"/>
  <c r="N1503" i="1"/>
  <c r="P1503" i="1" s="1" a="1"/>
  <c r="P1503" i="1" s="1"/>
  <c r="Q1501" i="1"/>
  <c r="M1503" i="1"/>
  <c r="O1503" i="1" s="1"/>
  <c r="S1499" i="1" l="1" a="1"/>
  <c r="S1499" i="1" s="1"/>
  <c r="R1500" i="1"/>
  <c r="M1504" i="1"/>
  <c r="O1504" i="1" s="1"/>
  <c r="Q1502" i="1"/>
  <c r="N1504" i="1"/>
  <c r="P1504" i="1" s="1" a="1"/>
  <c r="P1504" i="1" s="1"/>
  <c r="S1500" i="1" l="1" a="1"/>
  <c r="S1500" i="1" s="1"/>
  <c r="R1501" i="1"/>
  <c r="N1505" i="1"/>
  <c r="P1505" i="1" s="1" a="1"/>
  <c r="P1505" i="1" s="1"/>
  <c r="Q1503" i="1"/>
  <c r="M1505" i="1"/>
  <c r="O1505" i="1" s="1"/>
  <c r="S1501" i="1" l="1" a="1"/>
  <c r="S1501" i="1" s="1"/>
  <c r="R1502" i="1"/>
  <c r="M1506" i="1"/>
  <c r="O1506" i="1" s="1"/>
  <c r="Q1504" i="1"/>
  <c r="N1506" i="1"/>
  <c r="P1506" i="1" s="1" a="1"/>
  <c r="P1506" i="1" s="1"/>
  <c r="S1502" i="1" l="1" a="1"/>
  <c r="S1502" i="1" s="1"/>
  <c r="R1503" i="1"/>
  <c r="N1507" i="1"/>
  <c r="P1507" i="1" s="1" a="1"/>
  <c r="P1507" i="1" s="1"/>
  <c r="M1507" i="1"/>
  <c r="O1507" i="1" s="1"/>
  <c r="Q1505" i="1"/>
  <c r="S1503" i="1" l="1" a="1"/>
  <c r="S1503" i="1" s="1"/>
  <c r="R1504" i="1"/>
  <c r="Q1506" i="1"/>
  <c r="M1508" i="1"/>
  <c r="O1508" i="1" s="1"/>
  <c r="N1508" i="1"/>
  <c r="P1508" i="1" s="1" a="1"/>
  <c r="P1508" i="1" s="1"/>
  <c r="S1504" i="1" l="1" a="1"/>
  <c r="S1504" i="1" s="1"/>
  <c r="R1505" i="1"/>
  <c r="M1509" i="1"/>
  <c r="O1509" i="1" s="1"/>
  <c r="N1509" i="1"/>
  <c r="P1509" i="1" s="1" a="1"/>
  <c r="P1509" i="1" s="1"/>
  <c r="Q1507" i="1"/>
  <c r="S1505" i="1" l="1" a="1"/>
  <c r="S1505" i="1" s="1"/>
  <c r="R1506" i="1"/>
  <c r="N1510" i="1"/>
  <c r="P1510" i="1" s="1" a="1"/>
  <c r="P1510" i="1" s="1"/>
  <c r="Q1508" i="1"/>
  <c r="M1510" i="1"/>
  <c r="O1510" i="1" s="1"/>
  <c r="S1506" i="1" l="1" a="1"/>
  <c r="S1506" i="1" s="1"/>
  <c r="R1507" i="1"/>
  <c r="Q1509" i="1"/>
  <c r="M1511" i="1"/>
  <c r="O1511" i="1" s="1"/>
  <c r="N1511" i="1"/>
  <c r="P1511" i="1" s="1" a="1"/>
  <c r="P1511" i="1" s="1"/>
  <c r="S1507" i="1" l="1" a="1"/>
  <c r="S1507" i="1" s="1"/>
  <c r="R1508" i="1"/>
  <c r="N1512" i="1"/>
  <c r="P1512" i="1" s="1" a="1"/>
  <c r="P1512" i="1" s="1"/>
  <c r="Q1510" i="1"/>
  <c r="M1512" i="1"/>
  <c r="O1512" i="1" s="1"/>
  <c r="S1508" i="1" l="1" a="1"/>
  <c r="S1508" i="1" s="1"/>
  <c r="R1509" i="1"/>
  <c r="Q1511" i="1"/>
  <c r="M1513" i="1"/>
  <c r="O1513" i="1" s="1"/>
  <c r="N1513" i="1"/>
  <c r="P1513" i="1" s="1" a="1"/>
  <c r="P1513" i="1" s="1"/>
  <c r="S1509" i="1" l="1" a="1"/>
  <c r="S1509" i="1" s="1"/>
  <c r="R1510" i="1"/>
  <c r="M1514" i="1"/>
  <c r="O1514" i="1" s="1"/>
  <c r="N1514" i="1"/>
  <c r="P1514" i="1" s="1" a="1"/>
  <c r="P1514" i="1" s="1"/>
  <c r="Q1512" i="1"/>
  <c r="S1510" i="1" l="1" a="1"/>
  <c r="S1510" i="1" s="1"/>
  <c r="R1511" i="1"/>
  <c r="N1515" i="1"/>
  <c r="P1515" i="1" s="1" a="1"/>
  <c r="P1515" i="1" s="1"/>
  <c r="M1515" i="1"/>
  <c r="O1515" i="1" s="1"/>
  <c r="Q1513" i="1"/>
  <c r="S1511" i="1" l="1" a="1"/>
  <c r="S1511" i="1" s="1"/>
  <c r="R1512" i="1"/>
  <c r="Q1514" i="1"/>
  <c r="M1516" i="1"/>
  <c r="O1516" i="1" s="1"/>
  <c r="N1516" i="1"/>
  <c r="P1516" i="1" s="1" a="1"/>
  <c r="P1516" i="1" s="1"/>
  <c r="S1512" i="1" l="1" a="1"/>
  <c r="S1512" i="1" s="1"/>
  <c r="R1513" i="1"/>
  <c r="N1517" i="1"/>
  <c r="P1517" i="1" s="1" a="1"/>
  <c r="P1517" i="1" s="1"/>
  <c r="M1517" i="1"/>
  <c r="O1517" i="1" s="1"/>
  <c r="Q1515" i="1"/>
  <c r="S1513" i="1" l="1" a="1"/>
  <c r="S1513" i="1" s="1"/>
  <c r="R1514" i="1"/>
  <c r="Q1516" i="1"/>
  <c r="M1518" i="1"/>
  <c r="O1518" i="1" s="1"/>
  <c r="N1518" i="1"/>
  <c r="P1518" i="1" s="1" a="1"/>
  <c r="P1518" i="1" s="1"/>
  <c r="S1514" i="1" l="1" a="1"/>
  <c r="S1514" i="1" s="1"/>
  <c r="R1515" i="1"/>
  <c r="N1519" i="1"/>
  <c r="P1519" i="1" s="1" a="1"/>
  <c r="P1519" i="1" s="1"/>
  <c r="Q1517" i="1"/>
  <c r="M1519" i="1"/>
  <c r="O1519" i="1" s="1"/>
  <c r="S1515" i="1" l="1" a="1"/>
  <c r="S1515" i="1" s="1"/>
  <c r="R1516" i="1"/>
  <c r="M1520" i="1"/>
  <c r="O1520" i="1" s="1"/>
  <c r="Q1518" i="1"/>
  <c r="N1520" i="1"/>
  <c r="P1520" i="1" s="1" a="1"/>
  <c r="P1520" i="1" s="1"/>
  <c r="S1516" i="1" l="1" a="1"/>
  <c r="S1516" i="1" s="1"/>
  <c r="R1517" i="1"/>
  <c r="N1521" i="1"/>
  <c r="P1521" i="1" s="1" a="1"/>
  <c r="P1521" i="1" s="1"/>
  <c r="Q1519" i="1"/>
  <c r="M1521" i="1"/>
  <c r="O1521" i="1" s="1"/>
  <c r="S1517" i="1" l="1" a="1"/>
  <c r="S1517" i="1" s="1"/>
  <c r="R1518" i="1"/>
  <c r="M1522" i="1"/>
  <c r="O1522" i="1" s="1"/>
  <c r="Q1520" i="1"/>
  <c r="N1522" i="1"/>
  <c r="P1522" i="1" s="1" a="1"/>
  <c r="P1522" i="1" s="1"/>
  <c r="S1518" i="1" l="1" a="1"/>
  <c r="S1518" i="1" s="1"/>
  <c r="R1519" i="1"/>
  <c r="N1523" i="1"/>
  <c r="P1523" i="1" s="1" a="1"/>
  <c r="P1523" i="1" s="1"/>
  <c r="M1523" i="1"/>
  <c r="O1523" i="1" s="1"/>
  <c r="Q1521" i="1"/>
  <c r="S1519" i="1" l="1" a="1"/>
  <c r="S1519" i="1" s="1"/>
  <c r="R1520" i="1"/>
  <c r="Q1522" i="1"/>
  <c r="M1524" i="1"/>
  <c r="O1524" i="1" s="1"/>
  <c r="N1524" i="1"/>
  <c r="P1524" i="1" s="1" a="1"/>
  <c r="P1524" i="1" s="1"/>
  <c r="S1520" i="1" l="1" a="1"/>
  <c r="S1520" i="1" s="1"/>
  <c r="R1521" i="1"/>
  <c r="N1525" i="1"/>
  <c r="P1525" i="1" s="1" a="1"/>
  <c r="P1525" i="1" s="1"/>
  <c r="M1525" i="1"/>
  <c r="O1525" i="1" s="1"/>
  <c r="Q1523" i="1"/>
  <c r="S1521" i="1" l="1" a="1"/>
  <c r="S1521" i="1" s="1"/>
  <c r="R1522" i="1"/>
  <c r="Q1524" i="1"/>
  <c r="M1526" i="1"/>
  <c r="O1526" i="1" s="1"/>
  <c r="N1526" i="1"/>
  <c r="P1526" i="1" s="1" a="1"/>
  <c r="P1526" i="1" s="1"/>
  <c r="S1522" i="1" l="1" a="1"/>
  <c r="S1522" i="1" s="1"/>
  <c r="R1523" i="1"/>
  <c r="Q1525" i="1"/>
  <c r="N1527" i="1"/>
  <c r="P1527" i="1" s="1" a="1"/>
  <c r="P1527" i="1" s="1"/>
  <c r="M1527" i="1"/>
  <c r="O1527" i="1" s="1"/>
  <c r="S1523" i="1" l="1" a="1"/>
  <c r="S1523" i="1" s="1"/>
  <c r="R1524" i="1"/>
  <c r="M1528" i="1"/>
  <c r="O1528" i="1" s="1"/>
  <c r="Q1526" i="1"/>
  <c r="N1528" i="1"/>
  <c r="P1528" i="1" s="1" a="1"/>
  <c r="P1528" i="1" s="1"/>
  <c r="S1524" i="1" l="1" a="1"/>
  <c r="S1524" i="1" s="1"/>
  <c r="R1525" i="1"/>
  <c r="N1529" i="1"/>
  <c r="P1529" i="1" s="1" a="1"/>
  <c r="P1529" i="1" s="1"/>
  <c r="Q1527" i="1"/>
  <c r="M1529" i="1"/>
  <c r="O1529" i="1" s="1"/>
  <c r="S1525" i="1" l="1" a="1"/>
  <c r="S1525" i="1" s="1"/>
  <c r="R1526" i="1"/>
  <c r="Q1528" i="1"/>
  <c r="M1530" i="1"/>
  <c r="O1530" i="1" s="1"/>
  <c r="N1530" i="1"/>
  <c r="P1530" i="1" s="1" a="1"/>
  <c r="P1530" i="1" s="1"/>
  <c r="S1526" i="1" l="1" a="1"/>
  <c r="S1526" i="1" s="1"/>
  <c r="R1527" i="1"/>
  <c r="N1531" i="1"/>
  <c r="P1531" i="1" s="1" a="1"/>
  <c r="P1531" i="1" s="1"/>
  <c r="M1531" i="1"/>
  <c r="O1531" i="1" s="1"/>
  <c r="Q1529" i="1"/>
  <c r="S1527" i="1" l="1" a="1"/>
  <c r="S1527" i="1" s="1"/>
  <c r="R1528" i="1"/>
  <c r="Q1530" i="1"/>
  <c r="M1532" i="1"/>
  <c r="O1532" i="1" s="1"/>
  <c r="N1532" i="1"/>
  <c r="P1532" i="1" s="1" a="1"/>
  <c r="P1532" i="1" s="1"/>
  <c r="S1528" i="1" l="1" a="1"/>
  <c r="S1528" i="1" s="1"/>
  <c r="R1529" i="1"/>
  <c r="M1533" i="1"/>
  <c r="O1533" i="1" s="1"/>
  <c r="N1533" i="1"/>
  <c r="P1533" i="1" s="1" a="1"/>
  <c r="P1533" i="1" s="1"/>
  <c r="Q1531" i="1"/>
  <c r="S1529" i="1" l="1" a="1"/>
  <c r="S1529" i="1" s="1"/>
  <c r="R1530" i="1"/>
  <c r="N1534" i="1"/>
  <c r="P1534" i="1" s="1" a="1"/>
  <c r="P1534" i="1" s="1"/>
  <c r="Q1532" i="1"/>
  <c r="M1534" i="1"/>
  <c r="O1534" i="1" s="1"/>
  <c r="S1530" i="1" l="1" a="1"/>
  <c r="S1530" i="1" s="1"/>
  <c r="R1531" i="1"/>
  <c r="Q1533" i="1"/>
  <c r="M1535" i="1"/>
  <c r="O1535" i="1" s="1"/>
  <c r="N1535" i="1"/>
  <c r="P1535" i="1" s="1" a="1"/>
  <c r="P1535" i="1" s="1"/>
  <c r="S1531" i="1" l="1" a="1"/>
  <c r="S1531" i="1" s="1"/>
  <c r="R1532" i="1"/>
  <c r="N1536" i="1"/>
  <c r="P1536" i="1" s="1" a="1"/>
  <c r="P1536" i="1" s="1"/>
  <c r="M1536" i="1"/>
  <c r="O1536" i="1" s="1"/>
  <c r="Q1534" i="1"/>
  <c r="S1532" i="1" l="1" a="1"/>
  <c r="S1532" i="1" s="1"/>
  <c r="R1533" i="1"/>
  <c r="Q1535" i="1"/>
  <c r="M1537" i="1"/>
  <c r="O1537" i="1" s="1"/>
  <c r="N1537" i="1"/>
  <c r="P1537" i="1" s="1" a="1"/>
  <c r="P1537" i="1" s="1"/>
  <c r="S1533" i="1" l="1" a="1"/>
  <c r="S1533" i="1" s="1"/>
  <c r="R1534" i="1"/>
  <c r="M1538" i="1"/>
  <c r="O1538" i="1" s="1"/>
  <c r="N1538" i="1"/>
  <c r="P1538" i="1" s="1" a="1"/>
  <c r="P1538" i="1" s="1"/>
  <c r="Q1536" i="1"/>
  <c r="S1534" i="1" l="1" a="1"/>
  <c r="S1534" i="1" s="1"/>
  <c r="R1535" i="1"/>
  <c r="N1539" i="1"/>
  <c r="P1539" i="1" s="1" a="1"/>
  <c r="P1539" i="1" s="1"/>
  <c r="M1539" i="1"/>
  <c r="O1539" i="1" s="1"/>
  <c r="Q1537" i="1"/>
  <c r="S1535" i="1" l="1" a="1"/>
  <c r="S1535" i="1" s="1"/>
  <c r="R1536" i="1"/>
  <c r="Q1538" i="1"/>
  <c r="M1540" i="1"/>
  <c r="O1540" i="1" s="1"/>
  <c r="N1540" i="1"/>
  <c r="P1540" i="1" s="1" a="1"/>
  <c r="P1540" i="1" s="1"/>
  <c r="S1536" i="1" l="1" a="1"/>
  <c r="S1536" i="1" s="1"/>
  <c r="R1537" i="1"/>
  <c r="N1541" i="1"/>
  <c r="P1541" i="1" s="1" a="1"/>
  <c r="P1541" i="1" s="1"/>
  <c r="M1541" i="1"/>
  <c r="O1541" i="1" s="1"/>
  <c r="Q1539" i="1"/>
  <c r="S1537" i="1" l="1" a="1"/>
  <c r="S1537" i="1" s="1"/>
  <c r="R1538" i="1"/>
  <c r="Q1540" i="1"/>
  <c r="M1542" i="1"/>
  <c r="O1542" i="1" s="1"/>
  <c r="N1542" i="1"/>
  <c r="P1542" i="1" s="1" a="1"/>
  <c r="P1542" i="1" s="1"/>
  <c r="S1538" i="1" l="1" a="1"/>
  <c r="S1538" i="1" s="1"/>
  <c r="R1539" i="1"/>
  <c r="N1543" i="1"/>
  <c r="P1543" i="1" s="1" a="1"/>
  <c r="P1543" i="1" s="1"/>
  <c r="Q1541" i="1"/>
  <c r="M1543" i="1"/>
  <c r="O1543" i="1" s="1"/>
  <c r="S1539" i="1" l="1" a="1"/>
  <c r="S1539" i="1" s="1"/>
  <c r="R1540" i="1"/>
  <c r="M1544" i="1"/>
  <c r="O1544" i="1" s="1"/>
  <c r="Q1542" i="1"/>
  <c r="N1544" i="1"/>
  <c r="P1544" i="1" s="1" a="1"/>
  <c r="P1544" i="1" s="1"/>
  <c r="S1540" i="1" l="1" a="1"/>
  <c r="S1540" i="1" s="1"/>
  <c r="R1541" i="1"/>
  <c r="N1545" i="1"/>
  <c r="P1545" i="1" s="1" a="1"/>
  <c r="P1545" i="1" s="1"/>
  <c r="Q1543" i="1"/>
  <c r="M1545" i="1"/>
  <c r="O1545" i="1" s="1"/>
  <c r="S1541" i="1" l="1" a="1"/>
  <c r="S1541" i="1" s="1"/>
  <c r="R1542" i="1"/>
  <c r="M1546" i="1"/>
  <c r="O1546" i="1" s="1"/>
  <c r="Q1544" i="1"/>
  <c r="N1546" i="1"/>
  <c r="P1546" i="1" s="1" a="1"/>
  <c r="P1546" i="1" s="1"/>
  <c r="S1542" i="1" l="1" a="1"/>
  <c r="S1542" i="1" s="1"/>
  <c r="R1543" i="1"/>
  <c r="N1547" i="1"/>
  <c r="P1547" i="1" s="1" a="1"/>
  <c r="P1547" i="1" s="1"/>
  <c r="M1547" i="1"/>
  <c r="O1547" i="1" s="1"/>
  <c r="Q1545" i="1"/>
  <c r="S1543" i="1" l="1" a="1"/>
  <c r="S1543" i="1" s="1"/>
  <c r="R1544" i="1"/>
  <c r="Q1546" i="1"/>
  <c r="M1548" i="1"/>
  <c r="O1548" i="1" s="1"/>
  <c r="N1548" i="1"/>
  <c r="P1548" i="1" s="1" a="1"/>
  <c r="P1548" i="1" s="1"/>
  <c r="S1544" i="1" l="1" a="1"/>
  <c r="S1544" i="1" s="1"/>
  <c r="R1545" i="1"/>
  <c r="M1549" i="1"/>
  <c r="O1549" i="1" s="1"/>
  <c r="N1549" i="1"/>
  <c r="P1549" i="1" s="1" a="1"/>
  <c r="P1549" i="1" s="1"/>
  <c r="Q1547" i="1"/>
  <c r="S1545" i="1" l="1" a="1"/>
  <c r="S1545" i="1" s="1"/>
  <c r="R1546" i="1"/>
  <c r="N1550" i="1"/>
  <c r="P1550" i="1" s="1" a="1"/>
  <c r="P1550" i="1" s="1"/>
  <c r="Q1548" i="1"/>
  <c r="M1550" i="1"/>
  <c r="O1550" i="1" s="1"/>
  <c r="S1546" i="1" l="1" a="1"/>
  <c r="S1546" i="1" s="1"/>
  <c r="R1547" i="1"/>
  <c r="Q1549" i="1"/>
  <c r="M1551" i="1"/>
  <c r="O1551" i="1" s="1"/>
  <c r="N1551" i="1"/>
  <c r="P1551" i="1" s="1" a="1"/>
  <c r="P1551" i="1" s="1"/>
  <c r="S1547" i="1" l="1" a="1"/>
  <c r="S1547" i="1" s="1"/>
  <c r="R1548" i="1"/>
  <c r="M1552" i="1"/>
  <c r="O1552" i="1" s="1"/>
  <c r="N1552" i="1"/>
  <c r="P1552" i="1" s="1" a="1"/>
  <c r="P1552" i="1" s="1"/>
  <c r="Q1550" i="1"/>
  <c r="S1548" i="1" l="1" a="1"/>
  <c r="S1548" i="1" s="1"/>
  <c r="R1549" i="1"/>
  <c r="N1553" i="1"/>
  <c r="P1553" i="1" s="1" a="1"/>
  <c r="P1553" i="1" s="1"/>
  <c r="Q1551" i="1"/>
  <c r="M1553" i="1"/>
  <c r="O1553" i="1" s="1"/>
  <c r="S1549" i="1" l="1" a="1"/>
  <c r="S1549" i="1" s="1"/>
  <c r="R1550" i="1"/>
  <c r="M1554" i="1"/>
  <c r="O1554" i="1" s="1"/>
  <c r="Q1552" i="1"/>
  <c r="N1554" i="1"/>
  <c r="P1554" i="1" s="1" a="1"/>
  <c r="P1554" i="1" s="1"/>
  <c r="S1550" i="1" l="1" a="1"/>
  <c r="S1550" i="1" s="1"/>
  <c r="R1551" i="1"/>
  <c r="N1555" i="1"/>
  <c r="P1555" i="1" s="1" a="1"/>
  <c r="P1555" i="1" s="1"/>
  <c r="M1555" i="1"/>
  <c r="O1555" i="1" s="1"/>
  <c r="Q1553" i="1"/>
  <c r="S1551" i="1" l="1" a="1"/>
  <c r="S1551" i="1" s="1"/>
  <c r="R1552" i="1"/>
  <c r="Q1554" i="1"/>
  <c r="M1556" i="1"/>
  <c r="O1556" i="1" s="1"/>
  <c r="N1556" i="1"/>
  <c r="P1556" i="1" s="1" a="1"/>
  <c r="P1556" i="1" s="1"/>
  <c r="S1552" i="1" l="1" a="1"/>
  <c r="S1552" i="1" s="1"/>
  <c r="R1553" i="1"/>
  <c r="N1557" i="1"/>
  <c r="P1557" i="1" s="1" a="1"/>
  <c r="P1557" i="1" s="1"/>
  <c r="M1557" i="1"/>
  <c r="O1557" i="1" s="1"/>
  <c r="Q1555" i="1"/>
  <c r="S1553" i="1" l="1" a="1"/>
  <c r="S1553" i="1" s="1"/>
  <c r="R1554" i="1"/>
  <c r="Q1556" i="1"/>
  <c r="M1558" i="1"/>
  <c r="O1558" i="1" s="1"/>
  <c r="N1558" i="1"/>
  <c r="P1558" i="1" s="1" a="1"/>
  <c r="P1558" i="1" s="1"/>
  <c r="S1554" i="1" l="1" a="1"/>
  <c r="S1554" i="1" s="1"/>
  <c r="R1555" i="1"/>
  <c r="N1559" i="1"/>
  <c r="P1559" i="1" s="1" a="1"/>
  <c r="P1559" i="1" s="1"/>
  <c r="Q1557" i="1"/>
  <c r="M1559" i="1"/>
  <c r="O1559" i="1" s="1"/>
  <c r="S1555" i="1" l="1" a="1"/>
  <c r="S1555" i="1" s="1"/>
  <c r="R1556" i="1"/>
  <c r="M1560" i="1"/>
  <c r="O1560" i="1" s="1"/>
  <c r="Q1558" i="1"/>
  <c r="N1560" i="1"/>
  <c r="P1560" i="1" s="1" a="1"/>
  <c r="P1560" i="1" s="1"/>
  <c r="S1556" i="1" l="1" a="1"/>
  <c r="S1556" i="1" s="1"/>
  <c r="R1557" i="1"/>
  <c r="N1561" i="1"/>
  <c r="P1561" i="1" s="1" a="1"/>
  <c r="P1561" i="1" s="1"/>
  <c r="Q1559" i="1"/>
  <c r="M1561" i="1"/>
  <c r="O1561" i="1" s="1"/>
  <c r="S1557" i="1" l="1" a="1"/>
  <c r="S1557" i="1" s="1"/>
  <c r="R1558" i="1"/>
  <c r="M1562" i="1"/>
  <c r="O1562" i="1" s="1"/>
  <c r="Q1560" i="1"/>
  <c r="N1562" i="1"/>
  <c r="P1562" i="1" s="1" a="1"/>
  <c r="P1562" i="1" s="1"/>
  <c r="S1558" i="1" l="1" a="1"/>
  <c r="S1558" i="1" s="1"/>
  <c r="R1559" i="1"/>
  <c r="M1563" i="1"/>
  <c r="O1563" i="1" s="1"/>
  <c r="N1563" i="1"/>
  <c r="P1563" i="1" s="1" a="1"/>
  <c r="P1563" i="1" s="1"/>
  <c r="Q1561" i="1"/>
  <c r="S1559" i="1" l="1" a="1"/>
  <c r="S1559" i="1" s="1"/>
  <c r="R1560" i="1"/>
  <c r="N1564" i="1"/>
  <c r="P1564" i="1" s="1" a="1"/>
  <c r="P1564" i="1" s="1"/>
  <c r="Q1562" i="1"/>
  <c r="M1564" i="1"/>
  <c r="O1564" i="1" s="1"/>
  <c r="S1560" i="1" l="1" a="1"/>
  <c r="S1560" i="1" s="1"/>
  <c r="R1561" i="1"/>
  <c r="M1565" i="1"/>
  <c r="O1565" i="1" s="1"/>
  <c r="Q1563" i="1"/>
  <c r="N1565" i="1"/>
  <c r="P1565" i="1" s="1" a="1"/>
  <c r="P1565" i="1" s="1"/>
  <c r="S1561" i="1" l="1" a="1"/>
  <c r="S1561" i="1" s="1"/>
  <c r="R1562" i="1"/>
  <c r="N1566" i="1"/>
  <c r="P1566" i="1" s="1" a="1"/>
  <c r="P1566" i="1" s="1"/>
  <c r="Q1564" i="1"/>
  <c r="M1566" i="1"/>
  <c r="O1566" i="1" s="1"/>
  <c r="S1562" i="1" l="1" a="1"/>
  <c r="S1562" i="1" s="1"/>
  <c r="R1563" i="1"/>
  <c r="Q1565" i="1"/>
  <c r="M1567" i="1"/>
  <c r="O1567" i="1" s="1"/>
  <c r="N1567" i="1"/>
  <c r="P1567" i="1" s="1" a="1"/>
  <c r="P1567" i="1" s="1"/>
  <c r="S1563" i="1" l="1" a="1"/>
  <c r="S1563" i="1" s="1"/>
  <c r="R1564" i="1"/>
  <c r="N1568" i="1"/>
  <c r="P1568" i="1" s="1" a="1"/>
  <c r="P1568" i="1" s="1"/>
  <c r="Q1566" i="1"/>
  <c r="M1568" i="1"/>
  <c r="O1568" i="1" s="1"/>
  <c r="S1564" i="1" l="1" a="1"/>
  <c r="S1564" i="1" s="1"/>
  <c r="R1565" i="1"/>
  <c r="Q1567" i="1"/>
  <c r="M1569" i="1"/>
  <c r="O1569" i="1" s="1"/>
  <c r="N1569" i="1"/>
  <c r="P1569" i="1" s="1" a="1"/>
  <c r="P1569" i="1" s="1"/>
  <c r="S1565" i="1" l="1" a="1"/>
  <c r="S1565" i="1" s="1"/>
  <c r="R1566" i="1"/>
  <c r="N1570" i="1"/>
  <c r="P1570" i="1" s="1" a="1"/>
  <c r="P1570" i="1" s="1"/>
  <c r="M1570" i="1"/>
  <c r="O1570" i="1" s="1"/>
  <c r="Q1568" i="1"/>
  <c r="S1566" i="1" l="1" a="1"/>
  <c r="S1566" i="1" s="1"/>
  <c r="R1567" i="1"/>
  <c r="M1571" i="1"/>
  <c r="O1571" i="1" s="1"/>
  <c r="Q1569" i="1"/>
  <c r="N1571" i="1"/>
  <c r="P1571" i="1" s="1" a="1"/>
  <c r="P1571" i="1" s="1"/>
  <c r="S1567" i="1" l="1" a="1"/>
  <c r="S1567" i="1" s="1"/>
  <c r="R1568" i="1"/>
  <c r="N1572" i="1"/>
  <c r="P1572" i="1" s="1" a="1"/>
  <c r="P1572" i="1" s="1"/>
  <c r="Q1570" i="1"/>
  <c r="M1572" i="1"/>
  <c r="O1572" i="1" s="1"/>
  <c r="S1568" i="1" l="1" a="1"/>
  <c r="S1568" i="1" s="1"/>
  <c r="R1569" i="1"/>
  <c r="M1573" i="1"/>
  <c r="O1573" i="1" s="1"/>
  <c r="Q1571" i="1"/>
  <c r="N1573" i="1"/>
  <c r="P1573" i="1" s="1" a="1"/>
  <c r="P1573" i="1" s="1"/>
  <c r="S1569" i="1" l="1" a="1"/>
  <c r="S1569" i="1" s="1"/>
  <c r="R1570" i="1"/>
  <c r="N1574" i="1"/>
  <c r="P1574" i="1" s="1" a="1"/>
  <c r="P1574" i="1" s="1"/>
  <c r="Q1572" i="1"/>
  <c r="M1574" i="1"/>
  <c r="O1574" i="1" s="1"/>
  <c r="S1570" i="1" l="1" a="1"/>
  <c r="S1570" i="1" s="1"/>
  <c r="R1571" i="1"/>
  <c r="Q1573" i="1"/>
  <c r="M1575" i="1"/>
  <c r="O1575" i="1" s="1"/>
  <c r="N1575" i="1"/>
  <c r="P1575" i="1" s="1" a="1"/>
  <c r="P1575" i="1" s="1"/>
  <c r="S1571" i="1" l="1" a="1"/>
  <c r="S1571" i="1" s="1"/>
  <c r="R1572" i="1"/>
  <c r="N1576" i="1"/>
  <c r="P1576" i="1" s="1" a="1"/>
  <c r="P1576" i="1" s="1"/>
  <c r="Q1574" i="1"/>
  <c r="M1576" i="1"/>
  <c r="O1576" i="1" s="1"/>
  <c r="S1572" i="1" l="1" a="1"/>
  <c r="S1572" i="1" s="1"/>
  <c r="R1573" i="1"/>
  <c r="Q1575" i="1"/>
  <c r="M1577" i="1"/>
  <c r="O1577" i="1" s="1"/>
  <c r="N1577" i="1"/>
  <c r="P1577" i="1" s="1" a="1"/>
  <c r="P1577" i="1" s="1"/>
  <c r="S1573" i="1" l="1" a="1"/>
  <c r="S1573" i="1" s="1"/>
  <c r="R1574" i="1"/>
  <c r="N1578" i="1"/>
  <c r="P1578" i="1" s="1" a="1"/>
  <c r="P1578" i="1" s="1"/>
  <c r="M1578" i="1"/>
  <c r="O1578" i="1" s="1"/>
  <c r="Q1576" i="1"/>
  <c r="S1574" i="1" l="1" a="1"/>
  <c r="S1574" i="1" s="1"/>
  <c r="R1575" i="1"/>
  <c r="Q1577" i="1"/>
  <c r="M1579" i="1"/>
  <c r="O1579" i="1" s="1"/>
  <c r="N1579" i="1"/>
  <c r="P1579" i="1" s="1" a="1"/>
  <c r="P1579" i="1" s="1"/>
  <c r="S1575" i="1" l="1" a="1"/>
  <c r="S1575" i="1" s="1"/>
  <c r="R1576" i="1"/>
  <c r="N1580" i="1"/>
  <c r="P1580" i="1" s="1" a="1"/>
  <c r="P1580" i="1" s="1"/>
  <c r="Q1578" i="1"/>
  <c r="M1580" i="1"/>
  <c r="O1580" i="1" s="1"/>
  <c r="S1576" i="1" l="1" a="1"/>
  <c r="S1576" i="1" s="1"/>
  <c r="R1577" i="1"/>
  <c r="M1581" i="1"/>
  <c r="O1581" i="1" s="1"/>
  <c r="Q1579" i="1"/>
  <c r="N1581" i="1"/>
  <c r="P1581" i="1" s="1" a="1"/>
  <c r="P1581" i="1" s="1"/>
  <c r="S1577" i="1" l="1" a="1"/>
  <c r="S1577" i="1" s="1"/>
  <c r="R1578" i="1"/>
  <c r="N1582" i="1"/>
  <c r="P1582" i="1" s="1" a="1"/>
  <c r="P1582" i="1" s="1"/>
  <c r="Q1580" i="1"/>
  <c r="M1582" i="1"/>
  <c r="O1582" i="1" s="1"/>
  <c r="S1578" i="1" l="1" a="1"/>
  <c r="S1578" i="1" s="1"/>
  <c r="R1579" i="1"/>
  <c r="M1583" i="1"/>
  <c r="O1583" i="1" s="1"/>
  <c r="Q1581" i="1"/>
  <c r="N1583" i="1"/>
  <c r="P1583" i="1" s="1" a="1"/>
  <c r="P1583" i="1" s="1"/>
  <c r="S1579" i="1" l="1" a="1"/>
  <c r="S1579" i="1" s="1"/>
  <c r="R1580" i="1"/>
  <c r="N1584" i="1"/>
  <c r="P1584" i="1" s="1" a="1"/>
  <c r="P1584" i="1" s="1"/>
  <c r="M1584" i="1"/>
  <c r="O1584" i="1" s="1"/>
  <c r="Q1582" i="1"/>
  <c r="S1580" i="1" l="1" a="1"/>
  <c r="S1580" i="1" s="1"/>
  <c r="R1581" i="1"/>
  <c r="Q1583" i="1"/>
  <c r="M1585" i="1"/>
  <c r="O1585" i="1" s="1"/>
  <c r="N1585" i="1"/>
  <c r="P1585" i="1" s="1" a="1"/>
  <c r="P1585" i="1" s="1"/>
  <c r="S1581" i="1" l="1" a="1"/>
  <c r="S1581" i="1" s="1"/>
  <c r="R1582" i="1"/>
  <c r="M1586" i="1"/>
  <c r="O1586" i="1" s="1"/>
  <c r="N1586" i="1"/>
  <c r="P1586" i="1" s="1" a="1"/>
  <c r="P1586" i="1" s="1"/>
  <c r="Q1584" i="1"/>
  <c r="S1582" i="1" l="1" a="1"/>
  <c r="S1582" i="1" s="1"/>
  <c r="R1583" i="1"/>
  <c r="N1587" i="1"/>
  <c r="P1587" i="1" s="1" a="1"/>
  <c r="P1587" i="1" s="1"/>
  <c r="M1587" i="1"/>
  <c r="O1587" i="1" s="1"/>
  <c r="Q1585" i="1"/>
  <c r="S1583" i="1" l="1" a="1"/>
  <c r="S1583" i="1" s="1"/>
  <c r="R1584" i="1"/>
  <c r="Q1586" i="1"/>
  <c r="M1588" i="1"/>
  <c r="O1588" i="1" s="1"/>
  <c r="N1588" i="1"/>
  <c r="P1588" i="1" s="1" a="1"/>
  <c r="P1588" i="1" s="1"/>
  <c r="S1584" i="1" l="1" a="1"/>
  <c r="S1584" i="1" s="1"/>
  <c r="R1585" i="1"/>
  <c r="N1589" i="1"/>
  <c r="P1589" i="1" s="1" a="1"/>
  <c r="P1589" i="1" s="1"/>
  <c r="M1589" i="1"/>
  <c r="O1589" i="1" s="1"/>
  <c r="Q1587" i="1"/>
  <c r="S1585" i="1" l="1" a="1"/>
  <c r="S1585" i="1" s="1"/>
  <c r="R1586" i="1"/>
  <c r="Q1588" i="1"/>
  <c r="M1590" i="1"/>
  <c r="O1590" i="1" s="1"/>
  <c r="N1590" i="1"/>
  <c r="P1590" i="1" s="1" a="1"/>
  <c r="P1590" i="1" s="1"/>
  <c r="S1586" i="1" l="1" a="1"/>
  <c r="S1586" i="1" s="1"/>
  <c r="R1587" i="1"/>
  <c r="M1591" i="1"/>
  <c r="O1591" i="1" s="1"/>
  <c r="N1591" i="1"/>
  <c r="P1591" i="1" s="1" a="1"/>
  <c r="P1591" i="1" s="1"/>
  <c r="Q1589" i="1"/>
  <c r="S1587" i="1" l="1" a="1"/>
  <c r="S1587" i="1" s="1"/>
  <c r="R1588" i="1"/>
  <c r="N1592" i="1"/>
  <c r="P1592" i="1" s="1" a="1"/>
  <c r="P1592" i="1" s="1"/>
  <c r="M1592" i="1"/>
  <c r="O1592" i="1" s="1"/>
  <c r="Q1590" i="1"/>
  <c r="S1588" i="1" l="1" a="1"/>
  <c r="S1588" i="1" s="1"/>
  <c r="R1589" i="1"/>
  <c r="Q1591" i="1"/>
  <c r="M1593" i="1"/>
  <c r="O1593" i="1" s="1"/>
  <c r="N1593" i="1"/>
  <c r="P1593" i="1" s="1" a="1"/>
  <c r="P1593" i="1" s="1"/>
  <c r="S1589" i="1" l="1" a="1"/>
  <c r="S1589" i="1" s="1"/>
  <c r="R1590" i="1"/>
  <c r="N1594" i="1"/>
  <c r="P1594" i="1" s="1" a="1"/>
  <c r="P1594" i="1" s="1"/>
  <c r="M1594" i="1"/>
  <c r="O1594" i="1" s="1"/>
  <c r="Q1592" i="1"/>
  <c r="S1590" i="1" l="1" a="1"/>
  <c r="S1590" i="1" s="1"/>
  <c r="R1591" i="1"/>
  <c r="Q1593" i="1"/>
  <c r="M1595" i="1"/>
  <c r="O1595" i="1" s="1"/>
  <c r="N1595" i="1"/>
  <c r="P1595" i="1" s="1" a="1"/>
  <c r="P1595" i="1" s="1"/>
  <c r="S1591" i="1" l="1" a="1"/>
  <c r="S1591" i="1" s="1"/>
  <c r="R1592" i="1"/>
  <c r="N1596" i="1"/>
  <c r="P1596" i="1" s="1" a="1"/>
  <c r="P1596" i="1" s="1"/>
  <c r="Q1594" i="1"/>
  <c r="M1596" i="1"/>
  <c r="O1596" i="1" s="1"/>
  <c r="S1592" i="1" l="1" a="1"/>
  <c r="S1592" i="1" s="1"/>
  <c r="R1593" i="1"/>
  <c r="Q1595" i="1"/>
  <c r="N1597" i="1"/>
  <c r="P1597" i="1" s="1" a="1"/>
  <c r="P1597" i="1" s="1"/>
  <c r="M1597" i="1"/>
  <c r="O1597" i="1" s="1"/>
  <c r="S1593" i="1" l="1" a="1"/>
  <c r="S1593" i="1" s="1"/>
  <c r="R1594" i="1"/>
  <c r="Q1596" i="1"/>
  <c r="M1598" i="1"/>
  <c r="O1598" i="1" s="1"/>
  <c r="N1598" i="1"/>
  <c r="P1598" i="1" s="1" a="1"/>
  <c r="P1598" i="1" s="1"/>
  <c r="S1594" i="1" l="1" a="1"/>
  <c r="S1594" i="1" s="1"/>
  <c r="R1595" i="1"/>
  <c r="M1599" i="1"/>
  <c r="O1599" i="1" s="1"/>
  <c r="N1599" i="1"/>
  <c r="P1599" i="1" s="1" a="1"/>
  <c r="P1599" i="1" s="1"/>
  <c r="Q1597" i="1"/>
  <c r="S1595" i="1" l="1" a="1"/>
  <c r="S1595" i="1" s="1"/>
  <c r="R1596" i="1"/>
  <c r="M1600" i="1"/>
  <c r="O1600" i="1" s="1"/>
  <c r="N1600" i="1"/>
  <c r="P1600" i="1" s="1" a="1"/>
  <c r="P1600" i="1" s="1"/>
  <c r="Q1598" i="1"/>
  <c r="S1596" i="1" l="1" a="1"/>
  <c r="S1596" i="1" s="1"/>
  <c r="R1597" i="1"/>
  <c r="N1601" i="1"/>
  <c r="P1601" i="1" s="1" a="1"/>
  <c r="P1601" i="1" s="1"/>
  <c r="Q1599" i="1"/>
  <c r="M1601" i="1"/>
  <c r="O1601" i="1" s="1"/>
  <c r="S1597" i="1" l="1" a="1"/>
  <c r="S1597" i="1" s="1"/>
  <c r="R1598" i="1"/>
  <c r="M1602" i="1"/>
  <c r="O1602" i="1" s="1"/>
  <c r="Q1600" i="1"/>
  <c r="N1602" i="1"/>
  <c r="P1602" i="1" s="1" a="1"/>
  <c r="P1602" i="1" s="1"/>
  <c r="S1598" i="1" l="1" a="1"/>
  <c r="S1598" i="1" s="1"/>
  <c r="R1599" i="1"/>
  <c r="N1603" i="1"/>
  <c r="P1603" i="1" s="1" a="1"/>
  <c r="P1603" i="1" s="1"/>
  <c r="Q1601" i="1"/>
  <c r="M1603" i="1"/>
  <c r="O1603" i="1" s="1"/>
  <c r="S1599" i="1" l="1" a="1"/>
  <c r="S1599" i="1" s="1"/>
  <c r="R1600" i="1"/>
  <c r="Q1602" i="1"/>
  <c r="M1604" i="1"/>
  <c r="O1604" i="1" s="1"/>
  <c r="N1604" i="1"/>
  <c r="P1604" i="1" s="1" a="1"/>
  <c r="P1604" i="1" s="1"/>
  <c r="S1600" i="1" l="1" a="1"/>
  <c r="S1600" i="1" s="1"/>
  <c r="R1601" i="1"/>
  <c r="N1605" i="1"/>
  <c r="P1605" i="1" s="1" a="1"/>
  <c r="P1605" i="1" s="1"/>
  <c r="M1605" i="1"/>
  <c r="O1605" i="1" s="1"/>
  <c r="Q1603" i="1"/>
  <c r="S1601" i="1" l="1" a="1"/>
  <c r="S1601" i="1" s="1"/>
  <c r="R1602" i="1"/>
  <c r="Q1604" i="1"/>
  <c r="M1606" i="1"/>
  <c r="O1606" i="1" s="1"/>
  <c r="N1606" i="1"/>
  <c r="P1606" i="1" s="1" a="1"/>
  <c r="P1606" i="1" s="1"/>
  <c r="S1602" i="1" l="1" a="1"/>
  <c r="S1602" i="1" s="1"/>
  <c r="R1603" i="1"/>
  <c r="N1607" i="1"/>
  <c r="P1607" i="1" s="1" a="1"/>
  <c r="P1607" i="1" s="1"/>
  <c r="M1607" i="1"/>
  <c r="O1607" i="1" s="1"/>
  <c r="Q1605" i="1"/>
  <c r="S1603" i="1" l="1" a="1"/>
  <c r="S1603" i="1" s="1"/>
  <c r="R1604" i="1"/>
  <c r="M1608" i="1"/>
  <c r="O1608" i="1" s="1"/>
  <c r="Q1606" i="1"/>
  <c r="N1608" i="1"/>
  <c r="P1608" i="1" s="1" a="1"/>
  <c r="P1608" i="1" s="1"/>
  <c r="S1604" i="1" l="1" a="1"/>
  <c r="S1604" i="1" s="1"/>
  <c r="R1605" i="1"/>
  <c r="N1609" i="1"/>
  <c r="P1609" i="1" s="1" a="1"/>
  <c r="P1609" i="1" s="1"/>
  <c r="Q1607" i="1"/>
  <c r="M1609" i="1"/>
  <c r="O1609" i="1" s="1"/>
  <c r="S1605" i="1" l="1" a="1"/>
  <c r="S1605" i="1" s="1"/>
  <c r="R1606" i="1"/>
  <c r="M1610" i="1"/>
  <c r="O1610" i="1" s="1"/>
  <c r="Q1608" i="1"/>
  <c r="N1610" i="1"/>
  <c r="P1610" i="1" s="1" a="1"/>
  <c r="P1610" i="1" s="1"/>
  <c r="S1606" i="1" l="1" a="1"/>
  <c r="S1606" i="1" s="1"/>
  <c r="R1607" i="1"/>
  <c r="N1611" i="1"/>
  <c r="P1611" i="1" s="1" a="1"/>
  <c r="P1611" i="1" s="1"/>
  <c r="Q1609" i="1"/>
  <c r="M1611" i="1"/>
  <c r="O1611" i="1" s="1"/>
  <c r="S1607" i="1" l="1" a="1"/>
  <c r="S1607" i="1" s="1"/>
  <c r="R1608" i="1"/>
  <c r="Q1610" i="1"/>
  <c r="M1612" i="1"/>
  <c r="O1612" i="1" s="1"/>
  <c r="N1612" i="1"/>
  <c r="P1612" i="1" s="1" a="1"/>
  <c r="P1612" i="1" s="1"/>
  <c r="S1608" i="1" l="1" a="1"/>
  <c r="S1608" i="1" s="1"/>
  <c r="R1609" i="1"/>
  <c r="N1613" i="1"/>
  <c r="P1613" i="1" s="1" a="1"/>
  <c r="P1613" i="1" s="1"/>
  <c r="M1613" i="1"/>
  <c r="O1613" i="1" s="1"/>
  <c r="Q1611" i="1"/>
  <c r="S1609" i="1" l="1" a="1"/>
  <c r="S1609" i="1" s="1"/>
  <c r="R1610" i="1"/>
  <c r="Q1612" i="1"/>
  <c r="M1614" i="1"/>
  <c r="O1614" i="1" s="1"/>
  <c r="N1614" i="1"/>
  <c r="P1614" i="1" s="1" a="1"/>
  <c r="P1614" i="1" s="1"/>
  <c r="S1610" i="1" l="1" a="1"/>
  <c r="S1610" i="1" s="1"/>
  <c r="R1611" i="1"/>
  <c r="N1615" i="1"/>
  <c r="P1615" i="1" s="1" a="1"/>
  <c r="P1615" i="1" s="1"/>
  <c r="M1615" i="1"/>
  <c r="O1615" i="1" s="1"/>
  <c r="Q1613" i="1"/>
  <c r="S1611" i="1" l="1" a="1"/>
  <c r="S1611" i="1" s="1"/>
  <c r="R1612" i="1"/>
  <c r="M1616" i="1"/>
  <c r="O1616" i="1" s="1"/>
  <c r="Q1614" i="1"/>
  <c r="N1616" i="1"/>
  <c r="P1616" i="1" s="1" a="1"/>
  <c r="P1616" i="1" s="1"/>
  <c r="S1612" i="1" l="1" a="1"/>
  <c r="S1612" i="1" s="1"/>
  <c r="R1613" i="1"/>
  <c r="N1617" i="1"/>
  <c r="P1617" i="1" s="1" a="1"/>
  <c r="P1617" i="1" s="1"/>
  <c r="Q1615" i="1"/>
  <c r="M1617" i="1"/>
  <c r="O1617" i="1" s="1"/>
  <c r="S1613" i="1" l="1" a="1"/>
  <c r="S1613" i="1" s="1"/>
  <c r="R1614" i="1"/>
  <c r="M1618" i="1"/>
  <c r="O1618" i="1" s="1"/>
  <c r="Q1616" i="1"/>
  <c r="N1618" i="1"/>
  <c r="P1618" i="1" s="1" a="1"/>
  <c r="P1618" i="1" s="1"/>
  <c r="S1614" i="1" l="1" a="1"/>
  <c r="S1614" i="1" s="1"/>
  <c r="R1615" i="1"/>
  <c r="N1619" i="1"/>
  <c r="P1619" i="1" s="1" a="1"/>
  <c r="P1619" i="1" s="1"/>
  <c r="Q1617" i="1"/>
  <c r="M1619" i="1"/>
  <c r="O1619" i="1" s="1"/>
  <c r="S1615" i="1" l="1" a="1"/>
  <c r="S1615" i="1" s="1"/>
  <c r="R1616" i="1"/>
  <c r="Q1618" i="1"/>
  <c r="M1620" i="1"/>
  <c r="O1620" i="1" s="1"/>
  <c r="N1620" i="1"/>
  <c r="P1620" i="1" s="1" a="1"/>
  <c r="P1620" i="1" s="1"/>
  <c r="S1616" i="1" l="1" a="1"/>
  <c r="S1616" i="1" s="1"/>
  <c r="R1617" i="1"/>
  <c r="M1621" i="1"/>
  <c r="O1621" i="1" s="1"/>
  <c r="N1621" i="1"/>
  <c r="P1621" i="1" s="1" a="1"/>
  <c r="P1621" i="1" s="1"/>
  <c r="Q1619" i="1"/>
  <c r="S1617" i="1" l="1" a="1"/>
  <c r="S1617" i="1" s="1"/>
  <c r="R1618" i="1"/>
  <c r="N1622" i="1"/>
  <c r="P1622" i="1" s="1" a="1"/>
  <c r="P1622" i="1" s="1"/>
  <c r="Q1620" i="1"/>
  <c r="M1622" i="1"/>
  <c r="O1622" i="1" s="1"/>
  <c r="S1618" i="1" l="1" a="1"/>
  <c r="S1618" i="1" s="1"/>
  <c r="R1619" i="1"/>
  <c r="M1623" i="1"/>
  <c r="O1623" i="1" s="1"/>
  <c r="Q1621" i="1"/>
  <c r="N1623" i="1"/>
  <c r="P1623" i="1" s="1" a="1"/>
  <c r="P1623" i="1" s="1"/>
  <c r="S1619" i="1" l="1" a="1"/>
  <c r="S1619" i="1" s="1"/>
  <c r="R1620" i="1"/>
  <c r="N1624" i="1"/>
  <c r="P1624" i="1" s="1" a="1"/>
  <c r="P1624" i="1" s="1"/>
  <c r="M1624" i="1"/>
  <c r="O1624" i="1" s="1"/>
  <c r="Q1622" i="1"/>
  <c r="S1620" i="1" l="1" a="1"/>
  <c r="S1620" i="1" s="1"/>
  <c r="R1621" i="1"/>
  <c r="Q1623" i="1"/>
  <c r="M1625" i="1"/>
  <c r="O1625" i="1" s="1"/>
  <c r="N1625" i="1"/>
  <c r="P1625" i="1" s="1" a="1"/>
  <c r="P1625" i="1" s="1"/>
  <c r="S1621" i="1" l="1" a="1"/>
  <c r="S1621" i="1" s="1"/>
  <c r="R1622" i="1"/>
  <c r="M1626" i="1"/>
  <c r="O1626" i="1" s="1"/>
  <c r="N1626" i="1"/>
  <c r="P1626" i="1" s="1" a="1"/>
  <c r="P1626" i="1" s="1"/>
  <c r="Q1624" i="1"/>
  <c r="S1622" i="1" l="1" a="1"/>
  <c r="S1622" i="1" s="1"/>
  <c r="R1623" i="1"/>
  <c r="N1627" i="1"/>
  <c r="P1627" i="1" s="1" a="1"/>
  <c r="P1627" i="1" s="1"/>
  <c r="Q1625" i="1"/>
  <c r="M1627" i="1"/>
  <c r="O1627" i="1" s="1"/>
  <c r="S1623" i="1" l="1" a="1"/>
  <c r="S1623" i="1" s="1"/>
  <c r="R1624" i="1"/>
  <c r="Q1626" i="1"/>
  <c r="M1628" i="1"/>
  <c r="O1628" i="1" s="1"/>
  <c r="N1628" i="1"/>
  <c r="P1628" i="1" s="1" a="1"/>
  <c r="P1628" i="1" s="1"/>
  <c r="S1624" i="1" l="1" a="1"/>
  <c r="S1624" i="1" s="1"/>
  <c r="R1625" i="1"/>
  <c r="M1629" i="1"/>
  <c r="O1629" i="1" s="1"/>
  <c r="N1629" i="1"/>
  <c r="P1629" i="1" s="1" a="1"/>
  <c r="P1629" i="1" s="1"/>
  <c r="Q1627" i="1"/>
  <c r="S1625" i="1" l="1" a="1"/>
  <c r="S1625" i="1" s="1"/>
  <c r="R1626" i="1"/>
  <c r="N1630" i="1"/>
  <c r="P1630" i="1" s="1" a="1"/>
  <c r="P1630" i="1" s="1"/>
  <c r="Q1628" i="1"/>
  <c r="M1630" i="1"/>
  <c r="O1630" i="1" s="1"/>
  <c r="S1626" i="1" l="1" a="1"/>
  <c r="S1626" i="1" s="1"/>
  <c r="R1627" i="1"/>
  <c r="Q1629" i="1"/>
  <c r="M1631" i="1"/>
  <c r="O1631" i="1" s="1"/>
  <c r="N1631" i="1"/>
  <c r="P1631" i="1" s="1" a="1"/>
  <c r="P1631" i="1" s="1"/>
  <c r="S1627" i="1" l="1" a="1"/>
  <c r="S1627" i="1" s="1"/>
  <c r="R1628" i="1"/>
  <c r="N1632" i="1"/>
  <c r="P1632" i="1" s="1" a="1"/>
  <c r="P1632" i="1" s="1"/>
  <c r="M1632" i="1"/>
  <c r="O1632" i="1" s="1"/>
  <c r="Q1630" i="1"/>
  <c r="S1628" i="1" l="1" a="1"/>
  <c r="S1628" i="1" s="1"/>
  <c r="R1629" i="1"/>
  <c r="Q1631" i="1"/>
  <c r="M1633" i="1"/>
  <c r="O1633" i="1" s="1"/>
  <c r="N1633" i="1"/>
  <c r="P1633" i="1" s="1" a="1"/>
  <c r="P1633" i="1" s="1"/>
  <c r="S1629" i="1" l="1" a="1"/>
  <c r="S1629" i="1" s="1"/>
  <c r="R1630" i="1"/>
  <c r="N1634" i="1"/>
  <c r="P1634" i="1" s="1" a="1"/>
  <c r="P1634" i="1" s="1"/>
  <c r="M1634" i="1"/>
  <c r="O1634" i="1" s="1"/>
  <c r="Q1632" i="1"/>
  <c r="S1630" i="1" l="1" a="1"/>
  <c r="S1630" i="1" s="1"/>
  <c r="R1631" i="1"/>
  <c r="Q1633" i="1"/>
  <c r="M1635" i="1"/>
  <c r="O1635" i="1" s="1"/>
  <c r="N1635" i="1"/>
  <c r="P1635" i="1" s="1" a="1"/>
  <c r="P1635" i="1" s="1"/>
  <c r="S1631" i="1" l="1" a="1"/>
  <c r="S1631" i="1" s="1"/>
  <c r="R1632" i="1"/>
  <c r="Q1634" i="1"/>
  <c r="N1636" i="1"/>
  <c r="P1636" i="1" s="1" a="1"/>
  <c r="P1636" i="1" s="1"/>
  <c r="M1636" i="1"/>
  <c r="O1636" i="1" s="1"/>
  <c r="S1632" i="1" l="1" a="1"/>
  <c r="S1632" i="1" s="1"/>
  <c r="R1633" i="1"/>
  <c r="M1637" i="1"/>
  <c r="O1637" i="1" s="1"/>
  <c r="Q1635" i="1"/>
  <c r="N1637" i="1"/>
  <c r="P1637" i="1" s="1" a="1"/>
  <c r="P1637" i="1" s="1"/>
  <c r="S1633" i="1" l="1" a="1"/>
  <c r="S1633" i="1" s="1"/>
  <c r="R1634" i="1"/>
  <c r="N1638" i="1"/>
  <c r="P1638" i="1" s="1" a="1"/>
  <c r="P1638" i="1" s="1"/>
  <c r="Q1636" i="1"/>
  <c r="M1638" i="1"/>
  <c r="O1638" i="1" s="1"/>
  <c r="S1634" i="1" l="1" a="1"/>
  <c r="S1634" i="1" s="1"/>
  <c r="R1635" i="1"/>
  <c r="M1639" i="1"/>
  <c r="O1639" i="1" s="1"/>
  <c r="Q1637" i="1"/>
  <c r="N1639" i="1"/>
  <c r="P1639" i="1" s="1" a="1"/>
  <c r="P1639" i="1" s="1"/>
  <c r="S1635" i="1" l="1" a="1"/>
  <c r="S1635" i="1" s="1"/>
  <c r="R1636" i="1"/>
  <c r="Q1639" i="1"/>
  <c r="N1640" i="1"/>
  <c r="P1640" i="1" s="1" a="1"/>
  <c r="P1640" i="1" s="1"/>
  <c r="M1640" i="1"/>
  <c r="O1640" i="1" s="1"/>
  <c r="Q1638" i="1"/>
  <c r="S1636" i="1" l="1" a="1"/>
  <c r="S1636" i="1" s="1"/>
  <c r="R1637" i="1"/>
  <c r="M1641" i="1"/>
  <c r="O1641" i="1" s="1"/>
  <c r="N1641" i="1"/>
  <c r="P1641" i="1" s="1" a="1"/>
  <c r="P1641" i="1" s="1"/>
  <c r="S1637" i="1" l="1" a="1"/>
  <c r="S1637" i="1" s="1"/>
  <c r="R1638" i="1"/>
  <c r="N1642" i="1"/>
  <c r="P1642" i="1" s="1" a="1"/>
  <c r="P1642" i="1" s="1"/>
  <c r="M1642" i="1"/>
  <c r="O1642" i="1" s="1"/>
  <c r="Q1640" i="1"/>
  <c r="S1638" i="1" l="1" a="1"/>
  <c r="S1638" i="1" s="1"/>
  <c r="R1639" i="1"/>
  <c r="Q1641" i="1"/>
  <c r="M1643" i="1"/>
  <c r="O1643" i="1" s="1"/>
  <c r="N1643" i="1"/>
  <c r="P1643" i="1" s="1" a="1"/>
  <c r="P1643" i="1" s="1"/>
  <c r="S1639" i="1" l="1" a="1"/>
  <c r="S1639" i="1" s="1"/>
  <c r="R1640" i="1"/>
  <c r="N1644" i="1"/>
  <c r="P1644" i="1" s="1" a="1"/>
  <c r="P1644" i="1" s="1"/>
  <c r="Q1642" i="1"/>
  <c r="M1644" i="1"/>
  <c r="O1644" i="1" s="1"/>
  <c r="S1640" i="1" l="1" a="1"/>
  <c r="S1640" i="1" s="1"/>
  <c r="R1641" i="1"/>
  <c r="M1645" i="1"/>
  <c r="O1645" i="1" s="1"/>
  <c r="Q1643" i="1"/>
  <c r="N1645" i="1"/>
  <c r="P1645" i="1" s="1" a="1"/>
  <c r="P1645" i="1" s="1"/>
  <c r="S1641" i="1" l="1" a="1"/>
  <c r="S1641" i="1" s="1"/>
  <c r="R1642" i="1"/>
  <c r="N1646" i="1"/>
  <c r="P1646" i="1" s="1" a="1"/>
  <c r="P1646" i="1" s="1"/>
  <c r="Q1644" i="1"/>
  <c r="M1646" i="1"/>
  <c r="O1646" i="1" s="1"/>
  <c r="S1642" i="1" l="1" a="1"/>
  <c r="S1642" i="1" s="1"/>
  <c r="R1643" i="1"/>
  <c r="M1647" i="1"/>
  <c r="O1647" i="1" s="1"/>
  <c r="Q1645" i="1"/>
  <c r="N1647" i="1"/>
  <c r="P1647" i="1" s="1" a="1"/>
  <c r="P1647" i="1" s="1"/>
  <c r="S1643" i="1" l="1" a="1"/>
  <c r="S1643" i="1" s="1"/>
  <c r="R1644" i="1"/>
  <c r="N1648" i="1"/>
  <c r="P1648" i="1" s="1" a="1"/>
  <c r="P1648" i="1" s="1"/>
  <c r="M1648" i="1"/>
  <c r="O1648" i="1" s="1"/>
  <c r="Q1646" i="1"/>
  <c r="S1644" i="1" l="1" a="1"/>
  <c r="S1644" i="1" s="1"/>
  <c r="R1645" i="1"/>
  <c r="Q1647" i="1"/>
  <c r="M1649" i="1"/>
  <c r="O1649" i="1" s="1"/>
  <c r="N1649" i="1"/>
  <c r="P1649" i="1" s="1" a="1"/>
  <c r="P1649" i="1" s="1"/>
  <c r="S1645" i="1" l="1" a="1"/>
  <c r="S1645" i="1" s="1"/>
  <c r="R1646" i="1"/>
  <c r="N1650" i="1"/>
  <c r="P1650" i="1" s="1" a="1"/>
  <c r="P1650" i="1" s="1"/>
  <c r="M1650" i="1"/>
  <c r="O1650" i="1" s="1"/>
  <c r="Q1648" i="1"/>
  <c r="S1646" i="1" l="1" a="1"/>
  <c r="S1646" i="1" s="1"/>
  <c r="R1647" i="1"/>
  <c r="Q1649" i="1"/>
  <c r="M1651" i="1"/>
  <c r="O1651" i="1" s="1"/>
  <c r="N1651" i="1"/>
  <c r="P1651" i="1" s="1" a="1"/>
  <c r="P1651" i="1" s="1"/>
  <c r="S1647" i="1" l="1" a="1"/>
  <c r="S1647" i="1" s="1"/>
  <c r="R1648" i="1"/>
  <c r="N1652" i="1"/>
  <c r="P1652" i="1" s="1" a="1"/>
  <c r="P1652" i="1" s="1"/>
  <c r="Q1650" i="1"/>
  <c r="M1652" i="1"/>
  <c r="O1652" i="1" s="1"/>
  <c r="S1648" i="1" l="1" a="1"/>
  <c r="S1648" i="1" s="1"/>
  <c r="R1649" i="1"/>
  <c r="M1653" i="1"/>
  <c r="O1653" i="1" s="1"/>
  <c r="Q1651" i="1"/>
  <c r="N1653" i="1"/>
  <c r="P1653" i="1" s="1" a="1"/>
  <c r="P1653" i="1" s="1"/>
  <c r="S1649" i="1" l="1" a="1"/>
  <c r="S1649" i="1" s="1"/>
  <c r="R1650" i="1"/>
  <c r="N1654" i="1"/>
  <c r="P1654" i="1" s="1" a="1"/>
  <c r="P1654" i="1" s="1"/>
  <c r="Q1652" i="1"/>
  <c r="M1654" i="1"/>
  <c r="O1654" i="1" s="1"/>
  <c r="S1650" i="1" l="1" a="1"/>
  <c r="S1650" i="1" s="1"/>
  <c r="R1651" i="1"/>
  <c r="M1655" i="1"/>
  <c r="O1655" i="1" s="1"/>
  <c r="Q1653" i="1"/>
  <c r="N1655" i="1"/>
  <c r="P1655" i="1" s="1" a="1"/>
  <c r="P1655" i="1" s="1"/>
  <c r="S1651" i="1" l="1" a="1"/>
  <c r="S1651" i="1" s="1"/>
  <c r="R1652" i="1"/>
  <c r="N1656" i="1"/>
  <c r="P1656" i="1" s="1" a="1"/>
  <c r="P1656" i="1" s="1"/>
  <c r="M1656" i="1"/>
  <c r="O1656" i="1" s="1"/>
  <c r="Q1654" i="1"/>
  <c r="S1652" i="1" l="1" a="1"/>
  <c r="S1652" i="1" s="1"/>
  <c r="R1653" i="1"/>
  <c r="Q1655" i="1"/>
  <c r="M1657" i="1"/>
  <c r="O1657" i="1" s="1"/>
  <c r="N1657" i="1"/>
  <c r="P1657" i="1" s="1" a="1"/>
  <c r="P1657" i="1" s="1"/>
  <c r="S1653" i="1" l="1" a="1"/>
  <c r="S1653" i="1" s="1"/>
  <c r="R1654" i="1"/>
  <c r="N1658" i="1"/>
  <c r="P1658" i="1" s="1" a="1"/>
  <c r="P1658" i="1" s="1"/>
  <c r="M1658" i="1"/>
  <c r="O1658" i="1" s="1"/>
  <c r="Q1656" i="1"/>
  <c r="S1654" i="1" l="1" a="1"/>
  <c r="S1654" i="1" s="1"/>
  <c r="R1655" i="1"/>
  <c r="Q1657" i="1"/>
  <c r="M1659" i="1"/>
  <c r="O1659" i="1" s="1"/>
  <c r="N1659" i="1"/>
  <c r="P1659" i="1" s="1" a="1"/>
  <c r="P1659" i="1" s="1"/>
  <c r="S1655" i="1" l="1" a="1"/>
  <c r="S1655" i="1" s="1"/>
  <c r="R1656" i="1"/>
  <c r="N1660" i="1"/>
  <c r="P1660" i="1" s="1" a="1"/>
  <c r="P1660" i="1" s="1"/>
  <c r="Q1658" i="1"/>
  <c r="M1660" i="1"/>
  <c r="O1660" i="1" s="1"/>
  <c r="S1656" i="1" l="1" a="1"/>
  <c r="S1656" i="1" s="1"/>
  <c r="R1657" i="1"/>
  <c r="M1661" i="1"/>
  <c r="O1661" i="1" s="1"/>
  <c r="Q1659" i="1"/>
  <c r="N1661" i="1"/>
  <c r="P1661" i="1" s="1" a="1"/>
  <c r="P1661" i="1" s="1"/>
  <c r="S1657" i="1" l="1" a="1"/>
  <c r="S1657" i="1" s="1"/>
  <c r="R1658" i="1"/>
  <c r="N1662" i="1"/>
  <c r="P1662" i="1" s="1" a="1"/>
  <c r="P1662" i="1" s="1"/>
  <c r="Q1660" i="1"/>
  <c r="M1662" i="1"/>
  <c r="O1662" i="1" s="1"/>
  <c r="S1658" i="1" l="1" a="1"/>
  <c r="S1658" i="1" s="1"/>
  <c r="R1659" i="1"/>
  <c r="M1663" i="1"/>
  <c r="O1663" i="1" s="1"/>
  <c r="Q1661" i="1"/>
  <c r="N1663" i="1"/>
  <c r="P1663" i="1" s="1" a="1"/>
  <c r="P1663" i="1" s="1"/>
  <c r="S1659" i="1" l="1" a="1"/>
  <c r="S1659" i="1" s="1"/>
  <c r="R1660" i="1"/>
  <c r="N1664" i="1"/>
  <c r="P1664" i="1" s="1" a="1"/>
  <c r="P1664" i="1" s="1"/>
  <c r="M1664" i="1"/>
  <c r="O1664" i="1" s="1"/>
  <c r="Q1662" i="1"/>
  <c r="S1660" i="1" l="1" a="1"/>
  <c r="S1660" i="1" s="1"/>
  <c r="R1661" i="1"/>
  <c r="Q1663" i="1"/>
  <c r="M1665" i="1"/>
  <c r="O1665" i="1" s="1"/>
  <c r="N1665" i="1"/>
  <c r="P1665" i="1" s="1" a="1"/>
  <c r="P1665" i="1" s="1"/>
  <c r="S1661" i="1" l="1" a="1"/>
  <c r="S1661" i="1" s="1"/>
  <c r="R1662" i="1"/>
  <c r="N1666" i="1"/>
  <c r="P1666" i="1" s="1" a="1"/>
  <c r="P1666" i="1" s="1"/>
  <c r="M1666" i="1"/>
  <c r="O1666" i="1" s="1"/>
  <c r="Q1664" i="1"/>
  <c r="S1662" i="1" l="1" a="1"/>
  <c r="S1662" i="1" s="1"/>
  <c r="R1663" i="1"/>
  <c r="Q1665" i="1"/>
  <c r="M1667" i="1"/>
  <c r="O1667" i="1" s="1"/>
  <c r="N1667" i="1"/>
  <c r="P1667" i="1" s="1" a="1"/>
  <c r="P1667" i="1" s="1"/>
  <c r="S1663" i="1" l="1" a="1"/>
  <c r="S1663" i="1" s="1"/>
  <c r="R1664" i="1"/>
  <c r="N1668" i="1"/>
  <c r="P1668" i="1" s="1" a="1"/>
  <c r="P1668" i="1" s="1"/>
  <c r="Q1666" i="1"/>
  <c r="M1668" i="1"/>
  <c r="O1668" i="1" s="1"/>
  <c r="S1664" i="1" l="1" a="1"/>
  <c r="S1664" i="1" s="1"/>
  <c r="R1665" i="1"/>
  <c r="M1669" i="1"/>
  <c r="O1669" i="1" s="1"/>
  <c r="Q1667" i="1"/>
  <c r="N1669" i="1"/>
  <c r="P1669" i="1" s="1" a="1"/>
  <c r="P1669" i="1" s="1"/>
  <c r="S1665" i="1" l="1" a="1"/>
  <c r="S1665" i="1" s="1"/>
  <c r="R1666" i="1"/>
  <c r="N1670" i="1"/>
  <c r="P1670" i="1" s="1" a="1"/>
  <c r="P1670" i="1" s="1"/>
  <c r="Q1668" i="1"/>
  <c r="M1670" i="1"/>
  <c r="O1670" i="1" s="1"/>
  <c r="S1666" i="1" l="1" a="1"/>
  <c r="S1666" i="1" s="1"/>
  <c r="R1667" i="1"/>
  <c r="Q1669" i="1"/>
  <c r="M1671" i="1"/>
  <c r="O1671" i="1" s="1"/>
  <c r="N1671" i="1"/>
  <c r="P1671" i="1" s="1" a="1"/>
  <c r="P1671" i="1" s="1"/>
  <c r="S1667" i="1" l="1" a="1"/>
  <c r="S1667" i="1" s="1"/>
  <c r="R1668" i="1"/>
  <c r="N1672" i="1"/>
  <c r="P1672" i="1" s="1" a="1"/>
  <c r="P1672" i="1" s="1"/>
  <c r="M1672" i="1"/>
  <c r="O1672" i="1" s="1"/>
  <c r="Q1670" i="1"/>
  <c r="S1668" i="1" l="1" a="1"/>
  <c r="S1668" i="1" s="1"/>
  <c r="R1669" i="1"/>
  <c r="Q1671" i="1"/>
  <c r="M1673" i="1"/>
  <c r="O1673" i="1" s="1"/>
  <c r="N1673" i="1"/>
  <c r="P1673" i="1" s="1" a="1"/>
  <c r="P1673" i="1" s="1"/>
  <c r="S1669" i="1" l="1" a="1"/>
  <c r="S1669" i="1" s="1"/>
  <c r="R1670" i="1"/>
  <c r="N1674" i="1"/>
  <c r="P1674" i="1" s="1" a="1"/>
  <c r="P1674" i="1" s="1"/>
  <c r="M1674" i="1"/>
  <c r="O1674" i="1" s="1"/>
  <c r="Q1672" i="1"/>
  <c r="S1670" i="1" l="1" a="1"/>
  <c r="S1670" i="1" s="1"/>
  <c r="R1671" i="1"/>
  <c r="Q1673" i="1"/>
  <c r="M1675" i="1"/>
  <c r="O1675" i="1" s="1"/>
  <c r="N1675" i="1"/>
  <c r="P1675" i="1" s="1" a="1"/>
  <c r="P1675" i="1" s="1"/>
  <c r="S1671" i="1" l="1" a="1"/>
  <c r="S1671" i="1" s="1"/>
  <c r="R1672" i="1"/>
  <c r="N1676" i="1"/>
  <c r="P1676" i="1" s="1" a="1"/>
  <c r="P1676" i="1" s="1"/>
  <c r="Q1674" i="1"/>
  <c r="M1676" i="1"/>
  <c r="O1676" i="1" s="1"/>
  <c r="S1672" i="1" l="1" a="1"/>
  <c r="S1672" i="1" s="1"/>
  <c r="R1673" i="1"/>
  <c r="M1677" i="1"/>
  <c r="O1677" i="1" s="1"/>
  <c r="Q1675" i="1"/>
  <c r="N1677" i="1"/>
  <c r="P1677" i="1" s="1" a="1"/>
  <c r="P1677" i="1" s="1"/>
  <c r="S1673" i="1" l="1" a="1"/>
  <c r="S1673" i="1" s="1"/>
  <c r="R1674" i="1"/>
  <c r="N1678" i="1"/>
  <c r="P1678" i="1" s="1" a="1"/>
  <c r="P1678" i="1" s="1"/>
  <c r="Q1676" i="1"/>
  <c r="M1678" i="1"/>
  <c r="O1678" i="1" s="1"/>
  <c r="S1674" i="1" l="1" a="1"/>
  <c r="S1674" i="1" s="1"/>
  <c r="R1675" i="1"/>
  <c r="M1679" i="1"/>
  <c r="O1679" i="1" s="1"/>
  <c r="Q1677" i="1"/>
  <c r="N1679" i="1"/>
  <c r="P1679" i="1" s="1" a="1"/>
  <c r="P1679" i="1" s="1"/>
  <c r="S1675" i="1" l="1" a="1"/>
  <c r="S1675" i="1" s="1"/>
  <c r="R1676" i="1"/>
  <c r="N1680" i="1"/>
  <c r="P1680" i="1" s="1" a="1"/>
  <c r="P1680" i="1" s="1"/>
  <c r="M1680" i="1"/>
  <c r="O1680" i="1" s="1"/>
  <c r="Q1678" i="1"/>
  <c r="S1676" i="1" l="1" a="1"/>
  <c r="S1676" i="1" s="1"/>
  <c r="R1677" i="1"/>
  <c r="Q1679" i="1"/>
  <c r="M1681" i="1"/>
  <c r="O1681" i="1" s="1"/>
  <c r="N1681" i="1"/>
  <c r="P1681" i="1" s="1" a="1"/>
  <c r="P1681" i="1" s="1"/>
  <c r="S1677" i="1" l="1" a="1"/>
  <c r="S1677" i="1" s="1"/>
  <c r="R1678" i="1"/>
  <c r="N1682" i="1"/>
  <c r="P1682" i="1" s="1" a="1"/>
  <c r="P1682" i="1" s="1"/>
  <c r="M1682" i="1"/>
  <c r="O1682" i="1" s="1"/>
  <c r="Q1680" i="1"/>
  <c r="S1678" i="1" l="1" a="1"/>
  <c r="S1678" i="1" s="1"/>
  <c r="R1679" i="1"/>
  <c r="Q1681" i="1"/>
  <c r="M1683" i="1"/>
  <c r="O1683" i="1" s="1"/>
  <c r="N1683" i="1"/>
  <c r="P1683" i="1" s="1" a="1"/>
  <c r="P1683" i="1" s="1"/>
  <c r="S1679" i="1" l="1" a="1"/>
  <c r="S1679" i="1" s="1"/>
  <c r="R1680" i="1"/>
  <c r="N1684" i="1"/>
  <c r="P1684" i="1" s="1" a="1"/>
  <c r="P1684" i="1" s="1"/>
  <c r="Q1682" i="1"/>
  <c r="M1684" i="1"/>
  <c r="O1684" i="1" s="1"/>
  <c r="S1680" i="1" l="1" a="1"/>
  <c r="S1680" i="1" s="1"/>
  <c r="R1681" i="1"/>
  <c r="Q1683" i="1"/>
  <c r="M1685" i="1"/>
  <c r="O1685" i="1" s="1"/>
  <c r="N1685" i="1"/>
  <c r="P1685" i="1" s="1" a="1"/>
  <c r="P1685" i="1" s="1"/>
  <c r="S1681" i="1" l="1" a="1"/>
  <c r="S1681" i="1" s="1"/>
  <c r="R1682" i="1"/>
  <c r="N1686" i="1"/>
  <c r="P1686" i="1" s="1" a="1"/>
  <c r="P1686" i="1" s="1"/>
  <c r="Q1684" i="1"/>
  <c r="M1686" i="1"/>
  <c r="O1686" i="1" s="1"/>
  <c r="S1682" i="1" l="1" a="1"/>
  <c r="S1682" i="1" s="1"/>
  <c r="R1683" i="1"/>
  <c r="Q1685" i="1"/>
  <c r="M1687" i="1"/>
  <c r="O1687" i="1" s="1"/>
  <c r="N1687" i="1"/>
  <c r="P1687" i="1" s="1" a="1"/>
  <c r="P1687" i="1" s="1"/>
  <c r="S1683" i="1" l="1" a="1"/>
  <c r="S1683" i="1" s="1"/>
  <c r="R1684" i="1"/>
  <c r="N1688" i="1"/>
  <c r="P1688" i="1" s="1" a="1"/>
  <c r="P1688" i="1" s="1"/>
  <c r="M1688" i="1"/>
  <c r="O1688" i="1" s="1"/>
  <c r="Q1686" i="1"/>
  <c r="S1684" i="1" l="1" a="1"/>
  <c r="S1684" i="1" s="1"/>
  <c r="R1685" i="1"/>
  <c r="Q1687" i="1"/>
  <c r="M1689" i="1"/>
  <c r="O1689" i="1" s="1"/>
  <c r="N1689" i="1"/>
  <c r="P1689" i="1" s="1" a="1"/>
  <c r="P1689" i="1" s="1"/>
  <c r="S1685" i="1" l="1" a="1"/>
  <c r="S1685" i="1" s="1"/>
  <c r="R1686" i="1"/>
  <c r="N1690" i="1"/>
  <c r="P1690" i="1" s="1" a="1"/>
  <c r="P1690" i="1" s="1"/>
  <c r="M1690" i="1"/>
  <c r="O1690" i="1" s="1"/>
  <c r="Q1688" i="1"/>
  <c r="S1686" i="1" l="1" a="1"/>
  <c r="S1686" i="1" s="1"/>
  <c r="R1687" i="1"/>
  <c r="Q1689" i="1"/>
  <c r="M1691" i="1"/>
  <c r="O1691" i="1" s="1"/>
  <c r="N1691" i="1"/>
  <c r="P1691" i="1" s="1" a="1"/>
  <c r="P1691" i="1" s="1"/>
  <c r="S1687" i="1" l="1" a="1"/>
  <c r="S1687" i="1" s="1"/>
  <c r="R1688" i="1"/>
  <c r="N1692" i="1"/>
  <c r="P1692" i="1" s="1" a="1"/>
  <c r="P1692" i="1" s="1"/>
  <c r="Q1690" i="1"/>
  <c r="M1692" i="1"/>
  <c r="O1692" i="1" s="1"/>
  <c r="S1688" i="1" l="1" a="1"/>
  <c r="S1688" i="1" s="1"/>
  <c r="R1689" i="1"/>
  <c r="M1693" i="1"/>
  <c r="O1693" i="1" s="1"/>
  <c r="Q1691" i="1"/>
  <c r="N1693" i="1"/>
  <c r="P1693" i="1" s="1" a="1"/>
  <c r="P1693" i="1" s="1"/>
  <c r="S1689" i="1" l="1" a="1"/>
  <c r="S1689" i="1" s="1"/>
  <c r="R1690" i="1"/>
  <c r="N1694" i="1"/>
  <c r="P1694" i="1" s="1" a="1"/>
  <c r="P1694" i="1" s="1"/>
  <c r="Q1692" i="1"/>
  <c r="M1694" i="1"/>
  <c r="O1694" i="1" s="1"/>
  <c r="S1690" i="1" l="1" a="1"/>
  <c r="S1690" i="1" s="1"/>
  <c r="R1691" i="1"/>
  <c r="M1695" i="1"/>
  <c r="O1695" i="1" s="1"/>
  <c r="Q1693" i="1"/>
  <c r="N1695" i="1"/>
  <c r="P1695" i="1" s="1" a="1"/>
  <c r="P1695" i="1" s="1"/>
  <c r="S1691" i="1" l="1" a="1"/>
  <c r="S1691" i="1" s="1"/>
  <c r="R1692" i="1"/>
  <c r="N1696" i="1"/>
  <c r="P1696" i="1" s="1" a="1"/>
  <c r="P1696" i="1" s="1"/>
  <c r="M1696" i="1"/>
  <c r="O1696" i="1" s="1"/>
  <c r="Q1694" i="1"/>
  <c r="S1692" i="1" l="1" a="1"/>
  <c r="S1692" i="1" s="1"/>
  <c r="R1693" i="1"/>
  <c r="Q1695" i="1"/>
  <c r="M1697" i="1"/>
  <c r="O1697" i="1" s="1"/>
  <c r="N1697" i="1"/>
  <c r="P1697" i="1" s="1" a="1"/>
  <c r="P1697" i="1" s="1"/>
  <c r="S1693" i="1" l="1" a="1"/>
  <c r="S1693" i="1" s="1"/>
  <c r="R1694" i="1"/>
  <c r="N1698" i="1"/>
  <c r="P1698" i="1" s="1" a="1"/>
  <c r="P1698" i="1" s="1"/>
  <c r="M1698" i="1"/>
  <c r="O1698" i="1" s="1"/>
  <c r="Q1696" i="1"/>
  <c r="S1694" i="1" l="1" a="1"/>
  <c r="S1694" i="1" s="1"/>
  <c r="R1695" i="1"/>
  <c r="Q1697" i="1"/>
  <c r="M1699" i="1"/>
  <c r="O1699" i="1" s="1"/>
  <c r="N1699" i="1"/>
  <c r="P1699" i="1" s="1" a="1"/>
  <c r="P1699" i="1" s="1"/>
  <c r="S1695" i="1" l="1" a="1"/>
  <c r="S1695" i="1" s="1"/>
  <c r="R1696" i="1"/>
  <c r="N1700" i="1"/>
  <c r="P1700" i="1" s="1" a="1"/>
  <c r="P1700" i="1" s="1"/>
  <c r="Q1698" i="1"/>
  <c r="M1700" i="1"/>
  <c r="O1700" i="1" s="1"/>
  <c r="S1696" i="1" l="1" a="1"/>
  <c r="S1696" i="1" s="1"/>
  <c r="R1697" i="1"/>
  <c r="M1701" i="1"/>
  <c r="O1701" i="1" s="1"/>
  <c r="Q1699" i="1"/>
  <c r="N1701" i="1"/>
  <c r="P1701" i="1" s="1" a="1"/>
  <c r="P1701" i="1" s="1"/>
  <c r="S1697" i="1" l="1" a="1"/>
  <c r="S1697" i="1" s="1"/>
  <c r="R1698" i="1"/>
  <c r="N1702" i="1"/>
  <c r="P1702" i="1" s="1" a="1"/>
  <c r="P1702" i="1" s="1"/>
  <c r="Q1700" i="1"/>
  <c r="M1702" i="1"/>
  <c r="O1702" i="1" s="1"/>
  <c r="S1698" i="1" l="1" a="1"/>
  <c r="S1698" i="1" s="1"/>
  <c r="R1699" i="1"/>
  <c r="M1703" i="1"/>
  <c r="O1703" i="1" s="1"/>
  <c r="N1703" i="1"/>
  <c r="P1703" i="1" s="1" a="1"/>
  <c r="P1703" i="1" s="1"/>
  <c r="Q1701" i="1"/>
  <c r="S1699" i="1" l="1" a="1"/>
  <c r="S1699" i="1" s="1"/>
  <c r="R1700" i="1"/>
  <c r="N1704" i="1"/>
  <c r="P1704" i="1" s="1" a="1"/>
  <c r="P1704" i="1" s="1"/>
  <c r="M1704" i="1"/>
  <c r="O1704" i="1" s="1"/>
  <c r="Q1702" i="1"/>
  <c r="S1700" i="1" l="1" a="1"/>
  <c r="S1700" i="1" s="1"/>
  <c r="R1701" i="1"/>
  <c r="Q1703" i="1"/>
  <c r="M1705" i="1"/>
  <c r="O1705" i="1" s="1"/>
  <c r="N1705" i="1"/>
  <c r="P1705" i="1" s="1" a="1"/>
  <c r="P1705" i="1" s="1"/>
  <c r="S1701" i="1" l="1" a="1"/>
  <c r="S1701" i="1" s="1"/>
  <c r="R1702" i="1"/>
  <c r="N1706" i="1"/>
  <c r="P1706" i="1" s="1" a="1"/>
  <c r="P1706" i="1" s="1"/>
  <c r="M1706" i="1"/>
  <c r="O1706" i="1" s="1"/>
  <c r="Q1704" i="1"/>
  <c r="S1702" i="1" l="1" a="1"/>
  <c r="S1702" i="1" s="1"/>
  <c r="R1703" i="1"/>
  <c r="Q1705" i="1"/>
  <c r="M1707" i="1"/>
  <c r="O1707" i="1" s="1"/>
  <c r="N1707" i="1"/>
  <c r="P1707" i="1" s="1" a="1"/>
  <c r="P1707" i="1" s="1"/>
  <c r="S1703" i="1" l="1" a="1"/>
  <c r="S1703" i="1" s="1"/>
  <c r="R1704" i="1"/>
  <c r="N1708" i="1"/>
  <c r="P1708" i="1" s="1" a="1"/>
  <c r="P1708" i="1" s="1"/>
  <c r="Q1706" i="1"/>
  <c r="M1708" i="1"/>
  <c r="O1708" i="1" s="1"/>
  <c r="S1704" i="1" l="1" a="1"/>
  <c r="S1704" i="1" s="1"/>
  <c r="R1705" i="1"/>
  <c r="M1709" i="1"/>
  <c r="O1709" i="1" s="1"/>
  <c r="Q1707" i="1"/>
  <c r="N1709" i="1"/>
  <c r="P1709" i="1" s="1" a="1"/>
  <c r="P1709" i="1" s="1"/>
  <c r="S1705" i="1" l="1" a="1"/>
  <c r="S1705" i="1" s="1"/>
  <c r="R1706" i="1"/>
  <c r="N1710" i="1"/>
  <c r="P1710" i="1" s="1" a="1"/>
  <c r="P1710" i="1" s="1"/>
  <c r="Q1708" i="1"/>
  <c r="M1710" i="1"/>
  <c r="O1710" i="1" s="1"/>
  <c r="S1706" i="1" l="1" a="1"/>
  <c r="S1706" i="1" s="1"/>
  <c r="R1707" i="1"/>
  <c r="M1711" i="1"/>
  <c r="O1711" i="1" s="1"/>
  <c r="Q1709" i="1"/>
  <c r="N1711" i="1"/>
  <c r="P1711" i="1" s="1" a="1"/>
  <c r="P1711" i="1" s="1"/>
  <c r="S1707" i="1" l="1" a="1"/>
  <c r="S1707" i="1" s="1"/>
  <c r="R1708" i="1"/>
  <c r="N1712" i="1"/>
  <c r="P1712" i="1" s="1" a="1"/>
  <c r="P1712" i="1" s="1"/>
  <c r="M1712" i="1"/>
  <c r="O1712" i="1" s="1"/>
  <c r="Q1710" i="1"/>
  <c r="S1708" i="1" l="1" a="1"/>
  <c r="S1708" i="1" s="1"/>
  <c r="R1709" i="1"/>
  <c r="Q1711" i="1"/>
  <c r="M1713" i="1"/>
  <c r="O1713" i="1" s="1"/>
  <c r="N1713" i="1"/>
  <c r="P1713" i="1" s="1" a="1"/>
  <c r="P1713" i="1" s="1"/>
  <c r="S1709" i="1" l="1" a="1"/>
  <c r="S1709" i="1" s="1"/>
  <c r="R1710" i="1"/>
  <c r="N1714" i="1"/>
  <c r="P1714" i="1" s="1" a="1"/>
  <c r="P1714" i="1" s="1"/>
  <c r="M1714" i="1"/>
  <c r="O1714" i="1" s="1"/>
  <c r="Q1712" i="1"/>
  <c r="S1710" i="1" l="1" a="1"/>
  <c r="S1710" i="1" s="1"/>
  <c r="R1711" i="1"/>
  <c r="N1715" i="1"/>
  <c r="P1715" i="1" s="1" a="1"/>
  <c r="P1715" i="1" s="1"/>
  <c r="Q1713" i="1"/>
  <c r="M1715" i="1"/>
  <c r="O1715" i="1" s="1"/>
  <c r="S1711" i="1" l="1" a="1"/>
  <c r="S1711" i="1" s="1"/>
  <c r="R1712" i="1"/>
  <c r="Q1714" i="1"/>
  <c r="M1716" i="1"/>
  <c r="O1716" i="1" s="1"/>
  <c r="N1716" i="1"/>
  <c r="P1716" i="1" s="1" a="1"/>
  <c r="P1716" i="1" s="1"/>
  <c r="S1712" i="1" l="1" a="1"/>
  <c r="S1712" i="1" s="1"/>
  <c r="R1713" i="1"/>
  <c r="M1717" i="1"/>
  <c r="O1717" i="1" s="1"/>
  <c r="N1717" i="1"/>
  <c r="P1717" i="1" s="1" a="1"/>
  <c r="P1717" i="1" s="1"/>
  <c r="Q1715" i="1"/>
  <c r="S1713" i="1" l="1" a="1"/>
  <c r="S1713" i="1" s="1"/>
  <c r="R1714" i="1"/>
  <c r="N1718" i="1"/>
  <c r="P1718" i="1" s="1" a="1"/>
  <c r="P1718" i="1" s="1"/>
  <c r="Q1716" i="1"/>
  <c r="M1718" i="1"/>
  <c r="O1718" i="1" s="1"/>
  <c r="S1714" i="1" l="1" a="1"/>
  <c r="S1714" i="1" s="1"/>
  <c r="R1715" i="1"/>
  <c r="M1719" i="1"/>
  <c r="O1719" i="1" s="1"/>
  <c r="Q1717" i="1"/>
  <c r="N1719" i="1"/>
  <c r="P1719" i="1" s="1" a="1"/>
  <c r="P1719" i="1" s="1"/>
  <c r="S1715" i="1" l="1" a="1"/>
  <c r="S1715" i="1" s="1"/>
  <c r="R1716" i="1"/>
  <c r="N1720" i="1"/>
  <c r="P1720" i="1" s="1" a="1"/>
  <c r="P1720" i="1" s="1"/>
  <c r="M1720" i="1"/>
  <c r="O1720" i="1" s="1"/>
  <c r="Q1718" i="1"/>
  <c r="S1716" i="1" l="1" a="1"/>
  <c r="S1716" i="1" s="1"/>
  <c r="R1717" i="1"/>
  <c r="Q1719" i="1"/>
  <c r="M1721" i="1"/>
  <c r="O1721" i="1" s="1"/>
  <c r="N1721" i="1"/>
  <c r="P1721" i="1" s="1" a="1"/>
  <c r="P1721" i="1" s="1"/>
  <c r="S1717" i="1" l="1" a="1"/>
  <c r="S1717" i="1" s="1"/>
  <c r="R1718" i="1"/>
  <c r="N1722" i="1"/>
  <c r="P1722" i="1" s="1" a="1"/>
  <c r="P1722" i="1" s="1"/>
  <c r="M1722" i="1"/>
  <c r="O1722" i="1" s="1"/>
  <c r="Q1720" i="1"/>
  <c r="S1718" i="1" l="1" a="1"/>
  <c r="S1718" i="1" s="1"/>
  <c r="R1719" i="1"/>
  <c r="Q1721" i="1"/>
  <c r="M1723" i="1"/>
  <c r="O1723" i="1" s="1"/>
  <c r="N1723" i="1"/>
  <c r="P1723" i="1" s="1" a="1"/>
  <c r="P1723" i="1" s="1"/>
  <c r="S1719" i="1" l="1" a="1"/>
  <c r="S1719" i="1" s="1"/>
  <c r="R1720" i="1"/>
  <c r="N1724" i="1"/>
  <c r="P1724" i="1" s="1" a="1"/>
  <c r="P1724" i="1" s="1"/>
  <c r="Q1722" i="1"/>
  <c r="M1724" i="1"/>
  <c r="O1724" i="1" s="1"/>
  <c r="S1720" i="1" l="1" a="1"/>
  <c r="S1720" i="1" s="1"/>
  <c r="R1721" i="1"/>
  <c r="M1725" i="1"/>
  <c r="O1725" i="1" s="1"/>
  <c r="Q1723" i="1"/>
  <c r="N1725" i="1"/>
  <c r="P1725" i="1" s="1" a="1"/>
  <c r="P1725" i="1" s="1"/>
  <c r="S1721" i="1" l="1" a="1"/>
  <c r="S1721" i="1" s="1"/>
  <c r="R1722" i="1"/>
  <c r="N1726" i="1"/>
  <c r="P1726" i="1" s="1" a="1"/>
  <c r="P1726" i="1" s="1"/>
  <c r="Q1724" i="1"/>
  <c r="M1726" i="1"/>
  <c r="O1726" i="1" s="1"/>
  <c r="S1722" i="1" l="1" a="1"/>
  <c r="S1722" i="1" s="1"/>
  <c r="R1723" i="1"/>
  <c r="M1727" i="1"/>
  <c r="O1727" i="1" s="1"/>
  <c r="Q1725" i="1"/>
  <c r="N1727" i="1"/>
  <c r="P1727" i="1" s="1" a="1"/>
  <c r="P1727" i="1" s="1"/>
  <c r="S1723" i="1" l="1" a="1"/>
  <c r="S1723" i="1" s="1"/>
  <c r="R1724" i="1"/>
  <c r="N1728" i="1"/>
  <c r="P1728" i="1" s="1" a="1"/>
  <c r="P1728" i="1" s="1"/>
  <c r="M1728" i="1"/>
  <c r="O1728" i="1" s="1"/>
  <c r="Q1726" i="1"/>
  <c r="S1724" i="1" l="1" a="1"/>
  <c r="S1724" i="1" s="1"/>
  <c r="R1725" i="1"/>
  <c r="Q1727" i="1"/>
  <c r="M1729" i="1"/>
  <c r="O1729" i="1" s="1"/>
  <c r="N1729" i="1"/>
  <c r="P1729" i="1" s="1" a="1"/>
  <c r="P1729" i="1" s="1"/>
  <c r="S1725" i="1" l="1" a="1"/>
  <c r="S1725" i="1" s="1"/>
  <c r="R1726" i="1"/>
  <c r="N1730" i="1"/>
  <c r="P1730" i="1" s="1" a="1"/>
  <c r="P1730" i="1" s="1"/>
  <c r="M1730" i="1"/>
  <c r="O1730" i="1" s="1"/>
  <c r="Q1728" i="1"/>
  <c r="S1726" i="1" l="1" a="1"/>
  <c r="S1726" i="1" s="1"/>
  <c r="R1727" i="1"/>
  <c r="Q1729" i="1"/>
  <c r="M1731" i="1"/>
  <c r="O1731" i="1" s="1"/>
  <c r="N1731" i="1"/>
  <c r="P1731" i="1" s="1" a="1"/>
  <c r="P1731" i="1" s="1"/>
  <c r="S1727" i="1" l="1" a="1"/>
  <c r="S1727" i="1" s="1"/>
  <c r="R1728" i="1"/>
  <c r="N1732" i="1"/>
  <c r="P1732" i="1" s="1" a="1"/>
  <c r="P1732" i="1" s="1"/>
  <c r="Q1730" i="1"/>
  <c r="M1732" i="1"/>
  <c r="O1732" i="1" s="1"/>
  <c r="S1728" i="1" l="1" a="1"/>
  <c r="S1728" i="1" s="1"/>
  <c r="R1729" i="1"/>
  <c r="M1733" i="1"/>
  <c r="O1733" i="1" s="1"/>
  <c r="Q1731" i="1"/>
  <c r="N1733" i="1"/>
  <c r="P1733" i="1" s="1" a="1"/>
  <c r="P1733" i="1" s="1"/>
  <c r="S1729" i="1" l="1" a="1"/>
  <c r="S1729" i="1" s="1"/>
  <c r="R1730" i="1"/>
  <c r="Q1733" i="1"/>
  <c r="N1734" i="1"/>
  <c r="P1734" i="1" s="1" a="1"/>
  <c r="P1734" i="1" s="1"/>
  <c r="Q1732" i="1"/>
  <c r="M1734" i="1"/>
  <c r="O1734" i="1" s="1"/>
  <c r="S1730" i="1" l="1" a="1"/>
  <c r="S1730" i="1" s="1"/>
  <c r="R1731" i="1"/>
  <c r="M1735" i="1"/>
  <c r="O1735" i="1" s="1"/>
  <c r="N1735" i="1"/>
  <c r="P1735" i="1" s="1" a="1"/>
  <c r="P1735" i="1" s="1"/>
  <c r="S1731" i="1" l="1" a="1"/>
  <c r="S1731" i="1" s="1"/>
  <c r="R1732" i="1"/>
  <c r="N1736" i="1"/>
  <c r="P1736" i="1" s="1" a="1"/>
  <c r="P1736" i="1" s="1"/>
  <c r="Q1734" i="1"/>
  <c r="M1736" i="1"/>
  <c r="O1736" i="1" s="1"/>
  <c r="S1732" i="1" l="1" a="1"/>
  <c r="S1732" i="1" s="1"/>
  <c r="R1733" i="1"/>
  <c r="Q1735" i="1"/>
  <c r="M1737" i="1"/>
  <c r="O1737" i="1" s="1"/>
  <c r="N1737" i="1"/>
  <c r="P1737" i="1" s="1" a="1"/>
  <c r="P1737" i="1" s="1"/>
  <c r="S1733" i="1" l="1" a="1"/>
  <c r="S1733" i="1" s="1"/>
  <c r="R1734" i="1"/>
  <c r="N1738" i="1"/>
  <c r="P1738" i="1" s="1" a="1"/>
  <c r="P1738" i="1" s="1"/>
  <c r="M1738" i="1"/>
  <c r="O1738" i="1" s="1"/>
  <c r="Q1736" i="1"/>
  <c r="S1734" i="1" l="1" a="1"/>
  <c r="S1734" i="1" s="1"/>
  <c r="R1735" i="1"/>
  <c r="Q1737" i="1"/>
  <c r="M1739" i="1"/>
  <c r="O1739" i="1" s="1"/>
  <c r="N1739" i="1"/>
  <c r="P1739" i="1" s="1" a="1"/>
  <c r="P1739" i="1" s="1"/>
  <c r="S1735" i="1" l="1" a="1"/>
  <c r="S1735" i="1" s="1"/>
  <c r="R1736" i="1"/>
  <c r="N1740" i="1"/>
  <c r="P1740" i="1" s="1" a="1"/>
  <c r="P1740" i="1" s="1"/>
  <c r="Q1738" i="1"/>
  <c r="M1740" i="1"/>
  <c r="O1740" i="1" s="1"/>
  <c r="S1736" i="1" l="1" a="1"/>
  <c r="S1736" i="1" s="1"/>
  <c r="R1737" i="1"/>
  <c r="M1741" i="1"/>
  <c r="O1741" i="1" s="1"/>
  <c r="Q1739" i="1"/>
  <c r="N1741" i="1"/>
  <c r="P1741" i="1" s="1" a="1"/>
  <c r="P1741" i="1" s="1"/>
  <c r="S1737" i="1" l="1" a="1"/>
  <c r="S1737" i="1" s="1"/>
  <c r="R1738" i="1"/>
  <c r="Q1740" i="1"/>
  <c r="M1742" i="1"/>
  <c r="O1742" i="1" s="1"/>
  <c r="N1742" i="1"/>
  <c r="P1742" i="1" s="1" a="1"/>
  <c r="P1742" i="1" s="1"/>
  <c r="S1738" i="1" l="1" a="1"/>
  <c r="S1738" i="1" s="1"/>
  <c r="R1739" i="1"/>
  <c r="N1743" i="1"/>
  <c r="P1743" i="1" s="1" a="1"/>
  <c r="P1743" i="1" s="1"/>
  <c r="M1743" i="1"/>
  <c r="O1743" i="1" s="1"/>
  <c r="Q1741" i="1"/>
  <c r="S1739" i="1" l="1" a="1"/>
  <c r="S1739" i="1" s="1"/>
  <c r="R1740" i="1"/>
  <c r="M1744" i="1"/>
  <c r="O1744" i="1" s="1"/>
  <c r="Q1742" i="1"/>
  <c r="N1744" i="1"/>
  <c r="P1744" i="1" s="1" a="1"/>
  <c r="P1744" i="1" s="1"/>
  <c r="S1740" i="1" l="1" a="1"/>
  <c r="S1740" i="1" s="1"/>
  <c r="R1741" i="1"/>
  <c r="N1745" i="1"/>
  <c r="P1745" i="1" s="1" a="1"/>
  <c r="P1745" i="1" s="1"/>
  <c r="Q1743" i="1"/>
  <c r="M1745" i="1"/>
  <c r="O1745" i="1" s="1"/>
  <c r="S1741" i="1" l="1" a="1"/>
  <c r="S1741" i="1" s="1"/>
  <c r="R1742" i="1"/>
  <c r="M1746" i="1"/>
  <c r="O1746" i="1" s="1"/>
  <c r="Q1744" i="1"/>
  <c r="N1746" i="1"/>
  <c r="P1746" i="1" s="1" a="1"/>
  <c r="P1746" i="1" s="1"/>
  <c r="S1742" i="1" l="1" a="1"/>
  <c r="S1742" i="1" s="1"/>
  <c r="R1743" i="1"/>
  <c r="Q1745" i="1"/>
  <c r="M1747" i="1"/>
  <c r="O1747" i="1" s="1"/>
  <c r="N1747" i="1"/>
  <c r="P1747" i="1" s="1" a="1"/>
  <c r="P1747" i="1" s="1"/>
  <c r="S1743" i="1" l="1" a="1"/>
  <c r="S1743" i="1" s="1"/>
  <c r="R1744" i="1"/>
  <c r="N1748" i="1"/>
  <c r="P1748" i="1" s="1" a="1"/>
  <c r="P1748" i="1" s="1"/>
  <c r="Q1746" i="1"/>
  <c r="M1748" i="1"/>
  <c r="O1748" i="1" s="1"/>
  <c r="S1744" i="1" l="1" a="1"/>
  <c r="S1744" i="1" s="1"/>
  <c r="R1745" i="1"/>
  <c r="M1749" i="1"/>
  <c r="O1749" i="1" s="1"/>
  <c r="Q1747" i="1"/>
  <c r="N1749" i="1"/>
  <c r="P1749" i="1" s="1" a="1"/>
  <c r="P1749" i="1" s="1"/>
  <c r="S1745" i="1" l="1" a="1"/>
  <c r="S1745" i="1" s="1"/>
  <c r="R1746" i="1"/>
  <c r="N1750" i="1"/>
  <c r="P1750" i="1" s="1" a="1"/>
  <c r="P1750" i="1" s="1"/>
  <c r="Q1748" i="1"/>
  <c r="M1750" i="1"/>
  <c r="O1750" i="1" s="1"/>
  <c r="W4" i="1" l="1" a="1"/>
  <c r="W4" i="1" s="1"/>
  <c r="W5" i="1" a="1"/>
  <c r="W5" i="1" s="1"/>
  <c r="W3" i="1"/>
  <c r="S1746" i="1" a="1"/>
  <c r="S1746" i="1" s="1"/>
  <c r="R1747" i="1"/>
  <c r="Q1749" i="1"/>
  <c r="M1751" i="1"/>
  <c r="O1751" i="1" s="1"/>
  <c r="N1751" i="1"/>
  <c r="P1751" i="1" s="1" a="1"/>
  <c r="P1751" i="1" s="1"/>
  <c r="S1747" i="1" l="1" a="1"/>
  <c r="S1747" i="1" s="1"/>
  <c r="R1748" i="1"/>
  <c r="N1752" i="1"/>
  <c r="P1752" i="1" s="1" a="1"/>
  <c r="P1752" i="1" s="1"/>
  <c r="M1752" i="1"/>
  <c r="O1752" i="1" s="1"/>
  <c r="Q1750" i="1"/>
  <c r="S1748" i="1" l="1" a="1"/>
  <c r="S1748" i="1" s="1"/>
  <c r="R1749" i="1"/>
  <c r="Q1751" i="1"/>
  <c r="M1753" i="1"/>
  <c r="O1753" i="1" s="1"/>
  <c r="N1753" i="1"/>
  <c r="P1753" i="1" s="1" a="1"/>
  <c r="P1753" i="1" s="1"/>
  <c r="S1749" i="1" l="1" a="1"/>
  <c r="S1749" i="1" s="1"/>
  <c r="R1750" i="1"/>
  <c r="N1754" i="1"/>
  <c r="P1754" i="1" s="1" a="1"/>
  <c r="P1754" i="1" s="1"/>
  <c r="M1754" i="1"/>
  <c r="O1754" i="1" s="1"/>
  <c r="Q1752" i="1"/>
  <c r="S1750" i="1" l="1" a="1"/>
  <c r="S1750" i="1" s="1"/>
  <c r="R1751" i="1"/>
  <c r="M1755" i="1"/>
  <c r="O1755" i="1" s="1"/>
  <c r="N1755" i="1"/>
  <c r="P1755" i="1" s="1" a="1"/>
  <c r="P1755" i="1" s="1"/>
  <c r="Q1753" i="1"/>
  <c r="S1751" i="1" l="1" a="1"/>
  <c r="S1751" i="1" s="1"/>
  <c r="R1752" i="1"/>
  <c r="N1756" i="1"/>
  <c r="P1756" i="1" s="1" a="1"/>
  <c r="P1756" i="1" s="1"/>
  <c r="Q1754" i="1"/>
  <c r="M1756" i="1"/>
  <c r="O1756" i="1" s="1"/>
  <c r="S1752" i="1" l="1" a="1"/>
  <c r="S1752" i="1" s="1"/>
  <c r="R1753" i="1"/>
  <c r="Q1755" i="1"/>
  <c r="N1757" i="1"/>
  <c r="P1757" i="1" s="1" a="1"/>
  <c r="P1757" i="1" s="1"/>
  <c r="M1757" i="1"/>
  <c r="O1757" i="1" s="1"/>
  <c r="S1753" i="1" l="1" a="1"/>
  <c r="S1753" i="1" s="1"/>
  <c r="R1754" i="1"/>
  <c r="Q1756" i="1"/>
  <c r="M1758" i="1"/>
  <c r="O1758" i="1" s="1"/>
  <c r="N1758" i="1"/>
  <c r="P1758" i="1" s="1" a="1"/>
  <c r="P1758" i="1" s="1"/>
  <c r="S1754" i="1" l="1" a="1"/>
  <c r="S1754" i="1" s="1"/>
  <c r="R1755" i="1"/>
  <c r="M1759" i="1"/>
  <c r="O1759" i="1" s="1"/>
  <c r="N1759" i="1"/>
  <c r="P1759" i="1" s="1" a="1"/>
  <c r="P1759" i="1" s="1"/>
  <c r="Q1757" i="1"/>
  <c r="S1755" i="1" l="1" a="1"/>
  <c r="S1755" i="1" s="1"/>
  <c r="R1756" i="1"/>
  <c r="N1760" i="1"/>
  <c r="P1760" i="1" s="1" a="1"/>
  <c r="P1760" i="1" s="1"/>
  <c r="M1760" i="1"/>
  <c r="O1760" i="1" s="1"/>
  <c r="Q1758" i="1"/>
  <c r="S1756" i="1" l="1" a="1"/>
  <c r="S1756" i="1" s="1"/>
  <c r="R1757" i="1"/>
  <c r="Q1759" i="1"/>
  <c r="M1761" i="1"/>
  <c r="O1761" i="1" s="1"/>
  <c r="N1761" i="1"/>
  <c r="P1761" i="1" s="1" a="1"/>
  <c r="P1761" i="1" s="1"/>
  <c r="S1757" i="1" l="1" a="1"/>
  <c r="S1757" i="1" s="1"/>
  <c r="R1758" i="1"/>
  <c r="M1762" i="1"/>
  <c r="O1762" i="1" s="1"/>
  <c r="N1762" i="1"/>
  <c r="P1762" i="1" s="1" a="1"/>
  <c r="P1762" i="1" s="1"/>
  <c r="Q1760" i="1"/>
  <c r="S1758" i="1" l="1" a="1"/>
  <c r="S1758" i="1" s="1"/>
  <c r="R1759" i="1"/>
  <c r="N1763" i="1"/>
  <c r="P1763" i="1" s="1" a="1"/>
  <c r="P1763" i="1" s="1"/>
  <c r="Q1761" i="1"/>
  <c r="M1763" i="1"/>
  <c r="O1763" i="1" s="1"/>
  <c r="S1759" i="1" l="1" a="1"/>
  <c r="S1759" i="1" s="1"/>
  <c r="R1760" i="1"/>
  <c r="Q1762" i="1"/>
  <c r="M1764" i="1"/>
  <c r="O1764" i="1" s="1"/>
  <c r="N1764" i="1"/>
  <c r="P1764" i="1" s="1" a="1"/>
  <c r="P1764" i="1" s="1"/>
  <c r="S1760" i="1" l="1" a="1"/>
  <c r="S1760" i="1" s="1"/>
  <c r="R1761" i="1"/>
  <c r="M1765" i="1"/>
  <c r="O1765" i="1" s="1"/>
  <c r="N1765" i="1"/>
  <c r="P1765" i="1" s="1" a="1"/>
  <c r="P1765" i="1" s="1"/>
  <c r="Q1763" i="1"/>
  <c r="S1761" i="1" l="1" a="1"/>
  <c r="S1761" i="1" s="1"/>
  <c r="R1762" i="1"/>
  <c r="Q1764" i="1"/>
  <c r="N1766" i="1"/>
  <c r="P1766" i="1" s="1" a="1"/>
  <c r="P1766" i="1" s="1"/>
  <c r="M1766" i="1"/>
  <c r="O1766" i="1" s="1"/>
  <c r="S1762" i="1" l="1" a="1"/>
  <c r="S1762" i="1" s="1"/>
  <c r="R1763" i="1"/>
  <c r="Q1765" i="1"/>
  <c r="M1767" i="1"/>
  <c r="O1767" i="1" s="1"/>
  <c r="N1767" i="1"/>
  <c r="P1767" i="1" s="1" a="1"/>
  <c r="P1767" i="1" s="1"/>
  <c r="S1763" i="1" l="1" a="1"/>
  <c r="S1763" i="1" s="1"/>
  <c r="R1764" i="1"/>
  <c r="N1768" i="1"/>
  <c r="P1768" i="1" s="1" a="1"/>
  <c r="P1768" i="1" s="1"/>
  <c r="M1768" i="1"/>
  <c r="O1768" i="1" s="1"/>
  <c r="Q1766" i="1"/>
  <c r="S1764" i="1" l="1" a="1"/>
  <c r="S1764" i="1" s="1"/>
  <c r="R1765" i="1"/>
  <c r="Q1767" i="1"/>
  <c r="M1769" i="1"/>
  <c r="O1769" i="1" s="1"/>
  <c r="N1769" i="1"/>
  <c r="P1769" i="1" s="1" a="1"/>
  <c r="P1769" i="1" s="1"/>
  <c r="S1765" i="1" l="1" a="1"/>
  <c r="S1765" i="1" s="1"/>
  <c r="R1766" i="1"/>
  <c r="N1770" i="1"/>
  <c r="P1770" i="1" s="1" a="1"/>
  <c r="P1770" i="1" s="1"/>
  <c r="M1770" i="1"/>
  <c r="O1770" i="1" s="1"/>
  <c r="Q1768" i="1"/>
  <c r="S1766" i="1" l="1" a="1"/>
  <c r="S1766" i="1" s="1"/>
  <c r="R1767" i="1"/>
  <c r="Q1769" i="1"/>
  <c r="M1771" i="1"/>
  <c r="O1771" i="1" s="1"/>
  <c r="N1771" i="1"/>
  <c r="P1771" i="1" s="1" a="1"/>
  <c r="P1771" i="1" s="1"/>
  <c r="S1767" i="1" l="1" a="1"/>
  <c r="S1767" i="1" s="1"/>
  <c r="R1768" i="1"/>
  <c r="N1772" i="1"/>
  <c r="P1772" i="1" s="1" a="1"/>
  <c r="P1772" i="1" s="1"/>
  <c r="Q1770" i="1"/>
  <c r="M1772" i="1"/>
  <c r="O1772" i="1" s="1"/>
  <c r="S1768" i="1" l="1" a="1"/>
  <c r="S1768" i="1" s="1"/>
  <c r="R1769" i="1"/>
  <c r="Q1771" i="1"/>
  <c r="N1773" i="1"/>
  <c r="P1773" i="1" s="1" a="1"/>
  <c r="P1773" i="1" s="1"/>
  <c r="M1773" i="1"/>
  <c r="O1773" i="1" s="1"/>
  <c r="S1769" i="1" l="1" a="1"/>
  <c r="S1769" i="1" s="1"/>
  <c r="R1770" i="1"/>
  <c r="Q1772" i="1"/>
  <c r="M1774" i="1"/>
  <c r="O1774" i="1" s="1"/>
  <c r="N1774" i="1"/>
  <c r="P1774" i="1" s="1" a="1"/>
  <c r="P1774" i="1" s="1"/>
  <c r="S1770" i="1" l="1" a="1"/>
  <c r="S1770" i="1" s="1"/>
  <c r="R1771" i="1"/>
  <c r="N1775" i="1"/>
  <c r="P1775" i="1" s="1" a="1"/>
  <c r="P1775" i="1" s="1"/>
  <c r="M1775" i="1"/>
  <c r="O1775" i="1" s="1"/>
  <c r="Q1773" i="1"/>
  <c r="S1771" i="1" l="1" a="1"/>
  <c r="S1771" i="1" s="1"/>
  <c r="R1772" i="1"/>
  <c r="M1776" i="1"/>
  <c r="O1776" i="1" s="1"/>
  <c r="Q1774" i="1"/>
  <c r="N1776" i="1"/>
  <c r="P1776" i="1" s="1" a="1"/>
  <c r="P1776" i="1" s="1"/>
  <c r="S1772" i="1" l="1" a="1"/>
  <c r="S1772" i="1" s="1"/>
  <c r="R1773" i="1"/>
  <c r="N1777" i="1"/>
  <c r="P1777" i="1" s="1" a="1"/>
  <c r="P1777" i="1" s="1"/>
  <c r="Q1775" i="1"/>
  <c r="M1777" i="1"/>
  <c r="O1777" i="1" s="1"/>
  <c r="S1773" i="1" l="1" a="1"/>
  <c r="S1773" i="1" s="1"/>
  <c r="R1774" i="1"/>
  <c r="M1778" i="1"/>
  <c r="O1778" i="1" s="1"/>
  <c r="Q1776" i="1"/>
  <c r="N1778" i="1"/>
  <c r="P1778" i="1" s="1" a="1"/>
  <c r="P1778" i="1" s="1"/>
  <c r="S1774" i="1" l="1" a="1"/>
  <c r="S1774" i="1" s="1"/>
  <c r="R1775" i="1"/>
  <c r="Q1777" i="1"/>
  <c r="M1779" i="1"/>
  <c r="O1779" i="1" s="1"/>
  <c r="N1779" i="1"/>
  <c r="P1779" i="1" s="1" a="1"/>
  <c r="P1779" i="1" s="1"/>
  <c r="S1775" i="1" l="1" a="1"/>
  <c r="S1775" i="1" s="1"/>
  <c r="R1776" i="1"/>
  <c r="N1780" i="1"/>
  <c r="P1780" i="1" s="1" a="1"/>
  <c r="P1780" i="1" s="1"/>
  <c r="M1780" i="1"/>
  <c r="O1780" i="1" s="1"/>
  <c r="Q1778" i="1"/>
  <c r="S1776" i="1" l="1" a="1"/>
  <c r="S1776" i="1" s="1"/>
  <c r="R1777" i="1"/>
  <c r="M1781" i="1"/>
  <c r="O1781" i="1" s="1"/>
  <c r="Q1779" i="1"/>
  <c r="N1781" i="1"/>
  <c r="P1781" i="1" s="1" a="1"/>
  <c r="P1781" i="1" s="1"/>
  <c r="S1777" i="1" l="1" a="1"/>
  <c r="S1777" i="1" s="1"/>
  <c r="R1778" i="1"/>
  <c r="Q1780" i="1"/>
  <c r="M1782" i="1"/>
  <c r="O1782" i="1" s="1"/>
  <c r="N1782" i="1"/>
  <c r="P1782" i="1" s="1" a="1"/>
  <c r="P1782" i="1" s="1"/>
  <c r="S1778" i="1" l="1" a="1"/>
  <c r="S1778" i="1" s="1"/>
  <c r="R1779" i="1"/>
  <c r="M1783" i="1"/>
  <c r="O1783" i="1" s="1"/>
  <c r="N1783" i="1"/>
  <c r="P1783" i="1" s="1" a="1"/>
  <c r="P1783" i="1" s="1"/>
  <c r="Q1781" i="1"/>
  <c r="S1779" i="1" l="1" a="1"/>
  <c r="S1779" i="1" s="1"/>
  <c r="R1780" i="1"/>
  <c r="N1784" i="1"/>
  <c r="P1784" i="1" s="1" a="1"/>
  <c r="P1784" i="1" s="1"/>
  <c r="M1784" i="1"/>
  <c r="O1784" i="1" s="1"/>
  <c r="Q1782" i="1"/>
  <c r="S1780" i="1" l="1" a="1"/>
  <c r="S1780" i="1" s="1"/>
  <c r="R1781" i="1"/>
  <c r="Q1783" i="1"/>
  <c r="M1785" i="1"/>
  <c r="O1785" i="1" s="1"/>
  <c r="N1785" i="1"/>
  <c r="P1785" i="1" s="1" a="1"/>
  <c r="P1785" i="1" s="1"/>
  <c r="S1781" i="1" l="1" a="1"/>
  <c r="S1781" i="1" s="1"/>
  <c r="R1782" i="1"/>
  <c r="M1786" i="1"/>
  <c r="O1786" i="1" s="1"/>
  <c r="N1786" i="1"/>
  <c r="P1786" i="1" s="1" a="1"/>
  <c r="P1786" i="1" s="1"/>
  <c r="Q1784" i="1"/>
  <c r="S1782" i="1" l="1" a="1"/>
  <c r="S1782" i="1" s="1"/>
  <c r="R1783" i="1"/>
  <c r="N1787" i="1"/>
  <c r="P1787" i="1" s="1" a="1"/>
  <c r="P1787" i="1" s="1"/>
  <c r="Q1785" i="1"/>
  <c r="M1787" i="1"/>
  <c r="O1787" i="1" s="1"/>
  <c r="S1783" i="1" l="1" a="1"/>
  <c r="S1783" i="1" s="1"/>
  <c r="R1784" i="1"/>
  <c r="Q1786" i="1"/>
  <c r="M1788" i="1"/>
  <c r="O1788" i="1" s="1"/>
  <c r="N1788" i="1"/>
  <c r="P1788" i="1" s="1" a="1"/>
  <c r="P1788" i="1" s="1"/>
  <c r="S1784" i="1" l="1" a="1"/>
  <c r="S1784" i="1" s="1"/>
  <c r="R1785" i="1"/>
  <c r="N1789" i="1"/>
  <c r="P1789" i="1" s="1" a="1"/>
  <c r="P1789" i="1" s="1"/>
  <c r="M1789" i="1"/>
  <c r="O1789" i="1" s="1"/>
  <c r="Q1787" i="1"/>
  <c r="S1785" i="1" l="1" a="1"/>
  <c r="S1785" i="1" s="1"/>
  <c r="R1786" i="1"/>
  <c r="Q1788" i="1"/>
  <c r="M1790" i="1"/>
  <c r="O1790" i="1" s="1"/>
  <c r="N1790" i="1"/>
  <c r="P1790" i="1" s="1" a="1"/>
  <c r="P1790" i="1" s="1"/>
  <c r="S1786" i="1" l="1" a="1"/>
  <c r="S1786" i="1" s="1"/>
  <c r="R1787" i="1"/>
  <c r="M1791" i="1"/>
  <c r="O1791" i="1" s="1"/>
  <c r="N1791" i="1"/>
  <c r="P1791" i="1" s="1" a="1"/>
  <c r="P1791" i="1" s="1"/>
  <c r="Q1789" i="1"/>
  <c r="S1787" i="1" l="1" a="1"/>
  <c r="S1787" i="1" s="1"/>
  <c r="R1788" i="1"/>
  <c r="N1792" i="1"/>
  <c r="P1792" i="1" s="1" a="1"/>
  <c r="P1792" i="1" s="1"/>
  <c r="M1792" i="1"/>
  <c r="O1792" i="1" s="1"/>
  <c r="Q1790" i="1"/>
  <c r="S1788" i="1" l="1" a="1"/>
  <c r="S1788" i="1" s="1"/>
  <c r="R1789" i="1"/>
  <c r="Q1791" i="1"/>
  <c r="M1793" i="1"/>
  <c r="O1793" i="1" s="1"/>
  <c r="N1793" i="1"/>
  <c r="P1793" i="1" s="1" a="1"/>
  <c r="P1793" i="1" s="1"/>
  <c r="S1789" i="1" l="1" a="1"/>
  <c r="S1789" i="1" s="1"/>
  <c r="R1790" i="1"/>
  <c r="N1794" i="1"/>
  <c r="P1794" i="1" s="1" a="1"/>
  <c r="P1794" i="1" s="1"/>
  <c r="M1794" i="1"/>
  <c r="O1794" i="1" s="1"/>
  <c r="Q1792" i="1"/>
  <c r="S1790" i="1" l="1" a="1"/>
  <c r="S1790" i="1" s="1"/>
  <c r="R1791" i="1"/>
  <c r="Q1793" i="1"/>
  <c r="M1795" i="1"/>
  <c r="O1795" i="1" s="1"/>
  <c r="N1795" i="1"/>
  <c r="P1795" i="1" s="1" a="1"/>
  <c r="P1795" i="1" s="1"/>
  <c r="S1791" i="1" l="1" a="1"/>
  <c r="S1791" i="1" s="1"/>
  <c r="R1792" i="1"/>
  <c r="N1796" i="1"/>
  <c r="P1796" i="1" s="1" a="1"/>
  <c r="P1796" i="1" s="1"/>
  <c r="Q1794" i="1"/>
  <c r="M1796" i="1"/>
  <c r="O1796" i="1" s="1"/>
  <c r="S1792" i="1" l="1" a="1"/>
  <c r="S1792" i="1" s="1"/>
  <c r="R1793" i="1"/>
  <c r="M1797" i="1"/>
  <c r="O1797" i="1" s="1"/>
  <c r="Q1795" i="1"/>
  <c r="N1797" i="1"/>
  <c r="P1797" i="1" s="1" a="1"/>
  <c r="P1797" i="1" s="1"/>
  <c r="S1793" i="1" l="1" a="1"/>
  <c r="S1793" i="1" s="1"/>
  <c r="R1794" i="1"/>
  <c r="N1798" i="1"/>
  <c r="P1798" i="1" s="1" a="1"/>
  <c r="P1798" i="1" s="1"/>
  <c r="M1798" i="1"/>
  <c r="O1798" i="1" s="1"/>
  <c r="Q1796" i="1"/>
  <c r="S1794" i="1" l="1" a="1"/>
  <c r="S1794" i="1" s="1"/>
  <c r="R1795" i="1"/>
  <c r="M1799" i="1"/>
  <c r="O1799" i="1" s="1"/>
  <c r="Q1797" i="1"/>
  <c r="N1799" i="1"/>
  <c r="P1799" i="1" s="1" a="1"/>
  <c r="P1799" i="1" s="1"/>
  <c r="S1795" i="1" l="1" a="1"/>
  <c r="S1795" i="1" s="1"/>
  <c r="R1796" i="1"/>
  <c r="Q1798" i="1"/>
  <c r="N1800" i="1"/>
  <c r="P1800" i="1" s="1" a="1"/>
  <c r="P1800" i="1" s="1"/>
  <c r="M1800" i="1"/>
  <c r="O1800" i="1" s="1"/>
  <c r="S1796" i="1" l="1" a="1"/>
  <c r="S1796" i="1" s="1"/>
  <c r="R1797" i="1"/>
  <c r="Q1799" i="1"/>
  <c r="M1801" i="1"/>
  <c r="O1801" i="1" s="1"/>
  <c r="N1801" i="1"/>
  <c r="P1801" i="1" s="1" a="1"/>
  <c r="P1801" i="1" s="1"/>
  <c r="S1797" i="1" l="1" a="1"/>
  <c r="S1797" i="1" s="1"/>
  <c r="R1798" i="1"/>
  <c r="N1802" i="1"/>
  <c r="P1802" i="1" s="1" a="1"/>
  <c r="P1802" i="1" s="1"/>
  <c r="M1802" i="1"/>
  <c r="O1802" i="1" s="1"/>
  <c r="Q1800" i="1"/>
  <c r="S1798" i="1" l="1" a="1"/>
  <c r="S1798" i="1" s="1"/>
  <c r="R1799" i="1"/>
  <c r="Q1801" i="1"/>
  <c r="S1799" i="1" l="1" a="1"/>
  <c r="S1799" i="1" s="1"/>
  <c r="R1800" i="1"/>
  <c r="Q1802" i="1"/>
  <c r="S1800" i="1" l="1" a="1"/>
  <c r="S1800" i="1" s="1"/>
  <c r="R1801" i="1"/>
  <c r="S1801" i="1" l="1" a="1"/>
  <c r="S1801" i="1" s="1"/>
  <c r="R1802" i="1"/>
  <c r="S1802" i="1" l="1" a="1"/>
  <c r="S180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<sst xmlns="http://schemas.openxmlformats.org/spreadsheetml/2006/main" count="20" uniqueCount="20">
  <si>
    <t>time</t>
  </si>
  <si>
    <t>impulse</t>
  </si>
  <si>
    <t>sines</t>
  </si>
  <si>
    <t>Imp*sin</t>
  </si>
  <si>
    <t>Model</t>
  </si>
  <si>
    <t>Data</t>
  </si>
  <si>
    <t>LTE_Amp</t>
  </si>
  <si>
    <t>LTE_Freq</t>
  </si>
  <si>
    <t>LTE_Phase</t>
  </si>
  <si>
    <t>Imp_Stride</t>
  </si>
  <si>
    <t>Imp_Amp</t>
  </si>
  <si>
    <t>Hold</t>
  </si>
  <si>
    <t>Initial_Condition</t>
  </si>
  <si>
    <t>Forcing</t>
  </si>
  <si>
    <t>Year</t>
  </si>
  <si>
    <t>Periods</t>
  </si>
  <si>
    <t>Aliased</t>
  </si>
  <si>
    <t>Year_Delta</t>
  </si>
  <si>
    <t>cc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</si>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</sst>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00"/>
    <numFmt numFmtId="166" formatCode="0.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02445925753224E-2"/>
          <c:y val="2.5428331875182269E-2"/>
          <c:w val="0.86784095124044891"/>
          <c:h val="0.939976305045202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Sheet1!$Z$2:$Z$1732</c:f>
              <c:numCache>
                <c:formatCode>0.0000000</c:formatCode>
                <c:ptCount val="1731"/>
                <c:pt idx="0">
                  <c:v>1880.0417</c:v>
                </c:pt>
                <c:pt idx="1">
                  <c:v>1880.125</c:v>
                </c:pt>
                <c:pt idx="2">
                  <c:v>1880.2083</c:v>
                </c:pt>
                <c:pt idx="3">
                  <c:v>1880.2917</c:v>
                </c:pt>
                <c:pt idx="4">
                  <c:v>1880.375</c:v>
                </c:pt>
                <c:pt idx="5">
                  <c:v>1880.4583</c:v>
                </c:pt>
                <c:pt idx="6">
                  <c:v>1880.5417</c:v>
                </c:pt>
                <c:pt idx="7">
                  <c:v>1880.625</c:v>
                </c:pt>
                <c:pt idx="8">
                  <c:v>1880.7083</c:v>
                </c:pt>
                <c:pt idx="9">
                  <c:v>1880.7917</c:v>
                </c:pt>
                <c:pt idx="10">
                  <c:v>1880.875</c:v>
                </c:pt>
                <c:pt idx="11">
                  <c:v>1880.9583</c:v>
                </c:pt>
                <c:pt idx="12">
                  <c:v>1881.0417</c:v>
                </c:pt>
                <c:pt idx="13">
                  <c:v>1881.125</c:v>
                </c:pt>
                <c:pt idx="14">
                  <c:v>1881.2083</c:v>
                </c:pt>
                <c:pt idx="15">
                  <c:v>1881.2917</c:v>
                </c:pt>
                <c:pt idx="16">
                  <c:v>1881.375</c:v>
                </c:pt>
                <c:pt idx="17">
                  <c:v>1881.4583</c:v>
                </c:pt>
                <c:pt idx="18">
                  <c:v>1881.5417</c:v>
                </c:pt>
                <c:pt idx="19">
                  <c:v>1881.625</c:v>
                </c:pt>
                <c:pt idx="20">
                  <c:v>1881.7083</c:v>
                </c:pt>
                <c:pt idx="21">
                  <c:v>1881.7917</c:v>
                </c:pt>
                <c:pt idx="22">
                  <c:v>1881.875</c:v>
                </c:pt>
                <c:pt idx="23">
                  <c:v>1881.9583</c:v>
                </c:pt>
                <c:pt idx="24">
                  <c:v>1882.0417</c:v>
                </c:pt>
                <c:pt idx="25">
                  <c:v>1882.125</c:v>
                </c:pt>
                <c:pt idx="26">
                  <c:v>1882.2083</c:v>
                </c:pt>
                <c:pt idx="27">
                  <c:v>1882.2917</c:v>
                </c:pt>
                <c:pt idx="28">
                  <c:v>1882.375</c:v>
                </c:pt>
                <c:pt idx="29">
                  <c:v>1882.4583</c:v>
                </c:pt>
                <c:pt idx="30">
                  <c:v>1882.5417</c:v>
                </c:pt>
                <c:pt idx="31">
                  <c:v>1882.625</c:v>
                </c:pt>
                <c:pt idx="32">
                  <c:v>1882.7083</c:v>
                </c:pt>
                <c:pt idx="33">
                  <c:v>1882.7917</c:v>
                </c:pt>
                <c:pt idx="34">
                  <c:v>1882.875</c:v>
                </c:pt>
                <c:pt idx="35">
                  <c:v>1882.9583</c:v>
                </c:pt>
                <c:pt idx="36">
                  <c:v>1883.0417</c:v>
                </c:pt>
                <c:pt idx="37">
                  <c:v>1883.125</c:v>
                </c:pt>
                <c:pt idx="38">
                  <c:v>1883.2083</c:v>
                </c:pt>
                <c:pt idx="39">
                  <c:v>1883.2917</c:v>
                </c:pt>
                <c:pt idx="40">
                  <c:v>1883.375</c:v>
                </c:pt>
                <c:pt idx="41">
                  <c:v>1883.4583</c:v>
                </c:pt>
                <c:pt idx="42">
                  <c:v>1883.5417</c:v>
                </c:pt>
                <c:pt idx="43">
                  <c:v>1883.625</c:v>
                </c:pt>
                <c:pt idx="44">
                  <c:v>1883.7083</c:v>
                </c:pt>
                <c:pt idx="45">
                  <c:v>1883.7917</c:v>
                </c:pt>
                <c:pt idx="46">
                  <c:v>1883.875</c:v>
                </c:pt>
                <c:pt idx="47">
                  <c:v>1883.9583</c:v>
                </c:pt>
                <c:pt idx="48">
                  <c:v>1884.0417</c:v>
                </c:pt>
                <c:pt idx="49">
                  <c:v>1884.125</c:v>
                </c:pt>
                <c:pt idx="50">
                  <c:v>1884.2083</c:v>
                </c:pt>
                <c:pt idx="51">
                  <c:v>1884.2917</c:v>
                </c:pt>
                <c:pt idx="52">
                  <c:v>1884.375</c:v>
                </c:pt>
                <c:pt idx="53">
                  <c:v>1884.4583</c:v>
                </c:pt>
                <c:pt idx="54">
                  <c:v>1884.5417</c:v>
                </c:pt>
                <c:pt idx="55">
                  <c:v>1884.625</c:v>
                </c:pt>
                <c:pt idx="56">
                  <c:v>1884.7083</c:v>
                </c:pt>
                <c:pt idx="57">
                  <c:v>1884.7917</c:v>
                </c:pt>
                <c:pt idx="58">
                  <c:v>1884.875</c:v>
                </c:pt>
                <c:pt idx="59">
                  <c:v>1884.9583</c:v>
                </c:pt>
                <c:pt idx="60">
                  <c:v>1885.0417</c:v>
                </c:pt>
                <c:pt idx="61">
                  <c:v>1885.125</c:v>
                </c:pt>
                <c:pt idx="62">
                  <c:v>1885.2083</c:v>
                </c:pt>
                <c:pt idx="63">
                  <c:v>1885.2917</c:v>
                </c:pt>
                <c:pt idx="64">
                  <c:v>1885.375</c:v>
                </c:pt>
                <c:pt idx="65">
                  <c:v>1885.4583</c:v>
                </c:pt>
                <c:pt idx="66">
                  <c:v>1885.5417</c:v>
                </c:pt>
                <c:pt idx="67">
                  <c:v>1885.625</c:v>
                </c:pt>
                <c:pt idx="68">
                  <c:v>1885.7083</c:v>
                </c:pt>
                <c:pt idx="69">
                  <c:v>1885.7917</c:v>
                </c:pt>
                <c:pt idx="70">
                  <c:v>1885.875</c:v>
                </c:pt>
                <c:pt idx="71">
                  <c:v>1885.9583</c:v>
                </c:pt>
                <c:pt idx="72">
                  <c:v>1886.0417</c:v>
                </c:pt>
                <c:pt idx="73">
                  <c:v>1886.125</c:v>
                </c:pt>
                <c:pt idx="74">
                  <c:v>1886.2083</c:v>
                </c:pt>
                <c:pt idx="75">
                  <c:v>1886.2917</c:v>
                </c:pt>
                <c:pt idx="76">
                  <c:v>1886.375</c:v>
                </c:pt>
                <c:pt idx="77">
                  <c:v>1886.4583</c:v>
                </c:pt>
                <c:pt idx="78">
                  <c:v>1886.5417</c:v>
                </c:pt>
                <c:pt idx="79">
                  <c:v>1886.625</c:v>
                </c:pt>
                <c:pt idx="80">
                  <c:v>1886.7083</c:v>
                </c:pt>
                <c:pt idx="81">
                  <c:v>1886.7917</c:v>
                </c:pt>
                <c:pt idx="82">
                  <c:v>1886.875</c:v>
                </c:pt>
                <c:pt idx="83">
                  <c:v>1886.9583</c:v>
                </c:pt>
                <c:pt idx="84">
                  <c:v>1887.0417</c:v>
                </c:pt>
                <c:pt idx="85">
                  <c:v>1887.125</c:v>
                </c:pt>
                <c:pt idx="86">
                  <c:v>1887.2083</c:v>
                </c:pt>
                <c:pt idx="87">
                  <c:v>1887.2917</c:v>
                </c:pt>
                <c:pt idx="88">
                  <c:v>1887.375</c:v>
                </c:pt>
                <c:pt idx="89">
                  <c:v>1887.4583</c:v>
                </c:pt>
                <c:pt idx="90">
                  <c:v>1887.5417</c:v>
                </c:pt>
                <c:pt idx="91">
                  <c:v>1887.625</c:v>
                </c:pt>
                <c:pt idx="92">
                  <c:v>1887.7083</c:v>
                </c:pt>
                <c:pt idx="93">
                  <c:v>1887.7917</c:v>
                </c:pt>
                <c:pt idx="94">
                  <c:v>1887.875</c:v>
                </c:pt>
                <c:pt idx="95">
                  <c:v>1887.9583</c:v>
                </c:pt>
                <c:pt idx="96">
                  <c:v>1888.0417</c:v>
                </c:pt>
                <c:pt idx="97">
                  <c:v>1888.125</c:v>
                </c:pt>
                <c:pt idx="98">
                  <c:v>1888.2083</c:v>
                </c:pt>
                <c:pt idx="99">
                  <c:v>1888.2917</c:v>
                </c:pt>
                <c:pt idx="100">
                  <c:v>1888.375</c:v>
                </c:pt>
                <c:pt idx="101">
                  <c:v>1888.4583</c:v>
                </c:pt>
                <c:pt idx="102">
                  <c:v>1888.5417</c:v>
                </c:pt>
                <c:pt idx="103">
                  <c:v>1888.625</c:v>
                </c:pt>
                <c:pt idx="104">
                  <c:v>1888.7083</c:v>
                </c:pt>
                <c:pt idx="105">
                  <c:v>1888.7917</c:v>
                </c:pt>
                <c:pt idx="106">
                  <c:v>1888.875</c:v>
                </c:pt>
                <c:pt idx="107">
                  <c:v>1888.9583</c:v>
                </c:pt>
                <c:pt idx="108">
                  <c:v>1889.0417</c:v>
                </c:pt>
                <c:pt idx="109">
                  <c:v>1889.125</c:v>
                </c:pt>
                <c:pt idx="110">
                  <c:v>1889.2083</c:v>
                </c:pt>
                <c:pt idx="111">
                  <c:v>1889.2917</c:v>
                </c:pt>
                <c:pt idx="112">
                  <c:v>1889.375</c:v>
                </c:pt>
                <c:pt idx="113">
                  <c:v>1889.4583</c:v>
                </c:pt>
                <c:pt idx="114">
                  <c:v>1889.5417</c:v>
                </c:pt>
                <c:pt idx="115">
                  <c:v>1889.625</c:v>
                </c:pt>
                <c:pt idx="116">
                  <c:v>1889.7083</c:v>
                </c:pt>
                <c:pt idx="117">
                  <c:v>1889.7917</c:v>
                </c:pt>
                <c:pt idx="118">
                  <c:v>1889.875</c:v>
                </c:pt>
                <c:pt idx="119">
                  <c:v>1889.9583</c:v>
                </c:pt>
                <c:pt idx="120">
                  <c:v>1890.0417</c:v>
                </c:pt>
                <c:pt idx="121">
                  <c:v>1890.125</c:v>
                </c:pt>
                <c:pt idx="122">
                  <c:v>1890.2083</c:v>
                </c:pt>
                <c:pt idx="123">
                  <c:v>1890.2917</c:v>
                </c:pt>
                <c:pt idx="124">
                  <c:v>1890.375</c:v>
                </c:pt>
                <c:pt idx="125">
                  <c:v>1890.4583</c:v>
                </c:pt>
                <c:pt idx="126">
                  <c:v>1890.5417</c:v>
                </c:pt>
                <c:pt idx="127">
                  <c:v>1890.625</c:v>
                </c:pt>
                <c:pt idx="128">
                  <c:v>1890.7083</c:v>
                </c:pt>
                <c:pt idx="129">
                  <c:v>1890.7917</c:v>
                </c:pt>
                <c:pt idx="130">
                  <c:v>1890.875</c:v>
                </c:pt>
                <c:pt idx="131">
                  <c:v>1890.9583</c:v>
                </c:pt>
                <c:pt idx="132">
                  <c:v>1891.0417</c:v>
                </c:pt>
                <c:pt idx="133">
                  <c:v>1891.125</c:v>
                </c:pt>
                <c:pt idx="134">
                  <c:v>1891.2083</c:v>
                </c:pt>
                <c:pt idx="135">
                  <c:v>1891.2917</c:v>
                </c:pt>
                <c:pt idx="136">
                  <c:v>1891.375</c:v>
                </c:pt>
                <c:pt idx="137">
                  <c:v>1891.4583</c:v>
                </c:pt>
                <c:pt idx="138">
                  <c:v>1891.5417</c:v>
                </c:pt>
                <c:pt idx="139">
                  <c:v>1891.625</c:v>
                </c:pt>
                <c:pt idx="140">
                  <c:v>1891.7083</c:v>
                </c:pt>
                <c:pt idx="141">
                  <c:v>1891.7917</c:v>
                </c:pt>
                <c:pt idx="142">
                  <c:v>1891.875</c:v>
                </c:pt>
                <c:pt idx="143">
                  <c:v>1891.9583</c:v>
                </c:pt>
                <c:pt idx="144">
                  <c:v>1892.0417</c:v>
                </c:pt>
                <c:pt idx="145">
                  <c:v>1892.125</c:v>
                </c:pt>
                <c:pt idx="146">
                  <c:v>1892.2083</c:v>
                </c:pt>
                <c:pt idx="147">
                  <c:v>1892.2917</c:v>
                </c:pt>
                <c:pt idx="148">
                  <c:v>1892.375</c:v>
                </c:pt>
                <c:pt idx="149">
                  <c:v>1892.4583</c:v>
                </c:pt>
                <c:pt idx="150">
                  <c:v>1892.5417</c:v>
                </c:pt>
                <c:pt idx="151">
                  <c:v>1892.625</c:v>
                </c:pt>
                <c:pt idx="152">
                  <c:v>1892.7083</c:v>
                </c:pt>
                <c:pt idx="153">
                  <c:v>1892.7917</c:v>
                </c:pt>
                <c:pt idx="154">
                  <c:v>1892.875</c:v>
                </c:pt>
                <c:pt idx="155">
                  <c:v>1892.9583</c:v>
                </c:pt>
                <c:pt idx="156">
                  <c:v>1893.0417</c:v>
                </c:pt>
                <c:pt idx="157">
                  <c:v>1893.125</c:v>
                </c:pt>
                <c:pt idx="158">
                  <c:v>1893.2083</c:v>
                </c:pt>
                <c:pt idx="159">
                  <c:v>1893.2917</c:v>
                </c:pt>
                <c:pt idx="160">
                  <c:v>1893.375</c:v>
                </c:pt>
                <c:pt idx="161">
                  <c:v>1893.4583</c:v>
                </c:pt>
                <c:pt idx="162">
                  <c:v>1893.5417</c:v>
                </c:pt>
                <c:pt idx="163">
                  <c:v>1893.625</c:v>
                </c:pt>
                <c:pt idx="164">
                  <c:v>1893.7083</c:v>
                </c:pt>
                <c:pt idx="165">
                  <c:v>1893.7917</c:v>
                </c:pt>
                <c:pt idx="166">
                  <c:v>1893.875</c:v>
                </c:pt>
                <c:pt idx="167">
                  <c:v>1893.9583</c:v>
                </c:pt>
                <c:pt idx="168">
                  <c:v>1894.0417</c:v>
                </c:pt>
                <c:pt idx="169">
                  <c:v>1894.125</c:v>
                </c:pt>
                <c:pt idx="170">
                  <c:v>1894.2083</c:v>
                </c:pt>
                <c:pt idx="171">
                  <c:v>1894.2917</c:v>
                </c:pt>
                <c:pt idx="172">
                  <c:v>1894.375</c:v>
                </c:pt>
                <c:pt idx="173">
                  <c:v>1894.4583</c:v>
                </c:pt>
                <c:pt idx="174">
                  <c:v>1894.5417</c:v>
                </c:pt>
                <c:pt idx="175">
                  <c:v>1894.625</c:v>
                </c:pt>
                <c:pt idx="176">
                  <c:v>1894.7083</c:v>
                </c:pt>
                <c:pt idx="177">
                  <c:v>1894.7917</c:v>
                </c:pt>
                <c:pt idx="178">
                  <c:v>1894.875</c:v>
                </c:pt>
                <c:pt idx="179">
                  <c:v>1894.9583</c:v>
                </c:pt>
                <c:pt idx="180">
                  <c:v>1895.0417</c:v>
                </c:pt>
                <c:pt idx="181">
                  <c:v>1895.125</c:v>
                </c:pt>
                <c:pt idx="182">
                  <c:v>1895.2083</c:v>
                </c:pt>
                <c:pt idx="183">
                  <c:v>1895.2917</c:v>
                </c:pt>
                <c:pt idx="184">
                  <c:v>1895.375</c:v>
                </c:pt>
                <c:pt idx="185">
                  <c:v>1895.4583</c:v>
                </c:pt>
                <c:pt idx="186">
                  <c:v>1895.5417</c:v>
                </c:pt>
                <c:pt idx="187">
                  <c:v>1895.625</c:v>
                </c:pt>
                <c:pt idx="188">
                  <c:v>1895.7083</c:v>
                </c:pt>
                <c:pt idx="189">
                  <c:v>1895.7917</c:v>
                </c:pt>
                <c:pt idx="190">
                  <c:v>1895.875</c:v>
                </c:pt>
                <c:pt idx="191">
                  <c:v>1895.9583</c:v>
                </c:pt>
                <c:pt idx="192">
                  <c:v>1896.0417</c:v>
                </c:pt>
                <c:pt idx="193">
                  <c:v>1896.125</c:v>
                </c:pt>
                <c:pt idx="194">
                  <c:v>1896.2083</c:v>
                </c:pt>
                <c:pt idx="195">
                  <c:v>1896.2917</c:v>
                </c:pt>
                <c:pt idx="196">
                  <c:v>1896.375</c:v>
                </c:pt>
                <c:pt idx="197">
                  <c:v>1896.4583</c:v>
                </c:pt>
                <c:pt idx="198">
                  <c:v>1896.5417</c:v>
                </c:pt>
                <c:pt idx="199">
                  <c:v>1896.625</c:v>
                </c:pt>
                <c:pt idx="200">
                  <c:v>1896.7083</c:v>
                </c:pt>
                <c:pt idx="201">
                  <c:v>1896.7917</c:v>
                </c:pt>
                <c:pt idx="202">
                  <c:v>1896.875</c:v>
                </c:pt>
                <c:pt idx="203">
                  <c:v>1896.9583</c:v>
                </c:pt>
                <c:pt idx="204">
                  <c:v>1897.0417</c:v>
                </c:pt>
                <c:pt idx="205">
                  <c:v>1897.125</c:v>
                </c:pt>
                <c:pt idx="206">
                  <c:v>1897.2083</c:v>
                </c:pt>
                <c:pt idx="207">
                  <c:v>1897.2917</c:v>
                </c:pt>
                <c:pt idx="208">
                  <c:v>1897.375</c:v>
                </c:pt>
                <c:pt idx="209">
                  <c:v>1897.4583</c:v>
                </c:pt>
                <c:pt idx="210">
                  <c:v>1897.5417</c:v>
                </c:pt>
                <c:pt idx="211">
                  <c:v>1897.625</c:v>
                </c:pt>
                <c:pt idx="212">
                  <c:v>1897.7083</c:v>
                </c:pt>
                <c:pt idx="213">
                  <c:v>1897.7917</c:v>
                </c:pt>
                <c:pt idx="214">
                  <c:v>1897.875</c:v>
                </c:pt>
                <c:pt idx="215">
                  <c:v>1897.9583</c:v>
                </c:pt>
                <c:pt idx="216">
                  <c:v>1898.0417</c:v>
                </c:pt>
                <c:pt idx="217">
                  <c:v>1898.125</c:v>
                </c:pt>
                <c:pt idx="218">
                  <c:v>1898.2083</c:v>
                </c:pt>
                <c:pt idx="219">
                  <c:v>1898.2917</c:v>
                </c:pt>
                <c:pt idx="220">
                  <c:v>1898.375</c:v>
                </c:pt>
                <c:pt idx="221">
                  <c:v>1898.4583</c:v>
                </c:pt>
                <c:pt idx="222">
                  <c:v>1898.5417</c:v>
                </c:pt>
                <c:pt idx="223">
                  <c:v>1898.625</c:v>
                </c:pt>
                <c:pt idx="224">
                  <c:v>1898.7083</c:v>
                </c:pt>
                <c:pt idx="225">
                  <c:v>1898.7917</c:v>
                </c:pt>
                <c:pt idx="226">
                  <c:v>1898.875</c:v>
                </c:pt>
                <c:pt idx="227">
                  <c:v>1898.9583</c:v>
                </c:pt>
                <c:pt idx="228">
                  <c:v>1899.0417</c:v>
                </c:pt>
                <c:pt idx="229">
                  <c:v>1899.125</c:v>
                </c:pt>
                <c:pt idx="230">
                  <c:v>1899.2083</c:v>
                </c:pt>
                <c:pt idx="231">
                  <c:v>1899.2917</c:v>
                </c:pt>
                <c:pt idx="232">
                  <c:v>1899.375</c:v>
                </c:pt>
                <c:pt idx="233">
                  <c:v>1899.4583</c:v>
                </c:pt>
                <c:pt idx="234">
                  <c:v>1899.5417</c:v>
                </c:pt>
                <c:pt idx="235">
                  <c:v>1899.625</c:v>
                </c:pt>
                <c:pt idx="236">
                  <c:v>1899.7083</c:v>
                </c:pt>
                <c:pt idx="237">
                  <c:v>1899.7917</c:v>
                </c:pt>
                <c:pt idx="238">
                  <c:v>1899.875</c:v>
                </c:pt>
                <c:pt idx="239">
                  <c:v>1899.9583</c:v>
                </c:pt>
                <c:pt idx="240">
                  <c:v>1900.0417</c:v>
                </c:pt>
                <c:pt idx="241">
                  <c:v>1900.125</c:v>
                </c:pt>
                <c:pt idx="242">
                  <c:v>1900.2083</c:v>
                </c:pt>
                <c:pt idx="243">
                  <c:v>1900.2917</c:v>
                </c:pt>
                <c:pt idx="244">
                  <c:v>1900.375</c:v>
                </c:pt>
                <c:pt idx="245">
                  <c:v>1900.4583</c:v>
                </c:pt>
                <c:pt idx="246">
                  <c:v>1900.5417</c:v>
                </c:pt>
                <c:pt idx="247">
                  <c:v>1900.625</c:v>
                </c:pt>
                <c:pt idx="248">
                  <c:v>1900.7083</c:v>
                </c:pt>
                <c:pt idx="249">
                  <c:v>1900.7917</c:v>
                </c:pt>
                <c:pt idx="250">
                  <c:v>1900.875</c:v>
                </c:pt>
                <c:pt idx="251">
                  <c:v>1900.9583</c:v>
                </c:pt>
                <c:pt idx="252">
                  <c:v>1901.0417</c:v>
                </c:pt>
                <c:pt idx="253">
                  <c:v>1901.125</c:v>
                </c:pt>
                <c:pt idx="254">
                  <c:v>1901.2083</c:v>
                </c:pt>
                <c:pt idx="255">
                  <c:v>1901.2917</c:v>
                </c:pt>
                <c:pt idx="256">
                  <c:v>1901.375</c:v>
                </c:pt>
                <c:pt idx="257">
                  <c:v>1901.4583</c:v>
                </c:pt>
                <c:pt idx="258">
                  <c:v>1901.5417</c:v>
                </c:pt>
                <c:pt idx="259">
                  <c:v>1901.625</c:v>
                </c:pt>
                <c:pt idx="260">
                  <c:v>1901.7083</c:v>
                </c:pt>
                <c:pt idx="261">
                  <c:v>1901.7917</c:v>
                </c:pt>
                <c:pt idx="262">
                  <c:v>1901.875</c:v>
                </c:pt>
                <c:pt idx="263">
                  <c:v>1901.9583</c:v>
                </c:pt>
                <c:pt idx="264">
                  <c:v>1902.0417</c:v>
                </c:pt>
                <c:pt idx="265">
                  <c:v>1902.125</c:v>
                </c:pt>
                <c:pt idx="266">
                  <c:v>1902.2083</c:v>
                </c:pt>
                <c:pt idx="267">
                  <c:v>1902.2917</c:v>
                </c:pt>
                <c:pt idx="268">
                  <c:v>1902.375</c:v>
                </c:pt>
                <c:pt idx="269">
                  <c:v>1902.4583</c:v>
                </c:pt>
                <c:pt idx="270">
                  <c:v>1902.5417</c:v>
                </c:pt>
                <c:pt idx="271">
                  <c:v>1902.625</c:v>
                </c:pt>
                <c:pt idx="272">
                  <c:v>1902.7083</c:v>
                </c:pt>
                <c:pt idx="273">
                  <c:v>1902.7917</c:v>
                </c:pt>
                <c:pt idx="274">
                  <c:v>1902.875</c:v>
                </c:pt>
                <c:pt idx="275">
                  <c:v>1902.9583</c:v>
                </c:pt>
                <c:pt idx="276">
                  <c:v>1903.0417</c:v>
                </c:pt>
                <c:pt idx="277">
                  <c:v>1903.125</c:v>
                </c:pt>
                <c:pt idx="278">
                  <c:v>1903.2083</c:v>
                </c:pt>
                <c:pt idx="279">
                  <c:v>1903.2917</c:v>
                </c:pt>
                <c:pt idx="280">
                  <c:v>1903.375</c:v>
                </c:pt>
                <c:pt idx="281">
                  <c:v>1903.4583</c:v>
                </c:pt>
                <c:pt idx="282">
                  <c:v>1903.5417</c:v>
                </c:pt>
                <c:pt idx="283">
                  <c:v>1903.625</c:v>
                </c:pt>
                <c:pt idx="284">
                  <c:v>1903.7083</c:v>
                </c:pt>
                <c:pt idx="285">
                  <c:v>1903.7917</c:v>
                </c:pt>
                <c:pt idx="286">
                  <c:v>1903.875</c:v>
                </c:pt>
                <c:pt idx="287">
                  <c:v>1903.9583</c:v>
                </c:pt>
                <c:pt idx="288">
                  <c:v>1904.0417</c:v>
                </c:pt>
                <c:pt idx="289">
                  <c:v>1904.125</c:v>
                </c:pt>
                <c:pt idx="290">
                  <c:v>1904.2083</c:v>
                </c:pt>
                <c:pt idx="291">
                  <c:v>1904.2917</c:v>
                </c:pt>
                <c:pt idx="292">
                  <c:v>1904.375</c:v>
                </c:pt>
                <c:pt idx="293">
                  <c:v>1904.4583</c:v>
                </c:pt>
                <c:pt idx="294">
                  <c:v>1904.5417</c:v>
                </c:pt>
                <c:pt idx="295">
                  <c:v>1904.625</c:v>
                </c:pt>
                <c:pt idx="296">
                  <c:v>1904.7083</c:v>
                </c:pt>
                <c:pt idx="297">
                  <c:v>1904.7917</c:v>
                </c:pt>
                <c:pt idx="298">
                  <c:v>1904.875</c:v>
                </c:pt>
                <c:pt idx="299">
                  <c:v>1904.9583</c:v>
                </c:pt>
                <c:pt idx="300">
                  <c:v>1905.0417</c:v>
                </c:pt>
                <c:pt idx="301">
                  <c:v>1905.125</c:v>
                </c:pt>
                <c:pt idx="302">
                  <c:v>1905.2083</c:v>
                </c:pt>
                <c:pt idx="303">
                  <c:v>1905.2917</c:v>
                </c:pt>
                <c:pt idx="304">
                  <c:v>1905.375</c:v>
                </c:pt>
                <c:pt idx="305">
                  <c:v>1905.4583</c:v>
                </c:pt>
                <c:pt idx="306">
                  <c:v>1905.5417</c:v>
                </c:pt>
                <c:pt idx="307">
                  <c:v>1905.625</c:v>
                </c:pt>
                <c:pt idx="308">
                  <c:v>1905.7083</c:v>
                </c:pt>
                <c:pt idx="309">
                  <c:v>1905.7917</c:v>
                </c:pt>
                <c:pt idx="310">
                  <c:v>1905.875</c:v>
                </c:pt>
                <c:pt idx="311">
                  <c:v>1905.9583</c:v>
                </c:pt>
                <c:pt idx="312">
                  <c:v>1906.0417</c:v>
                </c:pt>
                <c:pt idx="313">
                  <c:v>1906.125</c:v>
                </c:pt>
                <c:pt idx="314">
                  <c:v>1906.2083</c:v>
                </c:pt>
                <c:pt idx="315">
                  <c:v>1906.2917</c:v>
                </c:pt>
                <c:pt idx="316">
                  <c:v>1906.375</c:v>
                </c:pt>
                <c:pt idx="317">
                  <c:v>1906.4583</c:v>
                </c:pt>
                <c:pt idx="318">
                  <c:v>1906.5417</c:v>
                </c:pt>
                <c:pt idx="319">
                  <c:v>1906.625</c:v>
                </c:pt>
                <c:pt idx="320">
                  <c:v>1906.7083</c:v>
                </c:pt>
                <c:pt idx="321">
                  <c:v>1906.7917</c:v>
                </c:pt>
                <c:pt idx="322">
                  <c:v>1906.875</c:v>
                </c:pt>
                <c:pt idx="323">
                  <c:v>1906.9583</c:v>
                </c:pt>
                <c:pt idx="324">
                  <c:v>1907.0417</c:v>
                </c:pt>
                <c:pt idx="325">
                  <c:v>1907.125</c:v>
                </c:pt>
                <c:pt idx="326">
                  <c:v>1907.2083</c:v>
                </c:pt>
                <c:pt idx="327">
                  <c:v>1907.2917</c:v>
                </c:pt>
                <c:pt idx="328">
                  <c:v>1907.375</c:v>
                </c:pt>
                <c:pt idx="329">
                  <c:v>1907.4583</c:v>
                </c:pt>
                <c:pt idx="330">
                  <c:v>1907.5417</c:v>
                </c:pt>
                <c:pt idx="331">
                  <c:v>1907.625</c:v>
                </c:pt>
                <c:pt idx="332">
                  <c:v>1907.7083</c:v>
                </c:pt>
                <c:pt idx="333">
                  <c:v>1907.7917</c:v>
                </c:pt>
                <c:pt idx="334">
                  <c:v>1907.875</c:v>
                </c:pt>
                <c:pt idx="335">
                  <c:v>1907.9583</c:v>
                </c:pt>
                <c:pt idx="336">
                  <c:v>1908.0417</c:v>
                </c:pt>
                <c:pt idx="337">
                  <c:v>1908.125</c:v>
                </c:pt>
                <c:pt idx="338">
                  <c:v>1908.2083</c:v>
                </c:pt>
                <c:pt idx="339">
                  <c:v>1908.2917</c:v>
                </c:pt>
                <c:pt idx="340">
                  <c:v>1908.375</c:v>
                </c:pt>
                <c:pt idx="341">
                  <c:v>1908.4583</c:v>
                </c:pt>
                <c:pt idx="342">
                  <c:v>1908.5417</c:v>
                </c:pt>
                <c:pt idx="343">
                  <c:v>1908.625</c:v>
                </c:pt>
                <c:pt idx="344">
                  <c:v>1908.7083</c:v>
                </c:pt>
                <c:pt idx="345">
                  <c:v>1908.7917</c:v>
                </c:pt>
                <c:pt idx="346">
                  <c:v>1908.875</c:v>
                </c:pt>
                <c:pt idx="347">
                  <c:v>1908.9583</c:v>
                </c:pt>
                <c:pt idx="348">
                  <c:v>1909.0417</c:v>
                </c:pt>
                <c:pt idx="349">
                  <c:v>1909.125</c:v>
                </c:pt>
                <c:pt idx="350">
                  <c:v>1909.2083</c:v>
                </c:pt>
                <c:pt idx="351">
                  <c:v>1909.2917</c:v>
                </c:pt>
                <c:pt idx="352">
                  <c:v>1909.375</c:v>
                </c:pt>
                <c:pt idx="353">
                  <c:v>1909.4583</c:v>
                </c:pt>
                <c:pt idx="354">
                  <c:v>1909.5417</c:v>
                </c:pt>
                <c:pt idx="355">
                  <c:v>1909.625</c:v>
                </c:pt>
                <c:pt idx="356">
                  <c:v>1909.7083</c:v>
                </c:pt>
                <c:pt idx="357">
                  <c:v>1909.7917</c:v>
                </c:pt>
                <c:pt idx="358">
                  <c:v>1909.875</c:v>
                </c:pt>
                <c:pt idx="359">
                  <c:v>1909.9583</c:v>
                </c:pt>
                <c:pt idx="360">
                  <c:v>1910.0417</c:v>
                </c:pt>
                <c:pt idx="361">
                  <c:v>1910.125</c:v>
                </c:pt>
                <c:pt idx="362">
                  <c:v>1910.2083</c:v>
                </c:pt>
                <c:pt idx="363">
                  <c:v>1910.2917</c:v>
                </c:pt>
                <c:pt idx="364">
                  <c:v>1910.375</c:v>
                </c:pt>
                <c:pt idx="365">
                  <c:v>1910.4583</c:v>
                </c:pt>
                <c:pt idx="366">
                  <c:v>1910.5417</c:v>
                </c:pt>
                <c:pt idx="367">
                  <c:v>1910.625</c:v>
                </c:pt>
                <c:pt idx="368">
                  <c:v>1910.7083</c:v>
                </c:pt>
                <c:pt idx="369">
                  <c:v>1910.7917</c:v>
                </c:pt>
                <c:pt idx="370">
                  <c:v>1910.875</c:v>
                </c:pt>
                <c:pt idx="371">
                  <c:v>1910.9583</c:v>
                </c:pt>
                <c:pt idx="372">
                  <c:v>1911.0417</c:v>
                </c:pt>
                <c:pt idx="373">
                  <c:v>1911.125</c:v>
                </c:pt>
                <c:pt idx="374">
                  <c:v>1911.2083</c:v>
                </c:pt>
                <c:pt idx="375">
                  <c:v>1911.2917</c:v>
                </c:pt>
                <c:pt idx="376">
                  <c:v>1911.375</c:v>
                </c:pt>
                <c:pt idx="377">
                  <c:v>1911.4583</c:v>
                </c:pt>
                <c:pt idx="378">
                  <c:v>1911.5417</c:v>
                </c:pt>
                <c:pt idx="379">
                  <c:v>1911.625</c:v>
                </c:pt>
                <c:pt idx="380">
                  <c:v>1911.7083</c:v>
                </c:pt>
                <c:pt idx="381">
                  <c:v>1911.7917</c:v>
                </c:pt>
                <c:pt idx="382">
                  <c:v>1911.875</c:v>
                </c:pt>
                <c:pt idx="383">
                  <c:v>1911.9583</c:v>
                </c:pt>
                <c:pt idx="384">
                  <c:v>1912.0417</c:v>
                </c:pt>
                <c:pt idx="385">
                  <c:v>1912.125</c:v>
                </c:pt>
                <c:pt idx="386">
                  <c:v>1912.2083</c:v>
                </c:pt>
                <c:pt idx="387">
                  <c:v>1912.2917</c:v>
                </c:pt>
                <c:pt idx="388">
                  <c:v>1912.375</c:v>
                </c:pt>
                <c:pt idx="389">
                  <c:v>1912.4583</c:v>
                </c:pt>
                <c:pt idx="390">
                  <c:v>1912.5417</c:v>
                </c:pt>
                <c:pt idx="391">
                  <c:v>1912.625</c:v>
                </c:pt>
                <c:pt idx="392">
                  <c:v>1912.7083</c:v>
                </c:pt>
                <c:pt idx="393">
                  <c:v>1912.7917</c:v>
                </c:pt>
                <c:pt idx="394">
                  <c:v>1912.875</c:v>
                </c:pt>
                <c:pt idx="395">
                  <c:v>1912.9583</c:v>
                </c:pt>
                <c:pt idx="396">
                  <c:v>1913.0417</c:v>
                </c:pt>
                <c:pt idx="397">
                  <c:v>1913.125</c:v>
                </c:pt>
                <c:pt idx="398">
                  <c:v>1913.2083</c:v>
                </c:pt>
                <c:pt idx="399">
                  <c:v>1913.2917</c:v>
                </c:pt>
                <c:pt idx="400">
                  <c:v>1913.375</c:v>
                </c:pt>
                <c:pt idx="401">
                  <c:v>1913.4583</c:v>
                </c:pt>
                <c:pt idx="402">
                  <c:v>1913.5417</c:v>
                </c:pt>
                <c:pt idx="403">
                  <c:v>1913.625</c:v>
                </c:pt>
                <c:pt idx="404">
                  <c:v>1913.7083</c:v>
                </c:pt>
                <c:pt idx="405">
                  <c:v>1913.7917</c:v>
                </c:pt>
                <c:pt idx="406">
                  <c:v>1913.875</c:v>
                </c:pt>
                <c:pt idx="407">
                  <c:v>1913.9583</c:v>
                </c:pt>
                <c:pt idx="408">
                  <c:v>1914.0417</c:v>
                </c:pt>
                <c:pt idx="409">
                  <c:v>1914.125</c:v>
                </c:pt>
                <c:pt idx="410">
                  <c:v>1914.2083</c:v>
                </c:pt>
                <c:pt idx="411">
                  <c:v>1914.2917</c:v>
                </c:pt>
                <c:pt idx="412">
                  <c:v>1914.375</c:v>
                </c:pt>
                <c:pt idx="413">
                  <c:v>1914.4583</c:v>
                </c:pt>
                <c:pt idx="414">
                  <c:v>1914.5417</c:v>
                </c:pt>
                <c:pt idx="415">
                  <c:v>1914.625</c:v>
                </c:pt>
                <c:pt idx="416">
                  <c:v>1914.7083</c:v>
                </c:pt>
                <c:pt idx="417">
                  <c:v>1914.7917</c:v>
                </c:pt>
                <c:pt idx="418">
                  <c:v>1914.875</c:v>
                </c:pt>
                <c:pt idx="419">
                  <c:v>1914.9583</c:v>
                </c:pt>
                <c:pt idx="420">
                  <c:v>1915.0417</c:v>
                </c:pt>
                <c:pt idx="421">
                  <c:v>1915.125</c:v>
                </c:pt>
                <c:pt idx="422">
                  <c:v>1915.2083</c:v>
                </c:pt>
                <c:pt idx="423">
                  <c:v>1915.2917</c:v>
                </c:pt>
                <c:pt idx="424">
                  <c:v>1915.375</c:v>
                </c:pt>
                <c:pt idx="425">
                  <c:v>1915.4583</c:v>
                </c:pt>
                <c:pt idx="426">
                  <c:v>1915.5417</c:v>
                </c:pt>
                <c:pt idx="427">
                  <c:v>1915.625</c:v>
                </c:pt>
                <c:pt idx="428">
                  <c:v>1915.7083</c:v>
                </c:pt>
                <c:pt idx="429">
                  <c:v>1915.7917</c:v>
                </c:pt>
                <c:pt idx="430">
                  <c:v>1915.875</c:v>
                </c:pt>
                <c:pt idx="431">
                  <c:v>1915.9583</c:v>
                </c:pt>
                <c:pt idx="432">
                  <c:v>1916.0417</c:v>
                </c:pt>
                <c:pt idx="433">
                  <c:v>1916.125</c:v>
                </c:pt>
                <c:pt idx="434">
                  <c:v>1916.2083</c:v>
                </c:pt>
                <c:pt idx="435">
                  <c:v>1916.2917</c:v>
                </c:pt>
                <c:pt idx="436">
                  <c:v>1916.375</c:v>
                </c:pt>
                <c:pt idx="437">
                  <c:v>1916.4583</c:v>
                </c:pt>
                <c:pt idx="438">
                  <c:v>1916.5417</c:v>
                </c:pt>
                <c:pt idx="439">
                  <c:v>1916.625</c:v>
                </c:pt>
                <c:pt idx="440">
                  <c:v>1916.7083</c:v>
                </c:pt>
                <c:pt idx="441">
                  <c:v>1916.7917</c:v>
                </c:pt>
                <c:pt idx="442">
                  <c:v>1916.875</c:v>
                </c:pt>
                <c:pt idx="443">
                  <c:v>1916.9583</c:v>
                </c:pt>
                <c:pt idx="444">
                  <c:v>1917.0417</c:v>
                </c:pt>
                <c:pt idx="445">
                  <c:v>1917.125</c:v>
                </c:pt>
                <c:pt idx="446">
                  <c:v>1917.2083</c:v>
                </c:pt>
                <c:pt idx="447">
                  <c:v>1917.2917</c:v>
                </c:pt>
                <c:pt idx="448">
                  <c:v>1917.375</c:v>
                </c:pt>
                <c:pt idx="449">
                  <c:v>1917.4583</c:v>
                </c:pt>
                <c:pt idx="450">
                  <c:v>1917.5417</c:v>
                </c:pt>
                <c:pt idx="451">
                  <c:v>1917.625</c:v>
                </c:pt>
                <c:pt idx="452">
                  <c:v>1917.7083</c:v>
                </c:pt>
                <c:pt idx="453">
                  <c:v>1917.7917</c:v>
                </c:pt>
                <c:pt idx="454">
                  <c:v>1917.875</c:v>
                </c:pt>
                <c:pt idx="455">
                  <c:v>1917.9583</c:v>
                </c:pt>
                <c:pt idx="456">
                  <c:v>1918.0417</c:v>
                </c:pt>
                <c:pt idx="457">
                  <c:v>1918.125</c:v>
                </c:pt>
                <c:pt idx="458">
                  <c:v>1918.2083</c:v>
                </c:pt>
                <c:pt idx="459">
                  <c:v>1918.2917</c:v>
                </c:pt>
                <c:pt idx="460">
                  <c:v>1918.375</c:v>
                </c:pt>
                <c:pt idx="461">
                  <c:v>1918.4583</c:v>
                </c:pt>
                <c:pt idx="462">
                  <c:v>1918.5417</c:v>
                </c:pt>
                <c:pt idx="463">
                  <c:v>1918.625</c:v>
                </c:pt>
                <c:pt idx="464">
                  <c:v>1918.7083</c:v>
                </c:pt>
                <c:pt idx="465">
                  <c:v>1918.7917</c:v>
                </c:pt>
                <c:pt idx="466">
                  <c:v>1918.875</c:v>
                </c:pt>
                <c:pt idx="467">
                  <c:v>1918.9583</c:v>
                </c:pt>
                <c:pt idx="468">
                  <c:v>1919.0417</c:v>
                </c:pt>
                <c:pt idx="469">
                  <c:v>1919.125</c:v>
                </c:pt>
                <c:pt idx="470">
                  <c:v>1919.2083</c:v>
                </c:pt>
                <c:pt idx="471">
                  <c:v>1919.2917</c:v>
                </c:pt>
                <c:pt idx="472">
                  <c:v>1919.375</c:v>
                </c:pt>
                <c:pt idx="473">
                  <c:v>1919.4583</c:v>
                </c:pt>
                <c:pt idx="474">
                  <c:v>1919.5417</c:v>
                </c:pt>
                <c:pt idx="475">
                  <c:v>1919.625</c:v>
                </c:pt>
                <c:pt idx="476">
                  <c:v>1919.7083</c:v>
                </c:pt>
                <c:pt idx="477">
                  <c:v>1919.7917</c:v>
                </c:pt>
                <c:pt idx="478">
                  <c:v>1919.875</c:v>
                </c:pt>
                <c:pt idx="479">
                  <c:v>1919.9583</c:v>
                </c:pt>
                <c:pt idx="480">
                  <c:v>1920.0417</c:v>
                </c:pt>
                <c:pt idx="481">
                  <c:v>1920.125</c:v>
                </c:pt>
                <c:pt idx="482">
                  <c:v>1920.2083</c:v>
                </c:pt>
                <c:pt idx="483">
                  <c:v>1920.2917</c:v>
                </c:pt>
                <c:pt idx="484">
                  <c:v>1920.375</c:v>
                </c:pt>
                <c:pt idx="485">
                  <c:v>1920.4583</c:v>
                </c:pt>
                <c:pt idx="486">
                  <c:v>1920.5417</c:v>
                </c:pt>
                <c:pt idx="487">
                  <c:v>1920.625</c:v>
                </c:pt>
                <c:pt idx="488">
                  <c:v>1920.7083</c:v>
                </c:pt>
                <c:pt idx="489">
                  <c:v>1920.7917</c:v>
                </c:pt>
                <c:pt idx="490">
                  <c:v>1920.875</c:v>
                </c:pt>
                <c:pt idx="491">
                  <c:v>1920.9583</c:v>
                </c:pt>
                <c:pt idx="492">
                  <c:v>1921.0417</c:v>
                </c:pt>
                <c:pt idx="493">
                  <c:v>1921.125</c:v>
                </c:pt>
                <c:pt idx="494">
                  <c:v>1921.2083</c:v>
                </c:pt>
                <c:pt idx="495">
                  <c:v>1921.2917</c:v>
                </c:pt>
                <c:pt idx="496">
                  <c:v>1921.375</c:v>
                </c:pt>
                <c:pt idx="497">
                  <c:v>1921.4583</c:v>
                </c:pt>
                <c:pt idx="498">
                  <c:v>1921.5417</c:v>
                </c:pt>
                <c:pt idx="499">
                  <c:v>1921.625</c:v>
                </c:pt>
                <c:pt idx="500">
                  <c:v>1921.7083</c:v>
                </c:pt>
                <c:pt idx="501">
                  <c:v>1921.7917</c:v>
                </c:pt>
                <c:pt idx="502">
                  <c:v>1921.875</c:v>
                </c:pt>
                <c:pt idx="503">
                  <c:v>1921.9583</c:v>
                </c:pt>
                <c:pt idx="504">
                  <c:v>1922.0417</c:v>
                </c:pt>
                <c:pt idx="505">
                  <c:v>1922.125</c:v>
                </c:pt>
                <c:pt idx="506">
                  <c:v>1922.2083</c:v>
                </c:pt>
                <c:pt idx="507">
                  <c:v>1922.2917</c:v>
                </c:pt>
                <c:pt idx="508">
                  <c:v>1922.375</c:v>
                </c:pt>
                <c:pt idx="509">
                  <c:v>1922.4583</c:v>
                </c:pt>
                <c:pt idx="510">
                  <c:v>1922.5417</c:v>
                </c:pt>
                <c:pt idx="511">
                  <c:v>1922.625</c:v>
                </c:pt>
                <c:pt idx="512">
                  <c:v>1922.7083</c:v>
                </c:pt>
                <c:pt idx="513">
                  <c:v>1922.7917</c:v>
                </c:pt>
                <c:pt idx="514">
                  <c:v>1922.875</c:v>
                </c:pt>
                <c:pt idx="515">
                  <c:v>1922.9583</c:v>
                </c:pt>
                <c:pt idx="516">
                  <c:v>1923.0417</c:v>
                </c:pt>
                <c:pt idx="517">
                  <c:v>1923.125</c:v>
                </c:pt>
                <c:pt idx="518">
                  <c:v>1923.2083</c:v>
                </c:pt>
                <c:pt idx="519">
                  <c:v>1923.2917</c:v>
                </c:pt>
                <c:pt idx="520">
                  <c:v>1923.375</c:v>
                </c:pt>
                <c:pt idx="521">
                  <c:v>1923.4583</c:v>
                </c:pt>
                <c:pt idx="522">
                  <c:v>1923.5417</c:v>
                </c:pt>
                <c:pt idx="523">
                  <c:v>1923.625</c:v>
                </c:pt>
                <c:pt idx="524">
                  <c:v>1923.7083</c:v>
                </c:pt>
                <c:pt idx="525">
                  <c:v>1923.7917</c:v>
                </c:pt>
                <c:pt idx="526">
                  <c:v>1923.875</c:v>
                </c:pt>
                <c:pt idx="527">
                  <c:v>1923.9583</c:v>
                </c:pt>
                <c:pt idx="528">
                  <c:v>1924.0417</c:v>
                </c:pt>
                <c:pt idx="529">
                  <c:v>1924.125</c:v>
                </c:pt>
                <c:pt idx="530">
                  <c:v>1924.2083</c:v>
                </c:pt>
                <c:pt idx="531">
                  <c:v>1924.2917</c:v>
                </c:pt>
                <c:pt idx="532">
                  <c:v>1924.375</c:v>
                </c:pt>
                <c:pt idx="533">
                  <c:v>1924.4583</c:v>
                </c:pt>
                <c:pt idx="534">
                  <c:v>1924.5417</c:v>
                </c:pt>
                <c:pt idx="535">
                  <c:v>1924.625</c:v>
                </c:pt>
                <c:pt idx="536">
                  <c:v>1924.7083</c:v>
                </c:pt>
                <c:pt idx="537">
                  <c:v>1924.7917</c:v>
                </c:pt>
                <c:pt idx="538">
                  <c:v>1924.875</c:v>
                </c:pt>
                <c:pt idx="539">
                  <c:v>1924.9583</c:v>
                </c:pt>
                <c:pt idx="540">
                  <c:v>1925.0417</c:v>
                </c:pt>
                <c:pt idx="541">
                  <c:v>1925.125</c:v>
                </c:pt>
                <c:pt idx="542">
                  <c:v>1925.2083</c:v>
                </c:pt>
                <c:pt idx="543">
                  <c:v>1925.2917</c:v>
                </c:pt>
                <c:pt idx="544">
                  <c:v>1925.375</c:v>
                </c:pt>
                <c:pt idx="545">
                  <c:v>1925.4583</c:v>
                </c:pt>
                <c:pt idx="546">
                  <c:v>1925.5417</c:v>
                </c:pt>
                <c:pt idx="547">
                  <c:v>1925.625</c:v>
                </c:pt>
                <c:pt idx="548">
                  <c:v>1925.7083</c:v>
                </c:pt>
                <c:pt idx="549">
                  <c:v>1925.7917</c:v>
                </c:pt>
                <c:pt idx="550">
                  <c:v>1925.875</c:v>
                </c:pt>
                <c:pt idx="551">
                  <c:v>1925.9583</c:v>
                </c:pt>
                <c:pt idx="552">
                  <c:v>1926.0417</c:v>
                </c:pt>
                <c:pt idx="553">
                  <c:v>1926.125</c:v>
                </c:pt>
                <c:pt idx="554">
                  <c:v>1926.2083</c:v>
                </c:pt>
                <c:pt idx="555">
                  <c:v>1926.2917</c:v>
                </c:pt>
                <c:pt idx="556">
                  <c:v>1926.375</c:v>
                </c:pt>
                <c:pt idx="557">
                  <c:v>1926.4583</c:v>
                </c:pt>
                <c:pt idx="558">
                  <c:v>1926.5417</c:v>
                </c:pt>
                <c:pt idx="559">
                  <c:v>1926.625</c:v>
                </c:pt>
                <c:pt idx="560">
                  <c:v>1926.7083</c:v>
                </c:pt>
                <c:pt idx="561">
                  <c:v>1926.7917</c:v>
                </c:pt>
                <c:pt idx="562">
                  <c:v>1926.875</c:v>
                </c:pt>
                <c:pt idx="563">
                  <c:v>1926.9583</c:v>
                </c:pt>
                <c:pt idx="564">
                  <c:v>1927.0417</c:v>
                </c:pt>
                <c:pt idx="565">
                  <c:v>1927.125</c:v>
                </c:pt>
                <c:pt idx="566">
                  <c:v>1927.2083</c:v>
                </c:pt>
                <c:pt idx="567">
                  <c:v>1927.2917</c:v>
                </c:pt>
                <c:pt idx="568">
                  <c:v>1927.375</c:v>
                </c:pt>
                <c:pt idx="569">
                  <c:v>1927.4583</c:v>
                </c:pt>
                <c:pt idx="570">
                  <c:v>1927.5417</c:v>
                </c:pt>
                <c:pt idx="571">
                  <c:v>1927.625</c:v>
                </c:pt>
                <c:pt idx="572">
                  <c:v>1927.7083</c:v>
                </c:pt>
                <c:pt idx="573">
                  <c:v>1927.7917</c:v>
                </c:pt>
                <c:pt idx="574">
                  <c:v>1927.875</c:v>
                </c:pt>
                <c:pt idx="575">
                  <c:v>1927.9583</c:v>
                </c:pt>
                <c:pt idx="576">
                  <c:v>1928.0417</c:v>
                </c:pt>
                <c:pt idx="577">
                  <c:v>1928.125</c:v>
                </c:pt>
                <c:pt idx="578">
                  <c:v>1928.2083</c:v>
                </c:pt>
                <c:pt idx="579">
                  <c:v>1928.2917</c:v>
                </c:pt>
                <c:pt idx="580">
                  <c:v>1928.375</c:v>
                </c:pt>
                <c:pt idx="581">
                  <c:v>1928.4583</c:v>
                </c:pt>
                <c:pt idx="582">
                  <c:v>1928.5417</c:v>
                </c:pt>
                <c:pt idx="583">
                  <c:v>1928.625</c:v>
                </c:pt>
                <c:pt idx="584">
                  <c:v>1928.7083</c:v>
                </c:pt>
                <c:pt idx="585">
                  <c:v>1928.7917</c:v>
                </c:pt>
                <c:pt idx="586">
                  <c:v>1928.875</c:v>
                </c:pt>
                <c:pt idx="587">
                  <c:v>1928.9583</c:v>
                </c:pt>
                <c:pt idx="588">
                  <c:v>1929.0417</c:v>
                </c:pt>
                <c:pt idx="589">
                  <c:v>1929.125</c:v>
                </c:pt>
                <c:pt idx="590">
                  <c:v>1929.2083</c:v>
                </c:pt>
                <c:pt idx="591">
                  <c:v>1929.2917</c:v>
                </c:pt>
                <c:pt idx="592">
                  <c:v>1929.375</c:v>
                </c:pt>
                <c:pt idx="593">
                  <c:v>1929.4583</c:v>
                </c:pt>
                <c:pt idx="594">
                  <c:v>1929.5417</c:v>
                </c:pt>
                <c:pt idx="595">
                  <c:v>1929.625</c:v>
                </c:pt>
                <c:pt idx="596">
                  <c:v>1929.7083</c:v>
                </c:pt>
                <c:pt idx="597">
                  <c:v>1929.7917</c:v>
                </c:pt>
                <c:pt idx="598">
                  <c:v>1929.875</c:v>
                </c:pt>
                <c:pt idx="599">
                  <c:v>1929.9583</c:v>
                </c:pt>
                <c:pt idx="600">
                  <c:v>1930.0417</c:v>
                </c:pt>
                <c:pt idx="601">
                  <c:v>1930.125</c:v>
                </c:pt>
                <c:pt idx="602">
                  <c:v>1930.2083</c:v>
                </c:pt>
                <c:pt idx="603">
                  <c:v>1930.2917</c:v>
                </c:pt>
                <c:pt idx="604">
                  <c:v>1930.375</c:v>
                </c:pt>
                <c:pt idx="605">
                  <c:v>1930.4583</c:v>
                </c:pt>
                <c:pt idx="606">
                  <c:v>1930.5417</c:v>
                </c:pt>
                <c:pt idx="607">
                  <c:v>1930.625</c:v>
                </c:pt>
                <c:pt idx="608">
                  <c:v>1930.7083</c:v>
                </c:pt>
                <c:pt idx="609">
                  <c:v>1930.7917</c:v>
                </c:pt>
                <c:pt idx="610">
                  <c:v>1930.875</c:v>
                </c:pt>
                <c:pt idx="611">
                  <c:v>1930.9583</c:v>
                </c:pt>
                <c:pt idx="612">
                  <c:v>1931.0417</c:v>
                </c:pt>
                <c:pt idx="613">
                  <c:v>1931.125</c:v>
                </c:pt>
                <c:pt idx="614">
                  <c:v>1931.2083</c:v>
                </c:pt>
                <c:pt idx="615">
                  <c:v>1931.2917</c:v>
                </c:pt>
                <c:pt idx="616">
                  <c:v>1931.375</c:v>
                </c:pt>
                <c:pt idx="617">
                  <c:v>1931.4583</c:v>
                </c:pt>
                <c:pt idx="618">
                  <c:v>1931.5417</c:v>
                </c:pt>
                <c:pt idx="619">
                  <c:v>1931.625</c:v>
                </c:pt>
                <c:pt idx="620">
                  <c:v>1931.7083</c:v>
                </c:pt>
                <c:pt idx="621">
                  <c:v>1931.7917</c:v>
                </c:pt>
                <c:pt idx="622">
                  <c:v>1931.875</c:v>
                </c:pt>
                <c:pt idx="623">
                  <c:v>1931.9583</c:v>
                </c:pt>
                <c:pt idx="624">
                  <c:v>1932.0417</c:v>
                </c:pt>
                <c:pt idx="625">
                  <c:v>1932.125</c:v>
                </c:pt>
                <c:pt idx="626">
                  <c:v>1932.2083</c:v>
                </c:pt>
                <c:pt idx="627">
                  <c:v>1932.2917</c:v>
                </c:pt>
                <c:pt idx="628">
                  <c:v>1932.375</c:v>
                </c:pt>
                <c:pt idx="629">
                  <c:v>1932.4583</c:v>
                </c:pt>
                <c:pt idx="630">
                  <c:v>1932.5417</c:v>
                </c:pt>
                <c:pt idx="631">
                  <c:v>1932.625</c:v>
                </c:pt>
                <c:pt idx="632">
                  <c:v>1932.7083</c:v>
                </c:pt>
                <c:pt idx="633">
                  <c:v>1932.7917</c:v>
                </c:pt>
                <c:pt idx="634">
                  <c:v>1932.875</c:v>
                </c:pt>
                <c:pt idx="635">
                  <c:v>1932.9583</c:v>
                </c:pt>
                <c:pt idx="636">
                  <c:v>1933.0417</c:v>
                </c:pt>
                <c:pt idx="637">
                  <c:v>1933.125</c:v>
                </c:pt>
                <c:pt idx="638">
                  <c:v>1933.2083</c:v>
                </c:pt>
                <c:pt idx="639">
                  <c:v>1933.2917</c:v>
                </c:pt>
                <c:pt idx="640">
                  <c:v>1933.375</c:v>
                </c:pt>
                <c:pt idx="641">
                  <c:v>1933.4583</c:v>
                </c:pt>
                <c:pt idx="642">
                  <c:v>1933.5417</c:v>
                </c:pt>
                <c:pt idx="643">
                  <c:v>1933.625</c:v>
                </c:pt>
                <c:pt idx="644">
                  <c:v>1933.7083</c:v>
                </c:pt>
                <c:pt idx="645">
                  <c:v>1933.7917</c:v>
                </c:pt>
                <c:pt idx="646">
                  <c:v>1933.875</c:v>
                </c:pt>
                <c:pt idx="647">
                  <c:v>1933.9583</c:v>
                </c:pt>
                <c:pt idx="648">
                  <c:v>1934.0417</c:v>
                </c:pt>
                <c:pt idx="649">
                  <c:v>1934.125</c:v>
                </c:pt>
                <c:pt idx="650">
                  <c:v>1934.2083</c:v>
                </c:pt>
                <c:pt idx="651">
                  <c:v>1934.2917</c:v>
                </c:pt>
                <c:pt idx="652">
                  <c:v>1934.375</c:v>
                </c:pt>
                <c:pt idx="653">
                  <c:v>1934.4583</c:v>
                </c:pt>
                <c:pt idx="654">
                  <c:v>1934.5417</c:v>
                </c:pt>
                <c:pt idx="655">
                  <c:v>1934.625</c:v>
                </c:pt>
                <c:pt idx="656">
                  <c:v>1934.7083</c:v>
                </c:pt>
                <c:pt idx="657">
                  <c:v>1934.7917</c:v>
                </c:pt>
                <c:pt idx="658">
                  <c:v>1934.875</c:v>
                </c:pt>
                <c:pt idx="659">
                  <c:v>1934.9583</c:v>
                </c:pt>
                <c:pt idx="660">
                  <c:v>1935.0417</c:v>
                </c:pt>
                <c:pt idx="661">
                  <c:v>1935.125</c:v>
                </c:pt>
                <c:pt idx="662">
                  <c:v>1935.2083</c:v>
                </c:pt>
                <c:pt idx="663">
                  <c:v>1935.2917</c:v>
                </c:pt>
                <c:pt idx="664">
                  <c:v>1935.375</c:v>
                </c:pt>
                <c:pt idx="665">
                  <c:v>1935.4583</c:v>
                </c:pt>
                <c:pt idx="666">
                  <c:v>1935.5417</c:v>
                </c:pt>
                <c:pt idx="667">
                  <c:v>1935.625</c:v>
                </c:pt>
                <c:pt idx="668">
                  <c:v>1935.7083</c:v>
                </c:pt>
                <c:pt idx="669">
                  <c:v>1935.7917</c:v>
                </c:pt>
                <c:pt idx="670">
                  <c:v>1935.875</c:v>
                </c:pt>
                <c:pt idx="671">
                  <c:v>1935.9583</c:v>
                </c:pt>
                <c:pt idx="672">
                  <c:v>1936.0417</c:v>
                </c:pt>
                <c:pt idx="673">
                  <c:v>1936.125</c:v>
                </c:pt>
                <c:pt idx="674">
                  <c:v>1936.2083</c:v>
                </c:pt>
                <c:pt idx="675">
                  <c:v>1936.2917</c:v>
                </c:pt>
                <c:pt idx="676">
                  <c:v>1936.375</c:v>
                </c:pt>
                <c:pt idx="677">
                  <c:v>1936.4583</c:v>
                </c:pt>
                <c:pt idx="678">
                  <c:v>1936.5417</c:v>
                </c:pt>
                <c:pt idx="679">
                  <c:v>1936.625</c:v>
                </c:pt>
                <c:pt idx="680">
                  <c:v>1936.7083</c:v>
                </c:pt>
                <c:pt idx="681">
                  <c:v>1936.7917</c:v>
                </c:pt>
                <c:pt idx="682">
                  <c:v>1936.875</c:v>
                </c:pt>
                <c:pt idx="683">
                  <c:v>1936.9583</c:v>
                </c:pt>
                <c:pt idx="684">
                  <c:v>1937.0417</c:v>
                </c:pt>
                <c:pt idx="685">
                  <c:v>1937.125</c:v>
                </c:pt>
                <c:pt idx="686">
                  <c:v>1937.2083</c:v>
                </c:pt>
                <c:pt idx="687">
                  <c:v>1937.2917</c:v>
                </c:pt>
                <c:pt idx="688">
                  <c:v>1937.375</c:v>
                </c:pt>
                <c:pt idx="689">
                  <c:v>1937.4583</c:v>
                </c:pt>
                <c:pt idx="690">
                  <c:v>1937.5417</c:v>
                </c:pt>
                <c:pt idx="691">
                  <c:v>1937.625</c:v>
                </c:pt>
                <c:pt idx="692">
                  <c:v>1937.7083</c:v>
                </c:pt>
                <c:pt idx="693">
                  <c:v>1937.7917</c:v>
                </c:pt>
                <c:pt idx="694">
                  <c:v>1937.875</c:v>
                </c:pt>
                <c:pt idx="695">
                  <c:v>1937.9583</c:v>
                </c:pt>
                <c:pt idx="696">
                  <c:v>1938.0417</c:v>
                </c:pt>
                <c:pt idx="697">
                  <c:v>1938.125</c:v>
                </c:pt>
                <c:pt idx="698">
                  <c:v>1938.2083</c:v>
                </c:pt>
                <c:pt idx="699">
                  <c:v>1938.2917</c:v>
                </c:pt>
                <c:pt idx="700">
                  <c:v>1938.375</c:v>
                </c:pt>
                <c:pt idx="701">
                  <c:v>1938.4583</c:v>
                </c:pt>
                <c:pt idx="702">
                  <c:v>1938.5417</c:v>
                </c:pt>
                <c:pt idx="703">
                  <c:v>1938.625</c:v>
                </c:pt>
                <c:pt idx="704">
                  <c:v>1938.7083</c:v>
                </c:pt>
                <c:pt idx="705">
                  <c:v>1938.7917</c:v>
                </c:pt>
                <c:pt idx="706">
                  <c:v>1938.875</c:v>
                </c:pt>
                <c:pt idx="707">
                  <c:v>1938.9583</c:v>
                </c:pt>
                <c:pt idx="708">
                  <c:v>1939.0417</c:v>
                </c:pt>
                <c:pt idx="709">
                  <c:v>1939.125</c:v>
                </c:pt>
                <c:pt idx="710">
                  <c:v>1939.2083</c:v>
                </c:pt>
                <c:pt idx="711">
                  <c:v>1939.2917</c:v>
                </c:pt>
                <c:pt idx="712">
                  <c:v>1939.375</c:v>
                </c:pt>
                <c:pt idx="713">
                  <c:v>1939.4583</c:v>
                </c:pt>
                <c:pt idx="714">
                  <c:v>1939.5417</c:v>
                </c:pt>
                <c:pt idx="715">
                  <c:v>1939.625</c:v>
                </c:pt>
                <c:pt idx="716">
                  <c:v>1939.7083</c:v>
                </c:pt>
                <c:pt idx="717">
                  <c:v>1939.7917</c:v>
                </c:pt>
                <c:pt idx="718">
                  <c:v>1939.875</c:v>
                </c:pt>
                <c:pt idx="719">
                  <c:v>1939.9583</c:v>
                </c:pt>
                <c:pt idx="720">
                  <c:v>1940.0417</c:v>
                </c:pt>
                <c:pt idx="721">
                  <c:v>1940.125</c:v>
                </c:pt>
                <c:pt idx="722">
                  <c:v>1940.2083</c:v>
                </c:pt>
                <c:pt idx="723">
                  <c:v>1940.2917</c:v>
                </c:pt>
                <c:pt idx="724">
                  <c:v>1940.375</c:v>
                </c:pt>
                <c:pt idx="725">
                  <c:v>1940.4583</c:v>
                </c:pt>
                <c:pt idx="726">
                  <c:v>1940.5417</c:v>
                </c:pt>
                <c:pt idx="727">
                  <c:v>1940.625</c:v>
                </c:pt>
                <c:pt idx="728">
                  <c:v>1940.7083</c:v>
                </c:pt>
                <c:pt idx="729">
                  <c:v>1940.7917</c:v>
                </c:pt>
                <c:pt idx="730">
                  <c:v>1940.875</c:v>
                </c:pt>
                <c:pt idx="731">
                  <c:v>1940.9583</c:v>
                </c:pt>
                <c:pt idx="732">
                  <c:v>1941.0417</c:v>
                </c:pt>
                <c:pt idx="733">
                  <c:v>1941.125</c:v>
                </c:pt>
                <c:pt idx="734">
                  <c:v>1941.2083</c:v>
                </c:pt>
                <c:pt idx="735">
                  <c:v>1941.2917</c:v>
                </c:pt>
                <c:pt idx="736">
                  <c:v>1941.375</c:v>
                </c:pt>
                <c:pt idx="737">
                  <c:v>1941.4583</c:v>
                </c:pt>
                <c:pt idx="738">
                  <c:v>1941.5417</c:v>
                </c:pt>
                <c:pt idx="739">
                  <c:v>1941.625</c:v>
                </c:pt>
                <c:pt idx="740">
                  <c:v>1941.7083</c:v>
                </c:pt>
                <c:pt idx="741">
                  <c:v>1941.7917</c:v>
                </c:pt>
                <c:pt idx="742">
                  <c:v>1941.875</c:v>
                </c:pt>
                <c:pt idx="743">
                  <c:v>1941.9583</c:v>
                </c:pt>
                <c:pt idx="744">
                  <c:v>1942.0417</c:v>
                </c:pt>
                <c:pt idx="745">
                  <c:v>1942.125</c:v>
                </c:pt>
                <c:pt idx="746">
                  <c:v>1942.2083</c:v>
                </c:pt>
                <c:pt idx="747">
                  <c:v>1942.2917</c:v>
                </c:pt>
                <c:pt idx="748">
                  <c:v>1942.375</c:v>
                </c:pt>
                <c:pt idx="749">
                  <c:v>1942.4583</c:v>
                </c:pt>
                <c:pt idx="750">
                  <c:v>1942.5417</c:v>
                </c:pt>
                <c:pt idx="751">
                  <c:v>1942.625</c:v>
                </c:pt>
                <c:pt idx="752">
                  <c:v>1942.7083</c:v>
                </c:pt>
                <c:pt idx="753">
                  <c:v>1942.7917</c:v>
                </c:pt>
                <c:pt idx="754">
                  <c:v>1942.875</c:v>
                </c:pt>
                <c:pt idx="755">
                  <c:v>1942.9583</c:v>
                </c:pt>
                <c:pt idx="756">
                  <c:v>1943.0417</c:v>
                </c:pt>
                <c:pt idx="757">
                  <c:v>1943.125</c:v>
                </c:pt>
                <c:pt idx="758">
                  <c:v>1943.2083</c:v>
                </c:pt>
                <c:pt idx="759">
                  <c:v>1943.2917</c:v>
                </c:pt>
                <c:pt idx="760">
                  <c:v>1943.375</c:v>
                </c:pt>
                <c:pt idx="761">
                  <c:v>1943.4583</c:v>
                </c:pt>
                <c:pt idx="762">
                  <c:v>1943.5417</c:v>
                </c:pt>
                <c:pt idx="763">
                  <c:v>1943.625</c:v>
                </c:pt>
                <c:pt idx="764">
                  <c:v>1943.7083</c:v>
                </c:pt>
                <c:pt idx="765">
                  <c:v>1943.7917</c:v>
                </c:pt>
                <c:pt idx="766">
                  <c:v>1943.875</c:v>
                </c:pt>
                <c:pt idx="767">
                  <c:v>1943.9583</c:v>
                </c:pt>
                <c:pt idx="768">
                  <c:v>1944.0417</c:v>
                </c:pt>
                <c:pt idx="769">
                  <c:v>1944.125</c:v>
                </c:pt>
                <c:pt idx="770">
                  <c:v>1944.2083</c:v>
                </c:pt>
                <c:pt idx="771">
                  <c:v>1944.2917</c:v>
                </c:pt>
                <c:pt idx="772">
                  <c:v>1944.375</c:v>
                </c:pt>
                <c:pt idx="773">
                  <c:v>1944.4583</c:v>
                </c:pt>
                <c:pt idx="774">
                  <c:v>1944.5417</c:v>
                </c:pt>
                <c:pt idx="775">
                  <c:v>1944.625</c:v>
                </c:pt>
                <c:pt idx="776">
                  <c:v>1944.7083</c:v>
                </c:pt>
                <c:pt idx="777">
                  <c:v>1944.7917</c:v>
                </c:pt>
                <c:pt idx="778">
                  <c:v>1944.875</c:v>
                </c:pt>
                <c:pt idx="779">
                  <c:v>1944.9583</c:v>
                </c:pt>
                <c:pt idx="780">
                  <c:v>1945.0417</c:v>
                </c:pt>
                <c:pt idx="781">
                  <c:v>1945.125</c:v>
                </c:pt>
                <c:pt idx="782">
                  <c:v>1945.2083</c:v>
                </c:pt>
                <c:pt idx="783">
                  <c:v>1945.2917</c:v>
                </c:pt>
                <c:pt idx="784">
                  <c:v>1945.375</c:v>
                </c:pt>
                <c:pt idx="785">
                  <c:v>1945.4583</c:v>
                </c:pt>
                <c:pt idx="786">
                  <c:v>1945.5417</c:v>
                </c:pt>
                <c:pt idx="787">
                  <c:v>1945.625</c:v>
                </c:pt>
                <c:pt idx="788">
                  <c:v>1945.7083</c:v>
                </c:pt>
                <c:pt idx="789">
                  <c:v>1945.7917</c:v>
                </c:pt>
                <c:pt idx="790">
                  <c:v>1945.875</c:v>
                </c:pt>
                <c:pt idx="791">
                  <c:v>1945.9583</c:v>
                </c:pt>
                <c:pt idx="792">
                  <c:v>1946.0417</c:v>
                </c:pt>
                <c:pt idx="793">
                  <c:v>1946.125</c:v>
                </c:pt>
                <c:pt idx="794">
                  <c:v>1946.2083</c:v>
                </c:pt>
                <c:pt idx="795">
                  <c:v>1946.2917</c:v>
                </c:pt>
                <c:pt idx="796">
                  <c:v>1946.375</c:v>
                </c:pt>
                <c:pt idx="797">
                  <c:v>1946.4583</c:v>
                </c:pt>
                <c:pt idx="798">
                  <c:v>1946.5417</c:v>
                </c:pt>
                <c:pt idx="799">
                  <c:v>1946.625</c:v>
                </c:pt>
                <c:pt idx="800">
                  <c:v>1946.7083</c:v>
                </c:pt>
                <c:pt idx="801">
                  <c:v>1946.7917</c:v>
                </c:pt>
                <c:pt idx="802">
                  <c:v>1946.875</c:v>
                </c:pt>
                <c:pt idx="803">
                  <c:v>1946.9583</c:v>
                </c:pt>
                <c:pt idx="804">
                  <c:v>1947.0417</c:v>
                </c:pt>
                <c:pt idx="805">
                  <c:v>1947.125</c:v>
                </c:pt>
                <c:pt idx="806">
                  <c:v>1947.2083</c:v>
                </c:pt>
                <c:pt idx="807">
                  <c:v>1947.2917</c:v>
                </c:pt>
                <c:pt idx="808">
                  <c:v>1947.375</c:v>
                </c:pt>
                <c:pt idx="809">
                  <c:v>1947.4583</c:v>
                </c:pt>
                <c:pt idx="810">
                  <c:v>1947.5417</c:v>
                </c:pt>
                <c:pt idx="811">
                  <c:v>1947.625</c:v>
                </c:pt>
                <c:pt idx="812">
                  <c:v>1947.7083</c:v>
                </c:pt>
                <c:pt idx="813">
                  <c:v>1947.7917</c:v>
                </c:pt>
                <c:pt idx="814">
                  <c:v>1947.875</c:v>
                </c:pt>
                <c:pt idx="815">
                  <c:v>1947.9583</c:v>
                </c:pt>
                <c:pt idx="816">
                  <c:v>1948.0417</c:v>
                </c:pt>
                <c:pt idx="817">
                  <c:v>1948.125</c:v>
                </c:pt>
                <c:pt idx="818">
                  <c:v>1948.2083</c:v>
                </c:pt>
                <c:pt idx="819">
                  <c:v>1948.2917</c:v>
                </c:pt>
                <c:pt idx="820">
                  <c:v>1948.375</c:v>
                </c:pt>
                <c:pt idx="821">
                  <c:v>1948.4583</c:v>
                </c:pt>
                <c:pt idx="822">
                  <c:v>1948.5417</c:v>
                </c:pt>
                <c:pt idx="823">
                  <c:v>1948.625</c:v>
                </c:pt>
                <c:pt idx="824">
                  <c:v>1948.7083</c:v>
                </c:pt>
                <c:pt idx="825">
                  <c:v>1948.7917</c:v>
                </c:pt>
                <c:pt idx="826">
                  <c:v>1948.875</c:v>
                </c:pt>
                <c:pt idx="827">
                  <c:v>1948.9583</c:v>
                </c:pt>
                <c:pt idx="828">
                  <c:v>1949.0417</c:v>
                </c:pt>
                <c:pt idx="829">
                  <c:v>1949.125</c:v>
                </c:pt>
                <c:pt idx="830">
                  <c:v>1949.2083</c:v>
                </c:pt>
                <c:pt idx="831">
                  <c:v>1949.2917</c:v>
                </c:pt>
                <c:pt idx="832">
                  <c:v>1949.375</c:v>
                </c:pt>
                <c:pt idx="833">
                  <c:v>1949.4583</c:v>
                </c:pt>
                <c:pt idx="834">
                  <c:v>1949.5417</c:v>
                </c:pt>
                <c:pt idx="835">
                  <c:v>1949.625</c:v>
                </c:pt>
                <c:pt idx="836">
                  <c:v>1949.7083</c:v>
                </c:pt>
                <c:pt idx="837">
                  <c:v>1949.7917</c:v>
                </c:pt>
                <c:pt idx="838">
                  <c:v>1949.875</c:v>
                </c:pt>
                <c:pt idx="839">
                  <c:v>1949.9583</c:v>
                </c:pt>
                <c:pt idx="840">
                  <c:v>1950.0417</c:v>
                </c:pt>
                <c:pt idx="841">
                  <c:v>1950.125</c:v>
                </c:pt>
                <c:pt idx="842">
                  <c:v>1950.2083</c:v>
                </c:pt>
                <c:pt idx="843">
                  <c:v>1950.2917</c:v>
                </c:pt>
                <c:pt idx="844">
                  <c:v>1950.375</c:v>
                </c:pt>
                <c:pt idx="845">
                  <c:v>1950.4583</c:v>
                </c:pt>
                <c:pt idx="846">
                  <c:v>1950.5417</c:v>
                </c:pt>
                <c:pt idx="847">
                  <c:v>1950.625</c:v>
                </c:pt>
                <c:pt idx="848">
                  <c:v>1950.7083</c:v>
                </c:pt>
                <c:pt idx="849">
                  <c:v>1950.7917</c:v>
                </c:pt>
                <c:pt idx="850">
                  <c:v>1950.875</c:v>
                </c:pt>
                <c:pt idx="851">
                  <c:v>1950.9583</c:v>
                </c:pt>
                <c:pt idx="852">
                  <c:v>1951.0417</c:v>
                </c:pt>
                <c:pt idx="853">
                  <c:v>1951.125</c:v>
                </c:pt>
                <c:pt idx="854">
                  <c:v>1951.2083</c:v>
                </c:pt>
                <c:pt idx="855">
                  <c:v>1951.2917</c:v>
                </c:pt>
                <c:pt idx="856">
                  <c:v>1951.375</c:v>
                </c:pt>
                <c:pt idx="857">
                  <c:v>1951.4583</c:v>
                </c:pt>
                <c:pt idx="858">
                  <c:v>1951.5417</c:v>
                </c:pt>
                <c:pt idx="859">
                  <c:v>1951.625</c:v>
                </c:pt>
                <c:pt idx="860">
                  <c:v>1951.7083</c:v>
                </c:pt>
                <c:pt idx="861">
                  <c:v>1951.7917</c:v>
                </c:pt>
                <c:pt idx="862">
                  <c:v>1951.875</c:v>
                </c:pt>
                <c:pt idx="863">
                  <c:v>1951.9583</c:v>
                </c:pt>
                <c:pt idx="864">
                  <c:v>1952.0417</c:v>
                </c:pt>
                <c:pt idx="865">
                  <c:v>1952.125</c:v>
                </c:pt>
                <c:pt idx="866">
                  <c:v>1952.2083</c:v>
                </c:pt>
                <c:pt idx="867">
                  <c:v>1952.2917</c:v>
                </c:pt>
                <c:pt idx="868">
                  <c:v>1952.375</c:v>
                </c:pt>
                <c:pt idx="869">
                  <c:v>1952.4583</c:v>
                </c:pt>
                <c:pt idx="870">
                  <c:v>1952.5417</c:v>
                </c:pt>
                <c:pt idx="871">
                  <c:v>1952.625</c:v>
                </c:pt>
                <c:pt idx="872">
                  <c:v>1952.7083</c:v>
                </c:pt>
                <c:pt idx="873">
                  <c:v>1952.7917</c:v>
                </c:pt>
                <c:pt idx="874">
                  <c:v>1952.875</c:v>
                </c:pt>
                <c:pt idx="875">
                  <c:v>1952.9583</c:v>
                </c:pt>
                <c:pt idx="876">
                  <c:v>1953.0417</c:v>
                </c:pt>
                <c:pt idx="877">
                  <c:v>1953.125</c:v>
                </c:pt>
                <c:pt idx="878">
                  <c:v>1953.2083</c:v>
                </c:pt>
                <c:pt idx="879">
                  <c:v>1953.2917</c:v>
                </c:pt>
                <c:pt idx="880">
                  <c:v>1953.375</c:v>
                </c:pt>
                <c:pt idx="881">
                  <c:v>1953.4583</c:v>
                </c:pt>
                <c:pt idx="882">
                  <c:v>1953.5417</c:v>
                </c:pt>
                <c:pt idx="883">
                  <c:v>1953.625</c:v>
                </c:pt>
                <c:pt idx="884">
                  <c:v>1953.7083</c:v>
                </c:pt>
                <c:pt idx="885">
                  <c:v>1953.7917</c:v>
                </c:pt>
                <c:pt idx="886">
                  <c:v>1953.875</c:v>
                </c:pt>
                <c:pt idx="887">
                  <c:v>1953.9583</c:v>
                </c:pt>
                <c:pt idx="888">
                  <c:v>1954.0417</c:v>
                </c:pt>
                <c:pt idx="889">
                  <c:v>1954.125</c:v>
                </c:pt>
                <c:pt idx="890">
                  <c:v>1954.2083</c:v>
                </c:pt>
                <c:pt idx="891">
                  <c:v>1954.2917</c:v>
                </c:pt>
                <c:pt idx="892">
                  <c:v>1954.375</c:v>
                </c:pt>
                <c:pt idx="893">
                  <c:v>1954.4583</c:v>
                </c:pt>
                <c:pt idx="894">
                  <c:v>1954.5417</c:v>
                </c:pt>
                <c:pt idx="895">
                  <c:v>1954.625</c:v>
                </c:pt>
                <c:pt idx="896">
                  <c:v>1954.7083</c:v>
                </c:pt>
                <c:pt idx="897">
                  <c:v>1954.7917</c:v>
                </c:pt>
                <c:pt idx="898">
                  <c:v>1954.875</c:v>
                </c:pt>
                <c:pt idx="899">
                  <c:v>1954.9583</c:v>
                </c:pt>
                <c:pt idx="900">
                  <c:v>1955.0417</c:v>
                </c:pt>
                <c:pt idx="901">
                  <c:v>1955.125</c:v>
                </c:pt>
                <c:pt idx="902">
                  <c:v>1955.2083</c:v>
                </c:pt>
                <c:pt idx="903">
                  <c:v>1955.2917</c:v>
                </c:pt>
                <c:pt idx="904">
                  <c:v>1955.375</c:v>
                </c:pt>
                <c:pt idx="905">
                  <c:v>1955.4583</c:v>
                </c:pt>
                <c:pt idx="906">
                  <c:v>1955.5417</c:v>
                </c:pt>
                <c:pt idx="907">
                  <c:v>1955.625</c:v>
                </c:pt>
                <c:pt idx="908">
                  <c:v>1955.7083</c:v>
                </c:pt>
                <c:pt idx="909">
                  <c:v>1955.7917</c:v>
                </c:pt>
                <c:pt idx="910">
                  <c:v>1955.875</c:v>
                </c:pt>
                <c:pt idx="911">
                  <c:v>1955.9583</c:v>
                </c:pt>
                <c:pt idx="912">
                  <c:v>1956.0417</c:v>
                </c:pt>
                <c:pt idx="913">
                  <c:v>1956.125</c:v>
                </c:pt>
                <c:pt idx="914">
                  <c:v>1956.2083</c:v>
                </c:pt>
                <c:pt idx="915">
                  <c:v>1956.2917</c:v>
                </c:pt>
                <c:pt idx="916">
                  <c:v>1956.375</c:v>
                </c:pt>
                <c:pt idx="917">
                  <c:v>1956.4583</c:v>
                </c:pt>
                <c:pt idx="918">
                  <c:v>1956.5417</c:v>
                </c:pt>
                <c:pt idx="919">
                  <c:v>1956.625</c:v>
                </c:pt>
                <c:pt idx="920">
                  <c:v>1956.7083</c:v>
                </c:pt>
                <c:pt idx="921">
                  <c:v>1956.7917</c:v>
                </c:pt>
                <c:pt idx="922">
                  <c:v>1956.875</c:v>
                </c:pt>
                <c:pt idx="923">
                  <c:v>1956.9583</c:v>
                </c:pt>
                <c:pt idx="924">
                  <c:v>1957.0417</c:v>
                </c:pt>
                <c:pt idx="925">
                  <c:v>1957.125</c:v>
                </c:pt>
                <c:pt idx="926">
                  <c:v>1957.2083</c:v>
                </c:pt>
                <c:pt idx="927">
                  <c:v>1957.2917</c:v>
                </c:pt>
                <c:pt idx="928">
                  <c:v>1957.375</c:v>
                </c:pt>
                <c:pt idx="929">
                  <c:v>1957.4583</c:v>
                </c:pt>
                <c:pt idx="930">
                  <c:v>1957.5417</c:v>
                </c:pt>
                <c:pt idx="931">
                  <c:v>1957.625</c:v>
                </c:pt>
                <c:pt idx="932">
                  <c:v>1957.7083</c:v>
                </c:pt>
                <c:pt idx="933">
                  <c:v>1957.7917</c:v>
                </c:pt>
                <c:pt idx="934">
                  <c:v>1957.875</c:v>
                </c:pt>
                <c:pt idx="935">
                  <c:v>1957.9583</c:v>
                </c:pt>
                <c:pt idx="936">
                  <c:v>1958.0417</c:v>
                </c:pt>
                <c:pt idx="937">
                  <c:v>1958.125</c:v>
                </c:pt>
                <c:pt idx="938">
                  <c:v>1958.2083</c:v>
                </c:pt>
                <c:pt idx="939">
                  <c:v>1958.2917</c:v>
                </c:pt>
                <c:pt idx="940">
                  <c:v>1958.375</c:v>
                </c:pt>
                <c:pt idx="941">
                  <c:v>1958.4583</c:v>
                </c:pt>
                <c:pt idx="942">
                  <c:v>1958.5417</c:v>
                </c:pt>
                <c:pt idx="943">
                  <c:v>1958.625</c:v>
                </c:pt>
                <c:pt idx="944">
                  <c:v>1958.7083</c:v>
                </c:pt>
                <c:pt idx="945">
                  <c:v>1958.7917</c:v>
                </c:pt>
                <c:pt idx="946">
                  <c:v>1958.875</c:v>
                </c:pt>
                <c:pt idx="947">
                  <c:v>1958.9583</c:v>
                </c:pt>
                <c:pt idx="948">
                  <c:v>1959.0417</c:v>
                </c:pt>
                <c:pt idx="949">
                  <c:v>1959.125</c:v>
                </c:pt>
                <c:pt idx="950">
                  <c:v>1959.2083</c:v>
                </c:pt>
                <c:pt idx="951">
                  <c:v>1959.2917</c:v>
                </c:pt>
                <c:pt idx="952">
                  <c:v>1959.375</c:v>
                </c:pt>
                <c:pt idx="953">
                  <c:v>1959.4583</c:v>
                </c:pt>
                <c:pt idx="954">
                  <c:v>1959.5417</c:v>
                </c:pt>
                <c:pt idx="955">
                  <c:v>1959.625</c:v>
                </c:pt>
                <c:pt idx="956">
                  <c:v>1959.7083</c:v>
                </c:pt>
                <c:pt idx="957">
                  <c:v>1959.7917</c:v>
                </c:pt>
                <c:pt idx="958">
                  <c:v>1959.875</c:v>
                </c:pt>
                <c:pt idx="959">
                  <c:v>1959.9583</c:v>
                </c:pt>
                <c:pt idx="960">
                  <c:v>1960.0417</c:v>
                </c:pt>
                <c:pt idx="961">
                  <c:v>1960.125</c:v>
                </c:pt>
                <c:pt idx="962">
                  <c:v>1960.2083</c:v>
                </c:pt>
                <c:pt idx="963">
                  <c:v>1960.2917</c:v>
                </c:pt>
                <c:pt idx="964">
                  <c:v>1960.375</c:v>
                </c:pt>
                <c:pt idx="965">
                  <c:v>1960.4583</c:v>
                </c:pt>
                <c:pt idx="966">
                  <c:v>1960.5417</c:v>
                </c:pt>
                <c:pt idx="967">
                  <c:v>1960.625</c:v>
                </c:pt>
                <c:pt idx="968">
                  <c:v>1960.7083</c:v>
                </c:pt>
                <c:pt idx="969">
                  <c:v>1960.7917</c:v>
                </c:pt>
                <c:pt idx="970">
                  <c:v>1960.875</c:v>
                </c:pt>
                <c:pt idx="971">
                  <c:v>1960.9583</c:v>
                </c:pt>
                <c:pt idx="972">
                  <c:v>1961.0417</c:v>
                </c:pt>
                <c:pt idx="973">
                  <c:v>1961.125</c:v>
                </c:pt>
                <c:pt idx="974">
                  <c:v>1961.2083</c:v>
                </c:pt>
                <c:pt idx="975">
                  <c:v>1961.2917</c:v>
                </c:pt>
                <c:pt idx="976">
                  <c:v>1961.375</c:v>
                </c:pt>
                <c:pt idx="977">
                  <c:v>1961.4583</c:v>
                </c:pt>
                <c:pt idx="978">
                  <c:v>1961.5417</c:v>
                </c:pt>
                <c:pt idx="979">
                  <c:v>1961.625</c:v>
                </c:pt>
                <c:pt idx="980">
                  <c:v>1961.7083</c:v>
                </c:pt>
                <c:pt idx="981">
                  <c:v>1961.7917</c:v>
                </c:pt>
                <c:pt idx="982">
                  <c:v>1961.875</c:v>
                </c:pt>
                <c:pt idx="983">
                  <c:v>1961.9583</c:v>
                </c:pt>
                <c:pt idx="984">
                  <c:v>1962.0417</c:v>
                </c:pt>
                <c:pt idx="985">
                  <c:v>1962.125</c:v>
                </c:pt>
                <c:pt idx="986">
                  <c:v>1962.2083</c:v>
                </c:pt>
                <c:pt idx="987">
                  <c:v>1962.2917</c:v>
                </c:pt>
                <c:pt idx="988">
                  <c:v>1962.375</c:v>
                </c:pt>
                <c:pt idx="989">
                  <c:v>1962.4583</c:v>
                </c:pt>
                <c:pt idx="990">
                  <c:v>1962.5417</c:v>
                </c:pt>
                <c:pt idx="991">
                  <c:v>1962.625</c:v>
                </c:pt>
                <c:pt idx="992">
                  <c:v>1962.7083</c:v>
                </c:pt>
                <c:pt idx="993">
                  <c:v>1962.7917</c:v>
                </c:pt>
                <c:pt idx="994">
                  <c:v>1962.875</c:v>
                </c:pt>
                <c:pt idx="995">
                  <c:v>1962.9583</c:v>
                </c:pt>
                <c:pt idx="996">
                  <c:v>1963.0417</c:v>
                </c:pt>
                <c:pt idx="997">
                  <c:v>1963.125</c:v>
                </c:pt>
                <c:pt idx="998">
                  <c:v>1963.2083</c:v>
                </c:pt>
                <c:pt idx="999">
                  <c:v>1963.2917</c:v>
                </c:pt>
                <c:pt idx="1000">
                  <c:v>1963.375</c:v>
                </c:pt>
                <c:pt idx="1001">
                  <c:v>1963.4583</c:v>
                </c:pt>
                <c:pt idx="1002">
                  <c:v>1963.5417</c:v>
                </c:pt>
                <c:pt idx="1003">
                  <c:v>1963.625</c:v>
                </c:pt>
                <c:pt idx="1004">
                  <c:v>1963.7083</c:v>
                </c:pt>
                <c:pt idx="1005">
                  <c:v>1963.7917</c:v>
                </c:pt>
                <c:pt idx="1006">
                  <c:v>1963.875</c:v>
                </c:pt>
                <c:pt idx="1007">
                  <c:v>1963.9583</c:v>
                </c:pt>
                <c:pt idx="1008">
                  <c:v>1964.0417</c:v>
                </c:pt>
                <c:pt idx="1009">
                  <c:v>1964.125</c:v>
                </c:pt>
                <c:pt idx="1010">
                  <c:v>1964.2083</c:v>
                </c:pt>
                <c:pt idx="1011">
                  <c:v>1964.2917</c:v>
                </c:pt>
                <c:pt idx="1012">
                  <c:v>1964.375</c:v>
                </c:pt>
                <c:pt idx="1013">
                  <c:v>1964.4583</c:v>
                </c:pt>
                <c:pt idx="1014">
                  <c:v>1964.5417</c:v>
                </c:pt>
                <c:pt idx="1015">
                  <c:v>1964.625</c:v>
                </c:pt>
                <c:pt idx="1016">
                  <c:v>1964.7083</c:v>
                </c:pt>
                <c:pt idx="1017">
                  <c:v>1964.7917</c:v>
                </c:pt>
                <c:pt idx="1018">
                  <c:v>1964.875</c:v>
                </c:pt>
                <c:pt idx="1019">
                  <c:v>1964.9583</c:v>
                </c:pt>
                <c:pt idx="1020">
                  <c:v>1965.0417</c:v>
                </c:pt>
                <c:pt idx="1021">
                  <c:v>1965.125</c:v>
                </c:pt>
                <c:pt idx="1022">
                  <c:v>1965.2083</c:v>
                </c:pt>
                <c:pt idx="1023">
                  <c:v>1965.2917</c:v>
                </c:pt>
                <c:pt idx="1024">
                  <c:v>1965.375</c:v>
                </c:pt>
                <c:pt idx="1025">
                  <c:v>1965.4583</c:v>
                </c:pt>
                <c:pt idx="1026">
                  <c:v>1965.5417</c:v>
                </c:pt>
                <c:pt idx="1027">
                  <c:v>1965.625</c:v>
                </c:pt>
                <c:pt idx="1028">
                  <c:v>1965.7083</c:v>
                </c:pt>
                <c:pt idx="1029">
                  <c:v>1965.7917</c:v>
                </c:pt>
                <c:pt idx="1030">
                  <c:v>1965.875</c:v>
                </c:pt>
                <c:pt idx="1031">
                  <c:v>1965.9583</c:v>
                </c:pt>
                <c:pt idx="1032">
                  <c:v>1966.0417</c:v>
                </c:pt>
                <c:pt idx="1033">
                  <c:v>1966.125</c:v>
                </c:pt>
                <c:pt idx="1034">
                  <c:v>1966.2083</c:v>
                </c:pt>
                <c:pt idx="1035">
                  <c:v>1966.2917</c:v>
                </c:pt>
                <c:pt idx="1036">
                  <c:v>1966.375</c:v>
                </c:pt>
                <c:pt idx="1037">
                  <c:v>1966.4583</c:v>
                </c:pt>
                <c:pt idx="1038">
                  <c:v>1966.5417</c:v>
                </c:pt>
                <c:pt idx="1039">
                  <c:v>1966.625</c:v>
                </c:pt>
                <c:pt idx="1040">
                  <c:v>1966.7083</c:v>
                </c:pt>
                <c:pt idx="1041">
                  <c:v>1966.7917</c:v>
                </c:pt>
                <c:pt idx="1042">
                  <c:v>1966.875</c:v>
                </c:pt>
                <c:pt idx="1043">
                  <c:v>1966.9583</c:v>
                </c:pt>
                <c:pt idx="1044">
                  <c:v>1967.0417</c:v>
                </c:pt>
                <c:pt idx="1045">
                  <c:v>1967.125</c:v>
                </c:pt>
                <c:pt idx="1046">
                  <c:v>1967.2083</c:v>
                </c:pt>
                <c:pt idx="1047">
                  <c:v>1967.2917</c:v>
                </c:pt>
                <c:pt idx="1048">
                  <c:v>1967.375</c:v>
                </c:pt>
                <c:pt idx="1049">
                  <c:v>1967.4583</c:v>
                </c:pt>
                <c:pt idx="1050">
                  <c:v>1967.5417</c:v>
                </c:pt>
                <c:pt idx="1051">
                  <c:v>1967.625</c:v>
                </c:pt>
                <c:pt idx="1052">
                  <c:v>1967.7083</c:v>
                </c:pt>
                <c:pt idx="1053">
                  <c:v>1967.7917</c:v>
                </c:pt>
                <c:pt idx="1054">
                  <c:v>1967.875</c:v>
                </c:pt>
                <c:pt idx="1055">
                  <c:v>1967.9583</c:v>
                </c:pt>
                <c:pt idx="1056">
                  <c:v>1968.0417</c:v>
                </c:pt>
                <c:pt idx="1057">
                  <c:v>1968.125</c:v>
                </c:pt>
                <c:pt idx="1058">
                  <c:v>1968.2083</c:v>
                </c:pt>
                <c:pt idx="1059">
                  <c:v>1968.2917</c:v>
                </c:pt>
                <c:pt idx="1060">
                  <c:v>1968.375</c:v>
                </c:pt>
                <c:pt idx="1061">
                  <c:v>1968.4583</c:v>
                </c:pt>
                <c:pt idx="1062">
                  <c:v>1968.5417</c:v>
                </c:pt>
                <c:pt idx="1063">
                  <c:v>1968.625</c:v>
                </c:pt>
                <c:pt idx="1064">
                  <c:v>1968.7083</c:v>
                </c:pt>
                <c:pt idx="1065">
                  <c:v>1968.7917</c:v>
                </c:pt>
                <c:pt idx="1066">
                  <c:v>1968.875</c:v>
                </c:pt>
                <c:pt idx="1067">
                  <c:v>1968.9583</c:v>
                </c:pt>
                <c:pt idx="1068">
                  <c:v>1969.0417</c:v>
                </c:pt>
                <c:pt idx="1069">
                  <c:v>1969.125</c:v>
                </c:pt>
                <c:pt idx="1070">
                  <c:v>1969.2083</c:v>
                </c:pt>
                <c:pt idx="1071">
                  <c:v>1969.2917</c:v>
                </c:pt>
                <c:pt idx="1072">
                  <c:v>1969.375</c:v>
                </c:pt>
                <c:pt idx="1073">
                  <c:v>1969.4583</c:v>
                </c:pt>
                <c:pt idx="1074">
                  <c:v>1969.5417</c:v>
                </c:pt>
                <c:pt idx="1075">
                  <c:v>1969.625</c:v>
                </c:pt>
                <c:pt idx="1076">
                  <c:v>1969.7083</c:v>
                </c:pt>
                <c:pt idx="1077">
                  <c:v>1969.7917</c:v>
                </c:pt>
                <c:pt idx="1078">
                  <c:v>1969.875</c:v>
                </c:pt>
                <c:pt idx="1079">
                  <c:v>1969.9583</c:v>
                </c:pt>
                <c:pt idx="1080">
                  <c:v>1970.0417</c:v>
                </c:pt>
                <c:pt idx="1081">
                  <c:v>1970.125</c:v>
                </c:pt>
                <c:pt idx="1082">
                  <c:v>1970.2083</c:v>
                </c:pt>
                <c:pt idx="1083">
                  <c:v>1970.2917</c:v>
                </c:pt>
                <c:pt idx="1084">
                  <c:v>1970.375</c:v>
                </c:pt>
                <c:pt idx="1085">
                  <c:v>1970.4583</c:v>
                </c:pt>
                <c:pt idx="1086">
                  <c:v>1970.5417</c:v>
                </c:pt>
                <c:pt idx="1087">
                  <c:v>1970.625</c:v>
                </c:pt>
                <c:pt idx="1088">
                  <c:v>1970.7083</c:v>
                </c:pt>
                <c:pt idx="1089">
                  <c:v>1970.7917</c:v>
                </c:pt>
                <c:pt idx="1090">
                  <c:v>1970.875</c:v>
                </c:pt>
                <c:pt idx="1091">
                  <c:v>1970.9583</c:v>
                </c:pt>
                <c:pt idx="1092">
                  <c:v>1971.0417</c:v>
                </c:pt>
                <c:pt idx="1093">
                  <c:v>1971.125</c:v>
                </c:pt>
                <c:pt idx="1094">
                  <c:v>1971.2083</c:v>
                </c:pt>
                <c:pt idx="1095">
                  <c:v>1971.2917</c:v>
                </c:pt>
                <c:pt idx="1096">
                  <c:v>1971.375</c:v>
                </c:pt>
                <c:pt idx="1097">
                  <c:v>1971.4583</c:v>
                </c:pt>
                <c:pt idx="1098">
                  <c:v>1971.5417</c:v>
                </c:pt>
                <c:pt idx="1099">
                  <c:v>1971.625</c:v>
                </c:pt>
                <c:pt idx="1100">
                  <c:v>1971.7083</c:v>
                </c:pt>
                <c:pt idx="1101">
                  <c:v>1971.7917</c:v>
                </c:pt>
                <c:pt idx="1102">
                  <c:v>1971.875</c:v>
                </c:pt>
                <c:pt idx="1103">
                  <c:v>1971.9583</c:v>
                </c:pt>
                <c:pt idx="1104">
                  <c:v>1972.0417</c:v>
                </c:pt>
                <c:pt idx="1105">
                  <c:v>1972.125</c:v>
                </c:pt>
                <c:pt idx="1106">
                  <c:v>1972.2083</c:v>
                </c:pt>
                <c:pt idx="1107">
                  <c:v>1972.2917</c:v>
                </c:pt>
                <c:pt idx="1108">
                  <c:v>1972.375</c:v>
                </c:pt>
                <c:pt idx="1109">
                  <c:v>1972.4583</c:v>
                </c:pt>
                <c:pt idx="1110">
                  <c:v>1972.5417</c:v>
                </c:pt>
                <c:pt idx="1111">
                  <c:v>1972.625</c:v>
                </c:pt>
                <c:pt idx="1112">
                  <c:v>1972.7083</c:v>
                </c:pt>
                <c:pt idx="1113">
                  <c:v>1972.7917</c:v>
                </c:pt>
                <c:pt idx="1114">
                  <c:v>1972.875</c:v>
                </c:pt>
                <c:pt idx="1115">
                  <c:v>1972.9583</c:v>
                </c:pt>
                <c:pt idx="1116">
                  <c:v>1973.0417</c:v>
                </c:pt>
                <c:pt idx="1117">
                  <c:v>1973.125</c:v>
                </c:pt>
                <c:pt idx="1118">
                  <c:v>1973.2083</c:v>
                </c:pt>
                <c:pt idx="1119">
                  <c:v>1973.2917</c:v>
                </c:pt>
                <c:pt idx="1120">
                  <c:v>1973.375</c:v>
                </c:pt>
                <c:pt idx="1121">
                  <c:v>1973.4583</c:v>
                </c:pt>
                <c:pt idx="1122">
                  <c:v>1973.5417</c:v>
                </c:pt>
                <c:pt idx="1123">
                  <c:v>1973.625</c:v>
                </c:pt>
                <c:pt idx="1124">
                  <c:v>1973.7083</c:v>
                </c:pt>
                <c:pt idx="1125">
                  <c:v>1973.7917</c:v>
                </c:pt>
                <c:pt idx="1126">
                  <c:v>1973.875</c:v>
                </c:pt>
                <c:pt idx="1127">
                  <c:v>1973.9583</c:v>
                </c:pt>
                <c:pt idx="1128">
                  <c:v>1974.0417</c:v>
                </c:pt>
                <c:pt idx="1129">
                  <c:v>1974.125</c:v>
                </c:pt>
                <c:pt idx="1130">
                  <c:v>1974.2083</c:v>
                </c:pt>
                <c:pt idx="1131">
                  <c:v>1974.2917</c:v>
                </c:pt>
                <c:pt idx="1132">
                  <c:v>1974.375</c:v>
                </c:pt>
                <c:pt idx="1133">
                  <c:v>1974.4583</c:v>
                </c:pt>
                <c:pt idx="1134">
                  <c:v>1974.5417</c:v>
                </c:pt>
                <c:pt idx="1135">
                  <c:v>1974.625</c:v>
                </c:pt>
                <c:pt idx="1136">
                  <c:v>1974.7083</c:v>
                </c:pt>
                <c:pt idx="1137">
                  <c:v>1974.7917</c:v>
                </c:pt>
                <c:pt idx="1138">
                  <c:v>1974.875</c:v>
                </c:pt>
                <c:pt idx="1139">
                  <c:v>1974.9583</c:v>
                </c:pt>
                <c:pt idx="1140">
                  <c:v>1975.0417</c:v>
                </c:pt>
                <c:pt idx="1141">
                  <c:v>1975.125</c:v>
                </c:pt>
                <c:pt idx="1142">
                  <c:v>1975.2083</c:v>
                </c:pt>
                <c:pt idx="1143">
                  <c:v>1975.2917</c:v>
                </c:pt>
                <c:pt idx="1144">
                  <c:v>1975.375</c:v>
                </c:pt>
                <c:pt idx="1145">
                  <c:v>1975.4583</c:v>
                </c:pt>
                <c:pt idx="1146">
                  <c:v>1975.5417</c:v>
                </c:pt>
                <c:pt idx="1147">
                  <c:v>1975.625</c:v>
                </c:pt>
                <c:pt idx="1148">
                  <c:v>1975.7083</c:v>
                </c:pt>
                <c:pt idx="1149">
                  <c:v>1975.7917</c:v>
                </c:pt>
                <c:pt idx="1150">
                  <c:v>1975.875</c:v>
                </c:pt>
                <c:pt idx="1151">
                  <c:v>1975.9583</c:v>
                </c:pt>
                <c:pt idx="1152">
                  <c:v>1976.0417</c:v>
                </c:pt>
                <c:pt idx="1153">
                  <c:v>1976.125</c:v>
                </c:pt>
                <c:pt idx="1154">
                  <c:v>1976.2083</c:v>
                </c:pt>
                <c:pt idx="1155">
                  <c:v>1976.2917</c:v>
                </c:pt>
                <c:pt idx="1156">
                  <c:v>1976.375</c:v>
                </c:pt>
                <c:pt idx="1157">
                  <c:v>1976.4583</c:v>
                </c:pt>
                <c:pt idx="1158">
                  <c:v>1976.5417</c:v>
                </c:pt>
                <c:pt idx="1159">
                  <c:v>1976.625</c:v>
                </c:pt>
                <c:pt idx="1160">
                  <c:v>1976.7083</c:v>
                </c:pt>
                <c:pt idx="1161">
                  <c:v>1976.7917</c:v>
                </c:pt>
                <c:pt idx="1162">
                  <c:v>1976.875</c:v>
                </c:pt>
                <c:pt idx="1163">
                  <c:v>1976.9583</c:v>
                </c:pt>
                <c:pt idx="1164">
                  <c:v>1977.0417</c:v>
                </c:pt>
                <c:pt idx="1165">
                  <c:v>1977.125</c:v>
                </c:pt>
                <c:pt idx="1166">
                  <c:v>1977.2083</c:v>
                </c:pt>
                <c:pt idx="1167">
                  <c:v>1977.2917</c:v>
                </c:pt>
                <c:pt idx="1168">
                  <c:v>1977.375</c:v>
                </c:pt>
                <c:pt idx="1169">
                  <c:v>1977.4583</c:v>
                </c:pt>
                <c:pt idx="1170">
                  <c:v>1977.5417</c:v>
                </c:pt>
                <c:pt idx="1171">
                  <c:v>1977.625</c:v>
                </c:pt>
                <c:pt idx="1172">
                  <c:v>1977.7083</c:v>
                </c:pt>
                <c:pt idx="1173">
                  <c:v>1977.7917</c:v>
                </c:pt>
                <c:pt idx="1174">
                  <c:v>1977.875</c:v>
                </c:pt>
                <c:pt idx="1175">
                  <c:v>1977.9583</c:v>
                </c:pt>
                <c:pt idx="1176">
                  <c:v>1978.0417</c:v>
                </c:pt>
                <c:pt idx="1177">
                  <c:v>1978.125</c:v>
                </c:pt>
                <c:pt idx="1178">
                  <c:v>1978.2083</c:v>
                </c:pt>
                <c:pt idx="1179">
                  <c:v>1978.2917</c:v>
                </c:pt>
                <c:pt idx="1180">
                  <c:v>1978.375</c:v>
                </c:pt>
                <c:pt idx="1181">
                  <c:v>1978.4583</c:v>
                </c:pt>
                <c:pt idx="1182">
                  <c:v>1978.5417</c:v>
                </c:pt>
                <c:pt idx="1183">
                  <c:v>1978.625</c:v>
                </c:pt>
                <c:pt idx="1184">
                  <c:v>1978.7083</c:v>
                </c:pt>
                <c:pt idx="1185">
                  <c:v>1978.7917</c:v>
                </c:pt>
                <c:pt idx="1186">
                  <c:v>1978.875</c:v>
                </c:pt>
                <c:pt idx="1187">
                  <c:v>1978.9583</c:v>
                </c:pt>
                <c:pt idx="1188">
                  <c:v>1979.0417</c:v>
                </c:pt>
                <c:pt idx="1189">
                  <c:v>1979.125</c:v>
                </c:pt>
                <c:pt idx="1190">
                  <c:v>1979.2083</c:v>
                </c:pt>
                <c:pt idx="1191">
                  <c:v>1979.2917</c:v>
                </c:pt>
                <c:pt idx="1192">
                  <c:v>1979.375</c:v>
                </c:pt>
                <c:pt idx="1193">
                  <c:v>1979.4583</c:v>
                </c:pt>
                <c:pt idx="1194">
                  <c:v>1979.5417</c:v>
                </c:pt>
                <c:pt idx="1195">
                  <c:v>1979.625</c:v>
                </c:pt>
                <c:pt idx="1196">
                  <c:v>1979.7083</c:v>
                </c:pt>
                <c:pt idx="1197">
                  <c:v>1979.7917</c:v>
                </c:pt>
                <c:pt idx="1198">
                  <c:v>1979.875</c:v>
                </c:pt>
                <c:pt idx="1199">
                  <c:v>1979.9583</c:v>
                </c:pt>
                <c:pt idx="1200">
                  <c:v>1980.0417</c:v>
                </c:pt>
                <c:pt idx="1201">
                  <c:v>1980.125</c:v>
                </c:pt>
                <c:pt idx="1202">
                  <c:v>1980.2083</c:v>
                </c:pt>
                <c:pt idx="1203">
                  <c:v>1980.2917</c:v>
                </c:pt>
                <c:pt idx="1204">
                  <c:v>1980.375</c:v>
                </c:pt>
                <c:pt idx="1205">
                  <c:v>1980.4583</c:v>
                </c:pt>
                <c:pt idx="1206">
                  <c:v>1980.5417</c:v>
                </c:pt>
                <c:pt idx="1207">
                  <c:v>1980.625</c:v>
                </c:pt>
                <c:pt idx="1208">
                  <c:v>1980.7083</c:v>
                </c:pt>
                <c:pt idx="1209">
                  <c:v>1980.7917</c:v>
                </c:pt>
                <c:pt idx="1210">
                  <c:v>1980.875</c:v>
                </c:pt>
                <c:pt idx="1211">
                  <c:v>1980.9583</c:v>
                </c:pt>
                <c:pt idx="1212">
                  <c:v>1981.0417</c:v>
                </c:pt>
                <c:pt idx="1213">
                  <c:v>1981.125</c:v>
                </c:pt>
                <c:pt idx="1214">
                  <c:v>1981.2083</c:v>
                </c:pt>
                <c:pt idx="1215">
                  <c:v>1981.2917</c:v>
                </c:pt>
                <c:pt idx="1216">
                  <c:v>1981.375</c:v>
                </c:pt>
                <c:pt idx="1217">
                  <c:v>1981.4583</c:v>
                </c:pt>
                <c:pt idx="1218">
                  <c:v>1981.5417</c:v>
                </c:pt>
                <c:pt idx="1219">
                  <c:v>1981.625</c:v>
                </c:pt>
                <c:pt idx="1220">
                  <c:v>1981.7083</c:v>
                </c:pt>
                <c:pt idx="1221">
                  <c:v>1981.7917</c:v>
                </c:pt>
                <c:pt idx="1222">
                  <c:v>1981.875</c:v>
                </c:pt>
                <c:pt idx="1223">
                  <c:v>1981.9583</c:v>
                </c:pt>
                <c:pt idx="1224">
                  <c:v>1982.0417</c:v>
                </c:pt>
                <c:pt idx="1225">
                  <c:v>1982.125</c:v>
                </c:pt>
                <c:pt idx="1226">
                  <c:v>1982.2083</c:v>
                </c:pt>
                <c:pt idx="1227">
                  <c:v>1982.2917</c:v>
                </c:pt>
                <c:pt idx="1228">
                  <c:v>1982.375</c:v>
                </c:pt>
                <c:pt idx="1229">
                  <c:v>1982.4583</c:v>
                </c:pt>
                <c:pt idx="1230">
                  <c:v>1982.5417</c:v>
                </c:pt>
                <c:pt idx="1231">
                  <c:v>1982.625</c:v>
                </c:pt>
                <c:pt idx="1232">
                  <c:v>1982.7083</c:v>
                </c:pt>
                <c:pt idx="1233">
                  <c:v>1982.7917</c:v>
                </c:pt>
                <c:pt idx="1234">
                  <c:v>1982.875</c:v>
                </c:pt>
                <c:pt idx="1235">
                  <c:v>1982.9583</c:v>
                </c:pt>
                <c:pt idx="1236">
                  <c:v>1983.0417</c:v>
                </c:pt>
                <c:pt idx="1237">
                  <c:v>1983.125</c:v>
                </c:pt>
                <c:pt idx="1238">
                  <c:v>1983.2083</c:v>
                </c:pt>
                <c:pt idx="1239">
                  <c:v>1983.2917</c:v>
                </c:pt>
                <c:pt idx="1240">
                  <c:v>1983.375</c:v>
                </c:pt>
                <c:pt idx="1241">
                  <c:v>1983.4583</c:v>
                </c:pt>
                <c:pt idx="1242">
                  <c:v>1983.5417</c:v>
                </c:pt>
                <c:pt idx="1243">
                  <c:v>1983.625</c:v>
                </c:pt>
                <c:pt idx="1244">
                  <c:v>1983.7083</c:v>
                </c:pt>
                <c:pt idx="1245">
                  <c:v>1983.7917</c:v>
                </c:pt>
                <c:pt idx="1246">
                  <c:v>1983.875</c:v>
                </c:pt>
                <c:pt idx="1247">
                  <c:v>1983.9583</c:v>
                </c:pt>
                <c:pt idx="1248">
                  <c:v>1984.0417</c:v>
                </c:pt>
                <c:pt idx="1249">
                  <c:v>1984.125</c:v>
                </c:pt>
                <c:pt idx="1250">
                  <c:v>1984.2083</c:v>
                </c:pt>
                <c:pt idx="1251">
                  <c:v>1984.2917</c:v>
                </c:pt>
                <c:pt idx="1252">
                  <c:v>1984.375</c:v>
                </c:pt>
                <c:pt idx="1253">
                  <c:v>1984.4583</c:v>
                </c:pt>
                <c:pt idx="1254">
                  <c:v>1984.5417</c:v>
                </c:pt>
                <c:pt idx="1255">
                  <c:v>1984.625</c:v>
                </c:pt>
                <c:pt idx="1256">
                  <c:v>1984.7083</c:v>
                </c:pt>
                <c:pt idx="1257">
                  <c:v>1984.7917</c:v>
                </c:pt>
                <c:pt idx="1258">
                  <c:v>1984.875</c:v>
                </c:pt>
                <c:pt idx="1259">
                  <c:v>1984.9583</c:v>
                </c:pt>
                <c:pt idx="1260">
                  <c:v>1985.0417</c:v>
                </c:pt>
                <c:pt idx="1261">
                  <c:v>1985.125</c:v>
                </c:pt>
                <c:pt idx="1262">
                  <c:v>1985.2083</c:v>
                </c:pt>
                <c:pt idx="1263">
                  <c:v>1985.2917</c:v>
                </c:pt>
                <c:pt idx="1264">
                  <c:v>1985.375</c:v>
                </c:pt>
                <c:pt idx="1265">
                  <c:v>1985.4583</c:v>
                </c:pt>
                <c:pt idx="1266">
                  <c:v>1985.5417</c:v>
                </c:pt>
                <c:pt idx="1267">
                  <c:v>1985.625</c:v>
                </c:pt>
                <c:pt idx="1268">
                  <c:v>1985.7083</c:v>
                </c:pt>
                <c:pt idx="1269">
                  <c:v>1985.7917</c:v>
                </c:pt>
                <c:pt idx="1270">
                  <c:v>1985.875</c:v>
                </c:pt>
                <c:pt idx="1271">
                  <c:v>1985.9583</c:v>
                </c:pt>
                <c:pt idx="1272">
                  <c:v>1986.0417</c:v>
                </c:pt>
                <c:pt idx="1273">
                  <c:v>1986.125</c:v>
                </c:pt>
                <c:pt idx="1274">
                  <c:v>1986.2083</c:v>
                </c:pt>
                <c:pt idx="1275">
                  <c:v>1986.2917</c:v>
                </c:pt>
                <c:pt idx="1276">
                  <c:v>1986.375</c:v>
                </c:pt>
                <c:pt idx="1277">
                  <c:v>1986.4583</c:v>
                </c:pt>
                <c:pt idx="1278">
                  <c:v>1986.5417</c:v>
                </c:pt>
                <c:pt idx="1279">
                  <c:v>1986.625</c:v>
                </c:pt>
                <c:pt idx="1280">
                  <c:v>1986.7083</c:v>
                </c:pt>
                <c:pt idx="1281">
                  <c:v>1986.7917</c:v>
                </c:pt>
                <c:pt idx="1282">
                  <c:v>1986.875</c:v>
                </c:pt>
                <c:pt idx="1283">
                  <c:v>1986.9583</c:v>
                </c:pt>
                <c:pt idx="1284">
                  <c:v>1987.0417</c:v>
                </c:pt>
                <c:pt idx="1285">
                  <c:v>1987.125</c:v>
                </c:pt>
                <c:pt idx="1286">
                  <c:v>1987.2083</c:v>
                </c:pt>
                <c:pt idx="1287">
                  <c:v>1987.2917</c:v>
                </c:pt>
                <c:pt idx="1288">
                  <c:v>1987.375</c:v>
                </c:pt>
                <c:pt idx="1289">
                  <c:v>1987.4583</c:v>
                </c:pt>
                <c:pt idx="1290">
                  <c:v>1987.5417</c:v>
                </c:pt>
                <c:pt idx="1291">
                  <c:v>1987.625</c:v>
                </c:pt>
                <c:pt idx="1292">
                  <c:v>1987.7083</c:v>
                </c:pt>
                <c:pt idx="1293">
                  <c:v>1987.7917</c:v>
                </c:pt>
                <c:pt idx="1294">
                  <c:v>1987.875</c:v>
                </c:pt>
                <c:pt idx="1295">
                  <c:v>1987.9583</c:v>
                </c:pt>
                <c:pt idx="1296">
                  <c:v>1988.0417</c:v>
                </c:pt>
                <c:pt idx="1297">
                  <c:v>1988.125</c:v>
                </c:pt>
                <c:pt idx="1298">
                  <c:v>1988.2083</c:v>
                </c:pt>
                <c:pt idx="1299">
                  <c:v>1988.2917</c:v>
                </c:pt>
                <c:pt idx="1300">
                  <c:v>1988.375</c:v>
                </c:pt>
                <c:pt idx="1301">
                  <c:v>1988.4583</c:v>
                </c:pt>
                <c:pt idx="1302">
                  <c:v>1988.5417</c:v>
                </c:pt>
                <c:pt idx="1303">
                  <c:v>1988.625</c:v>
                </c:pt>
                <c:pt idx="1304">
                  <c:v>1988.7083</c:v>
                </c:pt>
                <c:pt idx="1305">
                  <c:v>1988.7917</c:v>
                </c:pt>
                <c:pt idx="1306">
                  <c:v>1988.875</c:v>
                </c:pt>
                <c:pt idx="1307">
                  <c:v>1988.9583</c:v>
                </c:pt>
                <c:pt idx="1308">
                  <c:v>1989.0417</c:v>
                </c:pt>
                <c:pt idx="1309">
                  <c:v>1989.125</c:v>
                </c:pt>
                <c:pt idx="1310">
                  <c:v>1989.2083</c:v>
                </c:pt>
                <c:pt idx="1311">
                  <c:v>1989.2917</c:v>
                </c:pt>
                <c:pt idx="1312">
                  <c:v>1989.375</c:v>
                </c:pt>
                <c:pt idx="1313">
                  <c:v>1989.4583</c:v>
                </c:pt>
                <c:pt idx="1314">
                  <c:v>1989.5417</c:v>
                </c:pt>
                <c:pt idx="1315">
                  <c:v>1989.625</c:v>
                </c:pt>
                <c:pt idx="1316">
                  <c:v>1989.7083</c:v>
                </c:pt>
                <c:pt idx="1317">
                  <c:v>1989.7917</c:v>
                </c:pt>
                <c:pt idx="1318">
                  <c:v>1989.875</c:v>
                </c:pt>
                <c:pt idx="1319">
                  <c:v>1989.9583</c:v>
                </c:pt>
                <c:pt idx="1320">
                  <c:v>1990.0417</c:v>
                </c:pt>
                <c:pt idx="1321">
                  <c:v>1990.125</c:v>
                </c:pt>
                <c:pt idx="1322">
                  <c:v>1990.2083</c:v>
                </c:pt>
                <c:pt idx="1323">
                  <c:v>1990.2917</c:v>
                </c:pt>
                <c:pt idx="1324">
                  <c:v>1990.375</c:v>
                </c:pt>
                <c:pt idx="1325">
                  <c:v>1990.4583</c:v>
                </c:pt>
                <c:pt idx="1326">
                  <c:v>1990.5417</c:v>
                </c:pt>
                <c:pt idx="1327">
                  <c:v>1990.625</c:v>
                </c:pt>
                <c:pt idx="1328">
                  <c:v>1990.7083</c:v>
                </c:pt>
                <c:pt idx="1329">
                  <c:v>1990.7917</c:v>
                </c:pt>
                <c:pt idx="1330">
                  <c:v>1990.875</c:v>
                </c:pt>
                <c:pt idx="1331">
                  <c:v>1990.9583</c:v>
                </c:pt>
                <c:pt idx="1332">
                  <c:v>1991.0417</c:v>
                </c:pt>
                <c:pt idx="1333">
                  <c:v>1991.125</c:v>
                </c:pt>
                <c:pt idx="1334">
                  <c:v>1991.2083</c:v>
                </c:pt>
                <c:pt idx="1335">
                  <c:v>1991.2917</c:v>
                </c:pt>
                <c:pt idx="1336">
                  <c:v>1991.375</c:v>
                </c:pt>
                <c:pt idx="1337">
                  <c:v>1991.4583</c:v>
                </c:pt>
                <c:pt idx="1338">
                  <c:v>1991.5417</c:v>
                </c:pt>
                <c:pt idx="1339">
                  <c:v>1991.625</c:v>
                </c:pt>
                <c:pt idx="1340">
                  <c:v>1991.7083</c:v>
                </c:pt>
                <c:pt idx="1341">
                  <c:v>1991.7917</c:v>
                </c:pt>
                <c:pt idx="1342">
                  <c:v>1991.875</c:v>
                </c:pt>
                <c:pt idx="1343">
                  <c:v>1991.9583</c:v>
                </c:pt>
                <c:pt idx="1344">
                  <c:v>1992.0417</c:v>
                </c:pt>
                <c:pt idx="1345">
                  <c:v>1992.125</c:v>
                </c:pt>
                <c:pt idx="1346">
                  <c:v>1992.2083</c:v>
                </c:pt>
                <c:pt idx="1347">
                  <c:v>1992.2917</c:v>
                </c:pt>
                <c:pt idx="1348">
                  <c:v>1992.375</c:v>
                </c:pt>
                <c:pt idx="1349">
                  <c:v>1992.4583</c:v>
                </c:pt>
                <c:pt idx="1350">
                  <c:v>1992.5417</c:v>
                </c:pt>
                <c:pt idx="1351">
                  <c:v>1992.625</c:v>
                </c:pt>
                <c:pt idx="1352">
                  <c:v>1992.7083</c:v>
                </c:pt>
                <c:pt idx="1353">
                  <c:v>1992.7917</c:v>
                </c:pt>
                <c:pt idx="1354">
                  <c:v>1992.875</c:v>
                </c:pt>
                <c:pt idx="1355">
                  <c:v>1992.9583</c:v>
                </c:pt>
                <c:pt idx="1356">
                  <c:v>1993.0417</c:v>
                </c:pt>
                <c:pt idx="1357">
                  <c:v>1993.125</c:v>
                </c:pt>
                <c:pt idx="1358">
                  <c:v>1993.2083</c:v>
                </c:pt>
                <c:pt idx="1359">
                  <c:v>1993.2917</c:v>
                </c:pt>
                <c:pt idx="1360">
                  <c:v>1993.375</c:v>
                </c:pt>
                <c:pt idx="1361">
                  <c:v>1993.4583</c:v>
                </c:pt>
                <c:pt idx="1362">
                  <c:v>1993.5417</c:v>
                </c:pt>
                <c:pt idx="1363">
                  <c:v>1993.625</c:v>
                </c:pt>
                <c:pt idx="1364">
                  <c:v>1993.7083</c:v>
                </c:pt>
                <c:pt idx="1365">
                  <c:v>1993.7917</c:v>
                </c:pt>
                <c:pt idx="1366">
                  <c:v>1993.875</c:v>
                </c:pt>
                <c:pt idx="1367">
                  <c:v>1993.9583</c:v>
                </c:pt>
                <c:pt idx="1368">
                  <c:v>1994.0417</c:v>
                </c:pt>
                <c:pt idx="1369">
                  <c:v>1994.125</c:v>
                </c:pt>
                <c:pt idx="1370">
                  <c:v>1994.2083</c:v>
                </c:pt>
                <c:pt idx="1371">
                  <c:v>1994.2917</c:v>
                </c:pt>
                <c:pt idx="1372">
                  <c:v>1994.375</c:v>
                </c:pt>
                <c:pt idx="1373">
                  <c:v>1994.4583</c:v>
                </c:pt>
                <c:pt idx="1374">
                  <c:v>1994.5417</c:v>
                </c:pt>
                <c:pt idx="1375">
                  <c:v>1994.625</c:v>
                </c:pt>
                <c:pt idx="1376">
                  <c:v>1994.7083</c:v>
                </c:pt>
                <c:pt idx="1377">
                  <c:v>1994.7917</c:v>
                </c:pt>
                <c:pt idx="1378">
                  <c:v>1994.875</c:v>
                </c:pt>
                <c:pt idx="1379">
                  <c:v>1994.9583</c:v>
                </c:pt>
                <c:pt idx="1380">
                  <c:v>1995.0417</c:v>
                </c:pt>
                <c:pt idx="1381">
                  <c:v>1995.125</c:v>
                </c:pt>
                <c:pt idx="1382">
                  <c:v>1995.2083</c:v>
                </c:pt>
                <c:pt idx="1383">
                  <c:v>1995.2917</c:v>
                </c:pt>
                <c:pt idx="1384">
                  <c:v>1995.375</c:v>
                </c:pt>
                <c:pt idx="1385">
                  <c:v>1995.4583</c:v>
                </c:pt>
                <c:pt idx="1386">
                  <c:v>1995.5417</c:v>
                </c:pt>
                <c:pt idx="1387">
                  <c:v>1995.625</c:v>
                </c:pt>
                <c:pt idx="1388">
                  <c:v>1995.7083</c:v>
                </c:pt>
                <c:pt idx="1389">
                  <c:v>1995.7917</c:v>
                </c:pt>
                <c:pt idx="1390">
                  <c:v>1995.875</c:v>
                </c:pt>
                <c:pt idx="1391">
                  <c:v>1995.9583</c:v>
                </c:pt>
                <c:pt idx="1392">
                  <c:v>1996.0417</c:v>
                </c:pt>
                <c:pt idx="1393">
                  <c:v>1996.125</c:v>
                </c:pt>
                <c:pt idx="1394">
                  <c:v>1996.2083</c:v>
                </c:pt>
                <c:pt idx="1395">
                  <c:v>1996.2917</c:v>
                </c:pt>
                <c:pt idx="1396">
                  <c:v>1996.375</c:v>
                </c:pt>
                <c:pt idx="1397">
                  <c:v>1996.4583</c:v>
                </c:pt>
                <c:pt idx="1398">
                  <c:v>1996.5417</c:v>
                </c:pt>
                <c:pt idx="1399">
                  <c:v>1996.625</c:v>
                </c:pt>
                <c:pt idx="1400">
                  <c:v>1996.7083</c:v>
                </c:pt>
                <c:pt idx="1401">
                  <c:v>1996.7917</c:v>
                </c:pt>
                <c:pt idx="1402">
                  <c:v>1996.875</c:v>
                </c:pt>
                <c:pt idx="1403">
                  <c:v>1996.9583</c:v>
                </c:pt>
                <c:pt idx="1404">
                  <c:v>1997.0417</c:v>
                </c:pt>
                <c:pt idx="1405">
                  <c:v>1997.125</c:v>
                </c:pt>
                <c:pt idx="1406">
                  <c:v>1997.2083</c:v>
                </c:pt>
                <c:pt idx="1407">
                  <c:v>1997.2917</c:v>
                </c:pt>
                <c:pt idx="1408">
                  <c:v>1997.375</c:v>
                </c:pt>
                <c:pt idx="1409">
                  <c:v>1997.4583</c:v>
                </c:pt>
                <c:pt idx="1410">
                  <c:v>1997.5417</c:v>
                </c:pt>
                <c:pt idx="1411">
                  <c:v>1997.625</c:v>
                </c:pt>
                <c:pt idx="1412">
                  <c:v>1997.7083</c:v>
                </c:pt>
                <c:pt idx="1413">
                  <c:v>1997.7917</c:v>
                </c:pt>
                <c:pt idx="1414">
                  <c:v>1997.875</c:v>
                </c:pt>
                <c:pt idx="1415">
                  <c:v>1997.9583</c:v>
                </c:pt>
                <c:pt idx="1416">
                  <c:v>1998.0417</c:v>
                </c:pt>
                <c:pt idx="1417">
                  <c:v>1998.125</c:v>
                </c:pt>
                <c:pt idx="1418">
                  <c:v>1998.2083</c:v>
                </c:pt>
                <c:pt idx="1419">
                  <c:v>1998.2917</c:v>
                </c:pt>
                <c:pt idx="1420">
                  <c:v>1998.375</c:v>
                </c:pt>
                <c:pt idx="1421">
                  <c:v>1998.4583</c:v>
                </c:pt>
                <c:pt idx="1422">
                  <c:v>1998.5417</c:v>
                </c:pt>
                <c:pt idx="1423">
                  <c:v>1998.625</c:v>
                </c:pt>
                <c:pt idx="1424">
                  <c:v>1998.7083</c:v>
                </c:pt>
                <c:pt idx="1425">
                  <c:v>1998.7917</c:v>
                </c:pt>
                <c:pt idx="1426">
                  <c:v>1998.875</c:v>
                </c:pt>
                <c:pt idx="1427">
                  <c:v>1998.9583</c:v>
                </c:pt>
                <c:pt idx="1428">
                  <c:v>1999.0417</c:v>
                </c:pt>
                <c:pt idx="1429">
                  <c:v>1999.125</c:v>
                </c:pt>
                <c:pt idx="1430">
                  <c:v>1999.2083</c:v>
                </c:pt>
                <c:pt idx="1431">
                  <c:v>1999.2917</c:v>
                </c:pt>
                <c:pt idx="1432">
                  <c:v>1999.375</c:v>
                </c:pt>
                <c:pt idx="1433">
                  <c:v>1999.4583</c:v>
                </c:pt>
                <c:pt idx="1434">
                  <c:v>1999.5417</c:v>
                </c:pt>
                <c:pt idx="1435">
                  <c:v>1999.625</c:v>
                </c:pt>
                <c:pt idx="1436">
                  <c:v>1999.7083</c:v>
                </c:pt>
                <c:pt idx="1437">
                  <c:v>1999.7917</c:v>
                </c:pt>
                <c:pt idx="1438">
                  <c:v>1999.875</c:v>
                </c:pt>
                <c:pt idx="1439">
                  <c:v>1999.9583</c:v>
                </c:pt>
                <c:pt idx="1440">
                  <c:v>2000.0417</c:v>
                </c:pt>
                <c:pt idx="1441">
                  <c:v>2000.125</c:v>
                </c:pt>
                <c:pt idx="1442">
                  <c:v>2000.2083</c:v>
                </c:pt>
                <c:pt idx="1443">
                  <c:v>2000.2917</c:v>
                </c:pt>
                <c:pt idx="1444">
                  <c:v>2000.375</c:v>
                </c:pt>
                <c:pt idx="1445">
                  <c:v>2000.4583</c:v>
                </c:pt>
                <c:pt idx="1446">
                  <c:v>2000.5417</c:v>
                </c:pt>
                <c:pt idx="1447">
                  <c:v>2000.625</c:v>
                </c:pt>
                <c:pt idx="1448">
                  <c:v>2000.7083</c:v>
                </c:pt>
                <c:pt idx="1449">
                  <c:v>2000.7917</c:v>
                </c:pt>
                <c:pt idx="1450">
                  <c:v>2000.875</c:v>
                </c:pt>
                <c:pt idx="1451">
                  <c:v>2000.9583</c:v>
                </c:pt>
                <c:pt idx="1452">
                  <c:v>2001.0417</c:v>
                </c:pt>
                <c:pt idx="1453">
                  <c:v>2001.125</c:v>
                </c:pt>
                <c:pt idx="1454">
                  <c:v>2001.2083</c:v>
                </c:pt>
                <c:pt idx="1455">
                  <c:v>2001.2917</c:v>
                </c:pt>
                <c:pt idx="1456">
                  <c:v>2001.375</c:v>
                </c:pt>
                <c:pt idx="1457">
                  <c:v>2001.4583</c:v>
                </c:pt>
                <c:pt idx="1458">
                  <c:v>2001.5417</c:v>
                </c:pt>
                <c:pt idx="1459">
                  <c:v>2001.625</c:v>
                </c:pt>
                <c:pt idx="1460">
                  <c:v>2001.7083</c:v>
                </c:pt>
                <c:pt idx="1461">
                  <c:v>2001.7917</c:v>
                </c:pt>
                <c:pt idx="1462">
                  <c:v>2001.875</c:v>
                </c:pt>
                <c:pt idx="1463">
                  <c:v>2001.9583</c:v>
                </c:pt>
                <c:pt idx="1464">
                  <c:v>2002.0417</c:v>
                </c:pt>
                <c:pt idx="1465">
                  <c:v>2002.125</c:v>
                </c:pt>
                <c:pt idx="1466">
                  <c:v>2002.2083</c:v>
                </c:pt>
                <c:pt idx="1467">
                  <c:v>2002.2917</c:v>
                </c:pt>
                <c:pt idx="1468">
                  <c:v>2002.375</c:v>
                </c:pt>
                <c:pt idx="1469">
                  <c:v>2002.4583</c:v>
                </c:pt>
                <c:pt idx="1470">
                  <c:v>2002.5417</c:v>
                </c:pt>
                <c:pt idx="1471">
                  <c:v>2002.625</c:v>
                </c:pt>
                <c:pt idx="1472">
                  <c:v>2002.7083</c:v>
                </c:pt>
                <c:pt idx="1473">
                  <c:v>2002.7917</c:v>
                </c:pt>
                <c:pt idx="1474">
                  <c:v>2002.875</c:v>
                </c:pt>
                <c:pt idx="1475">
                  <c:v>2002.9583</c:v>
                </c:pt>
                <c:pt idx="1476">
                  <c:v>2003.0417</c:v>
                </c:pt>
                <c:pt idx="1477">
                  <c:v>2003.125</c:v>
                </c:pt>
                <c:pt idx="1478">
                  <c:v>2003.2083</c:v>
                </c:pt>
                <c:pt idx="1479">
                  <c:v>2003.2917</c:v>
                </c:pt>
                <c:pt idx="1480">
                  <c:v>2003.375</c:v>
                </c:pt>
                <c:pt idx="1481">
                  <c:v>2003.4583</c:v>
                </c:pt>
                <c:pt idx="1482">
                  <c:v>2003.5417</c:v>
                </c:pt>
                <c:pt idx="1483">
                  <c:v>2003.625</c:v>
                </c:pt>
                <c:pt idx="1484">
                  <c:v>2003.7083</c:v>
                </c:pt>
                <c:pt idx="1485">
                  <c:v>2003.7917</c:v>
                </c:pt>
                <c:pt idx="1486">
                  <c:v>2003.875</c:v>
                </c:pt>
                <c:pt idx="1487">
                  <c:v>2003.9583</c:v>
                </c:pt>
                <c:pt idx="1488">
                  <c:v>2004.0417</c:v>
                </c:pt>
                <c:pt idx="1489">
                  <c:v>2004.125</c:v>
                </c:pt>
                <c:pt idx="1490">
                  <c:v>2004.2083</c:v>
                </c:pt>
                <c:pt idx="1491">
                  <c:v>2004.2917</c:v>
                </c:pt>
                <c:pt idx="1492">
                  <c:v>2004.375</c:v>
                </c:pt>
                <c:pt idx="1493">
                  <c:v>2004.4583</c:v>
                </c:pt>
                <c:pt idx="1494">
                  <c:v>2004.5417</c:v>
                </c:pt>
                <c:pt idx="1495">
                  <c:v>2004.625</c:v>
                </c:pt>
                <c:pt idx="1496">
                  <c:v>2004.7083</c:v>
                </c:pt>
                <c:pt idx="1497">
                  <c:v>2004.7917</c:v>
                </c:pt>
                <c:pt idx="1498">
                  <c:v>2004.875</c:v>
                </c:pt>
                <c:pt idx="1499">
                  <c:v>2004.9583</c:v>
                </c:pt>
                <c:pt idx="1500">
                  <c:v>2005.0417</c:v>
                </c:pt>
                <c:pt idx="1501">
                  <c:v>2005.125</c:v>
                </c:pt>
                <c:pt idx="1502">
                  <c:v>2005.2083</c:v>
                </c:pt>
                <c:pt idx="1503">
                  <c:v>2005.2917</c:v>
                </c:pt>
                <c:pt idx="1504">
                  <c:v>2005.375</c:v>
                </c:pt>
                <c:pt idx="1505">
                  <c:v>2005.4583</c:v>
                </c:pt>
                <c:pt idx="1506">
                  <c:v>2005.5417</c:v>
                </c:pt>
                <c:pt idx="1507">
                  <c:v>2005.625</c:v>
                </c:pt>
                <c:pt idx="1508">
                  <c:v>2005.7083</c:v>
                </c:pt>
                <c:pt idx="1509">
                  <c:v>2005.7917</c:v>
                </c:pt>
                <c:pt idx="1510">
                  <c:v>2005.875</c:v>
                </c:pt>
                <c:pt idx="1511">
                  <c:v>2005.9583</c:v>
                </c:pt>
                <c:pt idx="1512">
                  <c:v>2006.0417</c:v>
                </c:pt>
                <c:pt idx="1513">
                  <c:v>2006.125</c:v>
                </c:pt>
                <c:pt idx="1514">
                  <c:v>2006.2083</c:v>
                </c:pt>
                <c:pt idx="1515">
                  <c:v>2006.2917</c:v>
                </c:pt>
                <c:pt idx="1516">
                  <c:v>2006.375</c:v>
                </c:pt>
                <c:pt idx="1517">
                  <c:v>2006.4583</c:v>
                </c:pt>
                <c:pt idx="1518">
                  <c:v>2006.5417</c:v>
                </c:pt>
                <c:pt idx="1519">
                  <c:v>2006.625</c:v>
                </c:pt>
                <c:pt idx="1520">
                  <c:v>2006.7083</c:v>
                </c:pt>
                <c:pt idx="1521">
                  <c:v>2006.7917</c:v>
                </c:pt>
                <c:pt idx="1522">
                  <c:v>2006.875</c:v>
                </c:pt>
                <c:pt idx="1523">
                  <c:v>2006.9583</c:v>
                </c:pt>
                <c:pt idx="1524">
                  <c:v>2007.0417</c:v>
                </c:pt>
                <c:pt idx="1525">
                  <c:v>2007.125</c:v>
                </c:pt>
                <c:pt idx="1526">
                  <c:v>2007.2083</c:v>
                </c:pt>
                <c:pt idx="1527">
                  <c:v>2007.2917</c:v>
                </c:pt>
                <c:pt idx="1528">
                  <c:v>2007.375</c:v>
                </c:pt>
                <c:pt idx="1529">
                  <c:v>2007.4583</c:v>
                </c:pt>
                <c:pt idx="1530">
                  <c:v>2007.5417</c:v>
                </c:pt>
                <c:pt idx="1531">
                  <c:v>2007.625</c:v>
                </c:pt>
                <c:pt idx="1532">
                  <c:v>2007.7083</c:v>
                </c:pt>
                <c:pt idx="1533">
                  <c:v>2007.7917</c:v>
                </c:pt>
                <c:pt idx="1534">
                  <c:v>2007.875</c:v>
                </c:pt>
                <c:pt idx="1535">
                  <c:v>2007.9583</c:v>
                </c:pt>
                <c:pt idx="1536">
                  <c:v>2008.0417</c:v>
                </c:pt>
                <c:pt idx="1537">
                  <c:v>2008.125</c:v>
                </c:pt>
                <c:pt idx="1538">
                  <c:v>2008.2083</c:v>
                </c:pt>
                <c:pt idx="1539">
                  <c:v>2008.2917</c:v>
                </c:pt>
                <c:pt idx="1540">
                  <c:v>2008.375</c:v>
                </c:pt>
                <c:pt idx="1541">
                  <c:v>2008.4583</c:v>
                </c:pt>
                <c:pt idx="1542">
                  <c:v>2008.5417</c:v>
                </c:pt>
                <c:pt idx="1543">
                  <c:v>2008.625</c:v>
                </c:pt>
                <c:pt idx="1544">
                  <c:v>2008.7083</c:v>
                </c:pt>
                <c:pt idx="1545">
                  <c:v>2008.7917</c:v>
                </c:pt>
                <c:pt idx="1546">
                  <c:v>2008.875</c:v>
                </c:pt>
                <c:pt idx="1547">
                  <c:v>2008.9583</c:v>
                </c:pt>
                <c:pt idx="1548">
                  <c:v>2009.0417</c:v>
                </c:pt>
                <c:pt idx="1549">
                  <c:v>2009.125</c:v>
                </c:pt>
                <c:pt idx="1550">
                  <c:v>2009.2083</c:v>
                </c:pt>
                <c:pt idx="1551">
                  <c:v>2009.2917</c:v>
                </c:pt>
                <c:pt idx="1552">
                  <c:v>2009.375</c:v>
                </c:pt>
                <c:pt idx="1553">
                  <c:v>2009.4583</c:v>
                </c:pt>
                <c:pt idx="1554">
                  <c:v>2009.5417</c:v>
                </c:pt>
                <c:pt idx="1555">
                  <c:v>2009.625</c:v>
                </c:pt>
                <c:pt idx="1556">
                  <c:v>2009.7083</c:v>
                </c:pt>
                <c:pt idx="1557">
                  <c:v>2009.7917</c:v>
                </c:pt>
                <c:pt idx="1558">
                  <c:v>2009.875</c:v>
                </c:pt>
                <c:pt idx="1559">
                  <c:v>2009.9583</c:v>
                </c:pt>
                <c:pt idx="1560">
                  <c:v>2010.0417</c:v>
                </c:pt>
                <c:pt idx="1561">
                  <c:v>2010.125</c:v>
                </c:pt>
                <c:pt idx="1562">
                  <c:v>2010.2083</c:v>
                </c:pt>
                <c:pt idx="1563">
                  <c:v>2010.2917</c:v>
                </c:pt>
                <c:pt idx="1564">
                  <c:v>2010.375</c:v>
                </c:pt>
                <c:pt idx="1565">
                  <c:v>2010.4583</c:v>
                </c:pt>
                <c:pt idx="1566">
                  <c:v>2010.5417</c:v>
                </c:pt>
                <c:pt idx="1567">
                  <c:v>2010.625</c:v>
                </c:pt>
                <c:pt idx="1568">
                  <c:v>2010.7083</c:v>
                </c:pt>
                <c:pt idx="1569">
                  <c:v>2010.7917</c:v>
                </c:pt>
                <c:pt idx="1570">
                  <c:v>2010.875</c:v>
                </c:pt>
                <c:pt idx="1571">
                  <c:v>2010.9583</c:v>
                </c:pt>
                <c:pt idx="1572">
                  <c:v>2011.0417</c:v>
                </c:pt>
                <c:pt idx="1573">
                  <c:v>2011.125</c:v>
                </c:pt>
                <c:pt idx="1574">
                  <c:v>2011.2083</c:v>
                </c:pt>
                <c:pt idx="1575">
                  <c:v>2011.2917</c:v>
                </c:pt>
                <c:pt idx="1576">
                  <c:v>2011.375</c:v>
                </c:pt>
                <c:pt idx="1577">
                  <c:v>2011.4583</c:v>
                </c:pt>
                <c:pt idx="1578">
                  <c:v>2011.5417</c:v>
                </c:pt>
                <c:pt idx="1579">
                  <c:v>2011.625</c:v>
                </c:pt>
                <c:pt idx="1580">
                  <c:v>2011.7083</c:v>
                </c:pt>
                <c:pt idx="1581">
                  <c:v>2011.7917</c:v>
                </c:pt>
                <c:pt idx="1582">
                  <c:v>2011.875</c:v>
                </c:pt>
                <c:pt idx="1583">
                  <c:v>2011.9583</c:v>
                </c:pt>
                <c:pt idx="1584">
                  <c:v>2012.0417</c:v>
                </c:pt>
                <c:pt idx="1585">
                  <c:v>2012.125</c:v>
                </c:pt>
                <c:pt idx="1586">
                  <c:v>2012.2083</c:v>
                </c:pt>
                <c:pt idx="1587">
                  <c:v>2012.2917</c:v>
                </c:pt>
                <c:pt idx="1588">
                  <c:v>2012.375</c:v>
                </c:pt>
                <c:pt idx="1589">
                  <c:v>2012.4583</c:v>
                </c:pt>
                <c:pt idx="1590">
                  <c:v>2012.5417</c:v>
                </c:pt>
                <c:pt idx="1591">
                  <c:v>2012.625</c:v>
                </c:pt>
                <c:pt idx="1592">
                  <c:v>2012.7083</c:v>
                </c:pt>
                <c:pt idx="1593">
                  <c:v>2012.7917</c:v>
                </c:pt>
                <c:pt idx="1594">
                  <c:v>2012.875</c:v>
                </c:pt>
                <c:pt idx="1595">
                  <c:v>2012.9583</c:v>
                </c:pt>
                <c:pt idx="1596">
                  <c:v>2013.0417</c:v>
                </c:pt>
                <c:pt idx="1597">
                  <c:v>2013.125</c:v>
                </c:pt>
                <c:pt idx="1598">
                  <c:v>2013.2083</c:v>
                </c:pt>
                <c:pt idx="1599">
                  <c:v>2013.2917</c:v>
                </c:pt>
                <c:pt idx="1600">
                  <c:v>2013.375</c:v>
                </c:pt>
                <c:pt idx="1601">
                  <c:v>2013.4583</c:v>
                </c:pt>
                <c:pt idx="1602">
                  <c:v>2013.5417</c:v>
                </c:pt>
                <c:pt idx="1603">
                  <c:v>2013.625</c:v>
                </c:pt>
                <c:pt idx="1604">
                  <c:v>2013.7083</c:v>
                </c:pt>
                <c:pt idx="1605">
                  <c:v>2013.7917</c:v>
                </c:pt>
                <c:pt idx="1606">
                  <c:v>2013.875</c:v>
                </c:pt>
                <c:pt idx="1607">
                  <c:v>2013.9583</c:v>
                </c:pt>
                <c:pt idx="1608">
                  <c:v>2014.0417</c:v>
                </c:pt>
                <c:pt idx="1609">
                  <c:v>2014.125</c:v>
                </c:pt>
                <c:pt idx="1610">
                  <c:v>2014.2083</c:v>
                </c:pt>
                <c:pt idx="1611">
                  <c:v>2014.2917</c:v>
                </c:pt>
                <c:pt idx="1612">
                  <c:v>2014.375</c:v>
                </c:pt>
                <c:pt idx="1613">
                  <c:v>2014.4583</c:v>
                </c:pt>
                <c:pt idx="1614">
                  <c:v>2014.5417</c:v>
                </c:pt>
                <c:pt idx="1615">
                  <c:v>2014.625</c:v>
                </c:pt>
                <c:pt idx="1616">
                  <c:v>2014.7083</c:v>
                </c:pt>
                <c:pt idx="1617">
                  <c:v>2014.7917</c:v>
                </c:pt>
                <c:pt idx="1618">
                  <c:v>2014.875</c:v>
                </c:pt>
                <c:pt idx="1619">
                  <c:v>2014.9583</c:v>
                </c:pt>
                <c:pt idx="1620">
                  <c:v>2015.0417</c:v>
                </c:pt>
                <c:pt idx="1621">
                  <c:v>2015.125</c:v>
                </c:pt>
                <c:pt idx="1622">
                  <c:v>2015.2083</c:v>
                </c:pt>
                <c:pt idx="1623">
                  <c:v>2015.2917</c:v>
                </c:pt>
                <c:pt idx="1624">
                  <c:v>2015.375</c:v>
                </c:pt>
                <c:pt idx="1625">
                  <c:v>2015.4583</c:v>
                </c:pt>
                <c:pt idx="1626">
                  <c:v>2015.5417</c:v>
                </c:pt>
                <c:pt idx="1627">
                  <c:v>2015.625</c:v>
                </c:pt>
                <c:pt idx="1628">
                  <c:v>2015.7083</c:v>
                </c:pt>
                <c:pt idx="1629">
                  <c:v>2015.7917</c:v>
                </c:pt>
                <c:pt idx="1630">
                  <c:v>2015.875</c:v>
                </c:pt>
                <c:pt idx="1631">
                  <c:v>2015.9583</c:v>
                </c:pt>
                <c:pt idx="1632">
                  <c:v>2016.0417</c:v>
                </c:pt>
                <c:pt idx="1633">
                  <c:v>2016.125</c:v>
                </c:pt>
                <c:pt idx="1634">
                  <c:v>2016.2083</c:v>
                </c:pt>
                <c:pt idx="1635">
                  <c:v>2016.2917</c:v>
                </c:pt>
                <c:pt idx="1636">
                  <c:v>2016.375</c:v>
                </c:pt>
                <c:pt idx="1637">
                  <c:v>2016.4583</c:v>
                </c:pt>
                <c:pt idx="1638">
                  <c:v>2016.5417</c:v>
                </c:pt>
                <c:pt idx="1639">
                  <c:v>2016.625</c:v>
                </c:pt>
                <c:pt idx="1640">
                  <c:v>2016.7083</c:v>
                </c:pt>
                <c:pt idx="1641">
                  <c:v>2016.7917</c:v>
                </c:pt>
                <c:pt idx="1642">
                  <c:v>2016.875</c:v>
                </c:pt>
                <c:pt idx="1643">
                  <c:v>2016.9583</c:v>
                </c:pt>
                <c:pt idx="1644">
                  <c:v>2017.0417</c:v>
                </c:pt>
                <c:pt idx="1645">
                  <c:v>2017.125</c:v>
                </c:pt>
                <c:pt idx="1646">
                  <c:v>2017.2083</c:v>
                </c:pt>
                <c:pt idx="1647">
                  <c:v>2017.2917</c:v>
                </c:pt>
                <c:pt idx="1648">
                  <c:v>2017.375</c:v>
                </c:pt>
                <c:pt idx="1649">
                  <c:v>2017.4583</c:v>
                </c:pt>
                <c:pt idx="1650">
                  <c:v>2017.5417</c:v>
                </c:pt>
                <c:pt idx="1651">
                  <c:v>2017.625</c:v>
                </c:pt>
                <c:pt idx="1652">
                  <c:v>2017.7083</c:v>
                </c:pt>
                <c:pt idx="1653">
                  <c:v>2017.7917</c:v>
                </c:pt>
                <c:pt idx="1654">
                  <c:v>2017.875</c:v>
                </c:pt>
                <c:pt idx="1655">
                  <c:v>2017.9583</c:v>
                </c:pt>
                <c:pt idx="1656">
                  <c:v>2018.0417</c:v>
                </c:pt>
                <c:pt idx="1657">
                  <c:v>2018.125</c:v>
                </c:pt>
                <c:pt idx="1658">
                  <c:v>2018.2083</c:v>
                </c:pt>
                <c:pt idx="1659">
                  <c:v>2018.2917</c:v>
                </c:pt>
                <c:pt idx="1660">
                  <c:v>2018.375</c:v>
                </c:pt>
                <c:pt idx="1661">
                  <c:v>2018.4583</c:v>
                </c:pt>
                <c:pt idx="1662">
                  <c:v>2018.5417</c:v>
                </c:pt>
                <c:pt idx="1663">
                  <c:v>2018.625</c:v>
                </c:pt>
                <c:pt idx="1664">
                  <c:v>2018.7083</c:v>
                </c:pt>
                <c:pt idx="1665">
                  <c:v>2018.7917</c:v>
                </c:pt>
                <c:pt idx="1666">
                  <c:v>2018.875</c:v>
                </c:pt>
                <c:pt idx="1667">
                  <c:v>2018.9583</c:v>
                </c:pt>
                <c:pt idx="1668">
                  <c:v>2019.0417</c:v>
                </c:pt>
                <c:pt idx="1669">
                  <c:v>2019.125</c:v>
                </c:pt>
                <c:pt idx="1670">
                  <c:v>2019.2083</c:v>
                </c:pt>
                <c:pt idx="1671">
                  <c:v>2019.2917</c:v>
                </c:pt>
                <c:pt idx="1672">
                  <c:v>2019.375</c:v>
                </c:pt>
                <c:pt idx="1673">
                  <c:v>2019.4583</c:v>
                </c:pt>
                <c:pt idx="1674">
                  <c:v>2019.5417</c:v>
                </c:pt>
                <c:pt idx="1675">
                  <c:v>2019.625</c:v>
                </c:pt>
                <c:pt idx="1676">
                  <c:v>2019.7083</c:v>
                </c:pt>
                <c:pt idx="1677">
                  <c:v>2019.7917</c:v>
                </c:pt>
                <c:pt idx="1678">
                  <c:v>2019.875</c:v>
                </c:pt>
                <c:pt idx="1679">
                  <c:v>2019.9583</c:v>
                </c:pt>
                <c:pt idx="1680">
                  <c:v>2020.0417</c:v>
                </c:pt>
                <c:pt idx="1681">
                  <c:v>2020.125</c:v>
                </c:pt>
                <c:pt idx="1682">
                  <c:v>2020.2083</c:v>
                </c:pt>
                <c:pt idx="1683">
                  <c:v>2020.2917</c:v>
                </c:pt>
                <c:pt idx="1684">
                  <c:v>2020.375</c:v>
                </c:pt>
                <c:pt idx="1685">
                  <c:v>2020.4583</c:v>
                </c:pt>
                <c:pt idx="1686">
                  <c:v>2020.5417</c:v>
                </c:pt>
                <c:pt idx="1687">
                  <c:v>2020.625</c:v>
                </c:pt>
                <c:pt idx="1688">
                  <c:v>2020.7083</c:v>
                </c:pt>
                <c:pt idx="1689">
                  <c:v>2020.7917</c:v>
                </c:pt>
                <c:pt idx="1690">
                  <c:v>2020.875</c:v>
                </c:pt>
                <c:pt idx="1691">
                  <c:v>2020.9583</c:v>
                </c:pt>
                <c:pt idx="1692">
                  <c:v>2021.0417</c:v>
                </c:pt>
                <c:pt idx="1693">
                  <c:v>2021.125</c:v>
                </c:pt>
                <c:pt idx="1694">
                  <c:v>2021.2083</c:v>
                </c:pt>
                <c:pt idx="1695">
                  <c:v>2021.2917</c:v>
                </c:pt>
                <c:pt idx="1696">
                  <c:v>2021.375</c:v>
                </c:pt>
                <c:pt idx="1697">
                  <c:v>2021.4583</c:v>
                </c:pt>
                <c:pt idx="1698">
                  <c:v>2021.5417</c:v>
                </c:pt>
                <c:pt idx="1699">
                  <c:v>2021.625</c:v>
                </c:pt>
                <c:pt idx="1700">
                  <c:v>2021.7083</c:v>
                </c:pt>
                <c:pt idx="1701">
                  <c:v>2021.7917</c:v>
                </c:pt>
                <c:pt idx="1702">
                  <c:v>2021.875</c:v>
                </c:pt>
                <c:pt idx="1703">
                  <c:v>2021.9583</c:v>
                </c:pt>
                <c:pt idx="1704">
                  <c:v>2022.0417</c:v>
                </c:pt>
                <c:pt idx="1705">
                  <c:v>2022.125</c:v>
                </c:pt>
                <c:pt idx="1706">
                  <c:v>2022.2083</c:v>
                </c:pt>
                <c:pt idx="1707">
                  <c:v>2022.2917</c:v>
                </c:pt>
                <c:pt idx="1708">
                  <c:v>2022.375</c:v>
                </c:pt>
                <c:pt idx="1709">
                  <c:v>2022.4583</c:v>
                </c:pt>
                <c:pt idx="1710">
                  <c:v>2022.5417</c:v>
                </c:pt>
                <c:pt idx="1711">
                  <c:v>2022.625</c:v>
                </c:pt>
                <c:pt idx="1712">
                  <c:v>2022.7083</c:v>
                </c:pt>
                <c:pt idx="1713">
                  <c:v>2022.7917</c:v>
                </c:pt>
                <c:pt idx="1714">
                  <c:v>2022.875</c:v>
                </c:pt>
                <c:pt idx="1715">
                  <c:v>2022.9583</c:v>
                </c:pt>
                <c:pt idx="1716">
                  <c:v>2023.0417</c:v>
                </c:pt>
                <c:pt idx="1717">
                  <c:v>2023.125</c:v>
                </c:pt>
                <c:pt idx="1718">
                  <c:v>2023.2083</c:v>
                </c:pt>
                <c:pt idx="1719">
                  <c:v>2023.2917</c:v>
                </c:pt>
                <c:pt idx="1720">
                  <c:v>2023.375</c:v>
                </c:pt>
                <c:pt idx="1721">
                  <c:v>2023.4583</c:v>
                </c:pt>
                <c:pt idx="1722">
                  <c:v>2023.5417</c:v>
                </c:pt>
                <c:pt idx="1723">
                  <c:v>2023.625</c:v>
                </c:pt>
                <c:pt idx="1724">
                  <c:v>2023.7083</c:v>
                </c:pt>
                <c:pt idx="1725">
                  <c:v>2023.7917</c:v>
                </c:pt>
                <c:pt idx="1726">
                  <c:v>2023.875</c:v>
                </c:pt>
                <c:pt idx="1727">
                  <c:v>2023.9583</c:v>
                </c:pt>
                <c:pt idx="1728">
                  <c:v>2024.0417</c:v>
                </c:pt>
                <c:pt idx="1729">
                  <c:v>2024.125</c:v>
                </c:pt>
                <c:pt idx="1730">
                  <c:v>2024.2083</c:v>
                </c:pt>
              </c:numCache>
            </c:numRef>
          </c:xVal>
          <c:yVal>
            <c:numRef>
              <c:f>Sheet1!$AA$2:$AA$1732</c:f>
              <c:numCache>
                <c:formatCode>0.000000</c:formatCode>
                <c:ptCount val="1731"/>
                <c:pt idx="0">
                  <c:v>0.57832600000000001</c:v>
                </c:pt>
                <c:pt idx="1">
                  <c:v>0.50465800000000005</c:v>
                </c:pt>
                <c:pt idx="2">
                  <c:v>0.35098999999999997</c:v>
                </c:pt>
                <c:pt idx="3">
                  <c:v>0.41116399999999997</c:v>
                </c:pt>
                <c:pt idx="4">
                  <c:v>0.42057</c:v>
                </c:pt>
                <c:pt idx="5">
                  <c:v>0.38689799999999996</c:v>
                </c:pt>
                <c:pt idx="6">
                  <c:v>0.70860800000000002</c:v>
                </c:pt>
                <c:pt idx="7">
                  <c:v>0.66108599999999995</c:v>
                </c:pt>
                <c:pt idx="8">
                  <c:v>0.73971799999999999</c:v>
                </c:pt>
                <c:pt idx="9">
                  <c:v>0.71680999999999995</c:v>
                </c:pt>
                <c:pt idx="10">
                  <c:v>0.82159400000000005</c:v>
                </c:pt>
                <c:pt idx="11">
                  <c:v>1.0048380000000001</c:v>
                </c:pt>
                <c:pt idx="12">
                  <c:v>1.058848</c:v>
                </c:pt>
                <c:pt idx="13">
                  <c:v>1.314398</c:v>
                </c:pt>
                <c:pt idx="14">
                  <c:v>1.4037919999999999</c:v>
                </c:pt>
                <c:pt idx="15">
                  <c:v>1.431646</c:v>
                </c:pt>
                <c:pt idx="16">
                  <c:v>1.01027</c:v>
                </c:pt>
                <c:pt idx="17">
                  <c:v>0.72119800000000001</c:v>
                </c:pt>
                <c:pt idx="18">
                  <c:v>0.34289400000000003</c:v>
                </c:pt>
                <c:pt idx="19">
                  <c:v>0.11382199999999999</c:v>
                </c:pt>
                <c:pt idx="20">
                  <c:v>0.15398000000000001</c:v>
                </c:pt>
                <c:pt idx="21">
                  <c:v>0.134134</c:v>
                </c:pt>
                <c:pt idx="22">
                  <c:v>0.117366</c:v>
                </c:pt>
                <c:pt idx="23">
                  <c:v>0.23290400000000003</c:v>
                </c:pt>
                <c:pt idx="24">
                  <c:v>0.174592</c:v>
                </c:pt>
                <c:pt idx="25">
                  <c:v>0.194744</c:v>
                </c:pt>
                <c:pt idx="26">
                  <c:v>1.6434000000000001E-2</c:v>
                </c:pt>
                <c:pt idx="27">
                  <c:v>-0.555728</c:v>
                </c:pt>
                <c:pt idx="28">
                  <c:v>-0.69250200000000006</c:v>
                </c:pt>
                <c:pt idx="29">
                  <c:v>-0.77389399999999997</c:v>
                </c:pt>
                <c:pt idx="30">
                  <c:v>-0.93990399999999996</c:v>
                </c:pt>
                <c:pt idx="31">
                  <c:v>-1.3028360000000001</c:v>
                </c:pt>
                <c:pt idx="32">
                  <c:v>-1.401154</c:v>
                </c:pt>
                <c:pt idx="33">
                  <c:v>-1.6779359999999999</c:v>
                </c:pt>
                <c:pt idx="34">
                  <c:v>-1.6454880000000001</c:v>
                </c:pt>
                <c:pt idx="35">
                  <c:v>-1.57304</c:v>
                </c:pt>
                <c:pt idx="36">
                  <c:v>-1.579056</c:v>
                </c:pt>
                <c:pt idx="37">
                  <c:v>-1.5358420000000002</c:v>
                </c:pt>
                <c:pt idx="38">
                  <c:v>-1.5464740000000001</c:v>
                </c:pt>
                <c:pt idx="39">
                  <c:v>-1.680186</c:v>
                </c:pt>
                <c:pt idx="40">
                  <c:v>-1.29236</c:v>
                </c:pt>
                <c:pt idx="41">
                  <c:v>-0.83068799999999998</c:v>
                </c:pt>
                <c:pt idx="42">
                  <c:v>-0.49825000000000003</c:v>
                </c:pt>
                <c:pt idx="43">
                  <c:v>5.1112000000000005E-2</c:v>
                </c:pt>
                <c:pt idx="44">
                  <c:v>0.269704</c:v>
                </c:pt>
                <c:pt idx="45">
                  <c:v>0.16675399999999999</c:v>
                </c:pt>
                <c:pt idx="46">
                  <c:v>0.20380400000000001</c:v>
                </c:pt>
                <c:pt idx="47">
                  <c:v>0.39316200000000001</c:v>
                </c:pt>
                <c:pt idx="48">
                  <c:v>0.40405400000000002</c:v>
                </c:pt>
                <c:pt idx="49">
                  <c:v>0.41956400000000005</c:v>
                </c:pt>
                <c:pt idx="50">
                  <c:v>0.16583999999999999</c:v>
                </c:pt>
                <c:pt idx="51">
                  <c:v>1.2114E-2</c:v>
                </c:pt>
                <c:pt idx="52">
                  <c:v>0.17992799999999998</c:v>
                </c:pt>
                <c:pt idx="53">
                  <c:v>0.21235600000000002</c:v>
                </c:pt>
                <c:pt idx="54">
                  <c:v>-0.33829799999999999</c:v>
                </c:pt>
                <c:pt idx="55">
                  <c:v>-0.62587199999999998</c:v>
                </c:pt>
                <c:pt idx="56">
                  <c:v>-0.91806399999999999</c:v>
                </c:pt>
                <c:pt idx="57">
                  <c:v>-0.85948800000000003</c:v>
                </c:pt>
                <c:pt idx="58">
                  <c:v>-0.77783600000000008</c:v>
                </c:pt>
                <c:pt idx="59">
                  <c:v>-0.60541400000000001</c:v>
                </c:pt>
                <c:pt idx="60">
                  <c:v>-0.60992000000000002</c:v>
                </c:pt>
                <c:pt idx="61">
                  <c:v>-0.568272</c:v>
                </c:pt>
                <c:pt idx="62">
                  <c:v>-0.55123800000000001</c:v>
                </c:pt>
                <c:pt idx="63">
                  <c:v>-0.32036200000000004</c:v>
                </c:pt>
                <c:pt idx="64">
                  <c:v>-0.37563999999999997</c:v>
                </c:pt>
                <c:pt idx="65">
                  <c:v>-0.61399599999999999</c:v>
                </c:pt>
                <c:pt idx="66">
                  <c:v>-0.62466200000000005</c:v>
                </c:pt>
                <c:pt idx="67">
                  <c:v>-0.73532600000000004</c:v>
                </c:pt>
                <c:pt idx="68">
                  <c:v>-0.91676199999999997</c:v>
                </c:pt>
                <c:pt idx="69">
                  <c:v>-1.0658920000000001</c:v>
                </c:pt>
                <c:pt idx="70">
                  <c:v>-1.1196380000000001</c:v>
                </c:pt>
                <c:pt idx="71">
                  <c:v>-1.0256940000000001</c:v>
                </c:pt>
                <c:pt idx="72">
                  <c:v>-0.896366</c:v>
                </c:pt>
                <c:pt idx="73">
                  <c:v>-0.85011399999999993</c:v>
                </c:pt>
                <c:pt idx="74">
                  <c:v>-0.85463399999999989</c:v>
                </c:pt>
                <c:pt idx="75">
                  <c:v>-1.0037720000000001</c:v>
                </c:pt>
                <c:pt idx="76">
                  <c:v>-1.3467560000000001</c:v>
                </c:pt>
                <c:pt idx="77">
                  <c:v>-1.3497399999999999</c:v>
                </c:pt>
                <c:pt idx="78">
                  <c:v>-1.6250340000000001</c:v>
                </c:pt>
                <c:pt idx="79">
                  <c:v>-1.9249440000000002</c:v>
                </c:pt>
                <c:pt idx="80">
                  <c:v>-1.577162</c:v>
                </c:pt>
                <c:pt idx="81">
                  <c:v>-1.215538</c:v>
                </c:pt>
                <c:pt idx="82">
                  <c:v>-1.0708360000000001</c:v>
                </c:pt>
                <c:pt idx="83">
                  <c:v>-0.83844200000000002</c:v>
                </c:pt>
                <c:pt idx="84">
                  <c:v>-0.68912800000000007</c:v>
                </c:pt>
                <c:pt idx="85">
                  <c:v>-0.70443</c:v>
                </c:pt>
                <c:pt idx="86">
                  <c:v>-0.70742400000000005</c:v>
                </c:pt>
                <c:pt idx="87">
                  <c:v>-0.73657399999999995</c:v>
                </c:pt>
                <c:pt idx="88">
                  <c:v>-0.60110999999999992</c:v>
                </c:pt>
                <c:pt idx="89">
                  <c:v>-0.1918</c:v>
                </c:pt>
                <c:pt idx="90">
                  <c:v>-0.13326199999999999</c:v>
                </c:pt>
                <c:pt idx="91">
                  <c:v>0.27296799999999999</c:v>
                </c:pt>
                <c:pt idx="92">
                  <c:v>0.40535200000000005</c:v>
                </c:pt>
                <c:pt idx="93">
                  <c:v>0.20696200000000001</c:v>
                </c:pt>
                <c:pt idx="94">
                  <c:v>0.22242000000000001</c:v>
                </c:pt>
                <c:pt idx="95">
                  <c:v>0.208646</c:v>
                </c:pt>
                <c:pt idx="96">
                  <c:v>0.22564000000000001</c:v>
                </c:pt>
                <c:pt idx="97">
                  <c:v>0.20263200000000001</c:v>
                </c:pt>
                <c:pt idx="98">
                  <c:v>-3.4222000000000002E-2</c:v>
                </c:pt>
                <c:pt idx="99">
                  <c:v>-0.12646399999999999</c:v>
                </c:pt>
                <c:pt idx="100">
                  <c:v>-0.35562800000000006</c:v>
                </c:pt>
                <c:pt idx="101">
                  <c:v>-0.28325400000000001</c:v>
                </c:pt>
                <c:pt idx="102">
                  <c:v>-0.57242400000000004</c:v>
                </c:pt>
                <c:pt idx="103">
                  <c:v>-0.27082200000000001</c:v>
                </c:pt>
                <c:pt idx="104">
                  <c:v>-0.33999000000000001</c:v>
                </c:pt>
                <c:pt idx="105">
                  <c:v>-0.224546</c:v>
                </c:pt>
                <c:pt idx="106">
                  <c:v>-0.18756399999999998</c:v>
                </c:pt>
                <c:pt idx="107">
                  <c:v>-0.155198</c:v>
                </c:pt>
                <c:pt idx="108">
                  <c:v>7.9360000000000003E-3</c:v>
                </c:pt>
                <c:pt idx="109">
                  <c:v>5.7222000000000002E-2</c:v>
                </c:pt>
                <c:pt idx="110">
                  <c:v>0.112662</c:v>
                </c:pt>
                <c:pt idx="111">
                  <c:v>0.33271600000000001</c:v>
                </c:pt>
                <c:pt idx="112">
                  <c:v>0.16353799999999999</c:v>
                </c:pt>
                <c:pt idx="113">
                  <c:v>0.13128200000000001</c:v>
                </c:pt>
                <c:pt idx="114">
                  <c:v>-4.7131999999999993E-2</c:v>
                </c:pt>
                <c:pt idx="115">
                  <c:v>3.6880000000000003E-3</c:v>
                </c:pt>
                <c:pt idx="116">
                  <c:v>-0.445494</c:v>
                </c:pt>
                <c:pt idx="117">
                  <c:v>-0.42852600000000002</c:v>
                </c:pt>
                <c:pt idx="118">
                  <c:v>-0.50848000000000004</c:v>
                </c:pt>
                <c:pt idx="119">
                  <c:v>-0.22074200000000002</c:v>
                </c:pt>
                <c:pt idx="120">
                  <c:v>-7.1470000000000006E-2</c:v>
                </c:pt>
                <c:pt idx="121">
                  <c:v>-0.10680999999999999</c:v>
                </c:pt>
                <c:pt idx="122">
                  <c:v>-0.19446200000000002</c:v>
                </c:pt>
                <c:pt idx="123">
                  <c:v>-0.10519199999999999</c:v>
                </c:pt>
                <c:pt idx="124">
                  <c:v>4.078E-3</c:v>
                </c:pt>
                <c:pt idx="125">
                  <c:v>3.7961999999999996E-2</c:v>
                </c:pt>
                <c:pt idx="126">
                  <c:v>0.18568999999999999</c:v>
                </c:pt>
                <c:pt idx="127">
                  <c:v>2.7264E-2</c:v>
                </c:pt>
                <c:pt idx="128">
                  <c:v>0.11960800000000001</c:v>
                </c:pt>
                <c:pt idx="129">
                  <c:v>0.201178</c:v>
                </c:pt>
                <c:pt idx="130">
                  <c:v>0.11351800000000001</c:v>
                </c:pt>
                <c:pt idx="131">
                  <c:v>0.15354999999999999</c:v>
                </c:pt>
                <c:pt idx="132">
                  <c:v>8.2810000000000009E-2</c:v>
                </c:pt>
                <c:pt idx="133">
                  <c:v>2.2837999999999997E-2</c:v>
                </c:pt>
                <c:pt idx="134">
                  <c:v>3.5173999999999997E-2</c:v>
                </c:pt>
                <c:pt idx="135">
                  <c:v>3.9813999999999995E-2</c:v>
                </c:pt>
                <c:pt idx="136">
                  <c:v>-0.25708200000000003</c:v>
                </c:pt>
                <c:pt idx="137">
                  <c:v>-0.60628799999999994</c:v>
                </c:pt>
                <c:pt idx="138">
                  <c:v>-0.55242000000000002</c:v>
                </c:pt>
                <c:pt idx="139">
                  <c:v>-0.36932000000000004</c:v>
                </c:pt>
                <c:pt idx="140">
                  <c:v>-0.38314599999999999</c:v>
                </c:pt>
                <c:pt idx="141">
                  <c:v>-0.493896</c:v>
                </c:pt>
                <c:pt idx="142">
                  <c:v>-0.37849200000000005</c:v>
                </c:pt>
                <c:pt idx="143">
                  <c:v>-0.23847399999999999</c:v>
                </c:pt>
                <c:pt idx="144">
                  <c:v>-2.3075999999999999E-2</c:v>
                </c:pt>
                <c:pt idx="145">
                  <c:v>3.6940000000000001E-2</c:v>
                </c:pt>
                <c:pt idx="146">
                  <c:v>4.3108000000000007E-2</c:v>
                </c:pt>
                <c:pt idx="147">
                  <c:v>-0.103034</c:v>
                </c:pt>
                <c:pt idx="148">
                  <c:v>-0.40917399999999998</c:v>
                </c:pt>
                <c:pt idx="149">
                  <c:v>-0.29070200000000002</c:v>
                </c:pt>
                <c:pt idx="150">
                  <c:v>-0.21376999999999999</c:v>
                </c:pt>
                <c:pt idx="151">
                  <c:v>-0.28760799999999997</c:v>
                </c:pt>
                <c:pt idx="152">
                  <c:v>-0.39837000000000006</c:v>
                </c:pt>
                <c:pt idx="153">
                  <c:v>-0.23221</c:v>
                </c:pt>
                <c:pt idx="154">
                  <c:v>-0.14143600000000001</c:v>
                </c:pt>
                <c:pt idx="155">
                  <c:v>-0.109124</c:v>
                </c:pt>
                <c:pt idx="156">
                  <c:v>-0.12912200000000001</c:v>
                </c:pt>
                <c:pt idx="157">
                  <c:v>-0.16296600000000003</c:v>
                </c:pt>
                <c:pt idx="158">
                  <c:v>-7.5274000000000008E-2</c:v>
                </c:pt>
                <c:pt idx="159">
                  <c:v>6.9339999999999999E-2</c:v>
                </c:pt>
                <c:pt idx="160">
                  <c:v>0.36164600000000002</c:v>
                </c:pt>
                <c:pt idx="161">
                  <c:v>0.56318199999999996</c:v>
                </c:pt>
                <c:pt idx="162">
                  <c:v>0.303178</c:v>
                </c:pt>
                <c:pt idx="163">
                  <c:v>0.40317199999999997</c:v>
                </c:pt>
                <c:pt idx="164">
                  <c:v>0.54470600000000002</c:v>
                </c:pt>
                <c:pt idx="165">
                  <c:v>0.38469599999999998</c:v>
                </c:pt>
                <c:pt idx="166">
                  <c:v>0.32468800000000003</c:v>
                </c:pt>
                <c:pt idx="167">
                  <c:v>0.35698799999999997</c:v>
                </c:pt>
                <c:pt idx="168">
                  <c:v>0.30774400000000002</c:v>
                </c:pt>
                <c:pt idx="169">
                  <c:v>0.346194</c:v>
                </c:pt>
                <c:pt idx="170">
                  <c:v>0.393874</c:v>
                </c:pt>
                <c:pt idx="171">
                  <c:v>0.22924399999999998</c:v>
                </c:pt>
                <c:pt idx="172">
                  <c:v>-8.000199999999999E-2</c:v>
                </c:pt>
                <c:pt idx="173">
                  <c:v>-0.33078800000000003</c:v>
                </c:pt>
                <c:pt idx="174">
                  <c:v>-8.4651999999999991E-2</c:v>
                </c:pt>
                <c:pt idx="175">
                  <c:v>9.5327999999999996E-2</c:v>
                </c:pt>
                <c:pt idx="176">
                  <c:v>-0.12315200000000001</c:v>
                </c:pt>
                <c:pt idx="177">
                  <c:v>-0.20317399999999999</c:v>
                </c:pt>
                <c:pt idx="178">
                  <c:v>-0.20473400000000003</c:v>
                </c:pt>
                <c:pt idx="179">
                  <c:v>-0.18167999999999998</c:v>
                </c:pt>
                <c:pt idx="180">
                  <c:v>-0.138628</c:v>
                </c:pt>
                <c:pt idx="181">
                  <c:v>-9.7116000000000008E-2</c:v>
                </c:pt>
                <c:pt idx="182">
                  <c:v>5.3628000000000002E-2</c:v>
                </c:pt>
                <c:pt idx="183">
                  <c:v>-2.1786E-2</c:v>
                </c:pt>
                <c:pt idx="184">
                  <c:v>2.4340000000000001E-2</c:v>
                </c:pt>
                <c:pt idx="185">
                  <c:v>0.17354</c:v>
                </c:pt>
                <c:pt idx="186">
                  <c:v>6.1200000000000004E-2</c:v>
                </c:pt>
                <c:pt idx="187">
                  <c:v>-3.8831999999999998E-2</c:v>
                </c:pt>
                <c:pt idx="188">
                  <c:v>-2.5017999999999999E-2</c:v>
                </c:pt>
                <c:pt idx="189">
                  <c:v>2.8791999999999998E-2</c:v>
                </c:pt>
                <c:pt idx="190">
                  <c:v>0.13183400000000001</c:v>
                </c:pt>
                <c:pt idx="191">
                  <c:v>0.313336</c:v>
                </c:pt>
                <c:pt idx="192">
                  <c:v>0.57637399999999994</c:v>
                </c:pt>
                <c:pt idx="193">
                  <c:v>0.61941200000000007</c:v>
                </c:pt>
                <c:pt idx="194">
                  <c:v>0.52706399999999998</c:v>
                </c:pt>
                <c:pt idx="195">
                  <c:v>0.20856000000000002</c:v>
                </c:pt>
                <c:pt idx="196">
                  <c:v>9.3133999999999995E-2</c:v>
                </c:pt>
                <c:pt idx="197">
                  <c:v>-0.17152400000000001</c:v>
                </c:pt>
                <c:pt idx="198">
                  <c:v>-0.32695599999999997</c:v>
                </c:pt>
                <c:pt idx="199">
                  <c:v>-0.43315399999999998</c:v>
                </c:pt>
                <c:pt idx="200">
                  <c:v>-0.64704800000000007</c:v>
                </c:pt>
                <c:pt idx="201">
                  <c:v>-0.66555800000000009</c:v>
                </c:pt>
                <c:pt idx="202">
                  <c:v>-0.56714599999999993</c:v>
                </c:pt>
                <c:pt idx="203">
                  <c:v>-0.66565799999999997</c:v>
                </c:pt>
                <c:pt idx="204">
                  <c:v>-0.53955599999999992</c:v>
                </c:pt>
                <c:pt idx="205">
                  <c:v>-0.72576200000000002</c:v>
                </c:pt>
                <c:pt idx="206">
                  <c:v>-0.80273799999999995</c:v>
                </c:pt>
                <c:pt idx="207">
                  <c:v>-0.7012560000000001</c:v>
                </c:pt>
                <c:pt idx="208">
                  <c:v>-0.83823599999999998</c:v>
                </c:pt>
                <c:pt idx="209">
                  <c:v>-0.94136799999999998</c:v>
                </c:pt>
                <c:pt idx="210">
                  <c:v>-0.75373599999999996</c:v>
                </c:pt>
                <c:pt idx="211">
                  <c:v>-0.34917999999999999</c:v>
                </c:pt>
                <c:pt idx="212">
                  <c:v>8.3068000000000003E-2</c:v>
                </c:pt>
                <c:pt idx="213">
                  <c:v>0.20146600000000001</c:v>
                </c:pt>
                <c:pt idx="214">
                  <c:v>0.176788</c:v>
                </c:pt>
                <c:pt idx="215">
                  <c:v>0.12903399999999998</c:v>
                </c:pt>
                <c:pt idx="216">
                  <c:v>0.42281199999999997</c:v>
                </c:pt>
                <c:pt idx="217">
                  <c:v>0.34582400000000002</c:v>
                </c:pt>
                <c:pt idx="218">
                  <c:v>0.53806399999999999</c:v>
                </c:pt>
                <c:pt idx="219">
                  <c:v>0.52722599999999997</c:v>
                </c:pt>
                <c:pt idx="220">
                  <c:v>0.36100199999999999</c:v>
                </c:pt>
                <c:pt idx="221">
                  <c:v>0.59785600000000005</c:v>
                </c:pt>
                <c:pt idx="222">
                  <c:v>0.93162800000000001</c:v>
                </c:pt>
                <c:pt idx="223">
                  <c:v>1.0700180000000001</c:v>
                </c:pt>
                <c:pt idx="224">
                  <c:v>0.84686600000000001</c:v>
                </c:pt>
                <c:pt idx="225">
                  <c:v>0.75756000000000001</c:v>
                </c:pt>
                <c:pt idx="226">
                  <c:v>0.82363799999999998</c:v>
                </c:pt>
                <c:pt idx="227">
                  <c:v>1.0389459999999999</c:v>
                </c:pt>
                <c:pt idx="228">
                  <c:v>1.115788</c:v>
                </c:pt>
                <c:pt idx="229">
                  <c:v>1.0818620000000001</c:v>
                </c:pt>
                <c:pt idx="230">
                  <c:v>1.1556279999999999</c:v>
                </c:pt>
                <c:pt idx="231">
                  <c:v>1.106314</c:v>
                </c:pt>
                <c:pt idx="232">
                  <c:v>1.3785400000000001</c:v>
                </c:pt>
                <c:pt idx="233">
                  <c:v>1.7799940000000001</c:v>
                </c:pt>
                <c:pt idx="234">
                  <c:v>1.6522139999999998</c:v>
                </c:pt>
                <c:pt idx="235">
                  <c:v>1.2967439999999999</c:v>
                </c:pt>
                <c:pt idx="236">
                  <c:v>1.11358</c:v>
                </c:pt>
                <c:pt idx="237">
                  <c:v>0.83041200000000004</c:v>
                </c:pt>
                <c:pt idx="238">
                  <c:v>0.78417000000000003</c:v>
                </c:pt>
                <c:pt idx="239">
                  <c:v>0.70561800000000008</c:v>
                </c:pt>
                <c:pt idx="240">
                  <c:v>0.63936999999999999</c:v>
                </c:pt>
                <c:pt idx="241">
                  <c:v>0.67004599999999992</c:v>
                </c:pt>
                <c:pt idx="242">
                  <c:v>0.50995199999999996</c:v>
                </c:pt>
                <c:pt idx="243">
                  <c:v>0.48985599999999996</c:v>
                </c:pt>
                <c:pt idx="244">
                  <c:v>0.35899000000000003</c:v>
                </c:pt>
                <c:pt idx="245">
                  <c:v>3.5079999999999998E-3</c:v>
                </c:pt>
                <c:pt idx="246">
                  <c:v>-0.456592</c:v>
                </c:pt>
                <c:pt idx="247">
                  <c:v>-0.352078</c:v>
                </c:pt>
                <c:pt idx="248">
                  <c:v>-0.39217799999999997</c:v>
                </c:pt>
                <c:pt idx="249">
                  <c:v>-0.50612800000000002</c:v>
                </c:pt>
                <c:pt idx="250">
                  <c:v>-0.53853799999999996</c:v>
                </c:pt>
                <c:pt idx="251">
                  <c:v>-0.64787400000000006</c:v>
                </c:pt>
                <c:pt idx="252">
                  <c:v>-0.67567400000000011</c:v>
                </c:pt>
                <c:pt idx="253">
                  <c:v>-0.75731800000000005</c:v>
                </c:pt>
                <c:pt idx="254">
                  <c:v>-0.84511799999999992</c:v>
                </c:pt>
                <c:pt idx="255">
                  <c:v>-1.011382</c:v>
                </c:pt>
                <c:pt idx="256">
                  <c:v>-1.1499540000000001</c:v>
                </c:pt>
                <c:pt idx="257">
                  <c:v>-1.002372</c:v>
                </c:pt>
                <c:pt idx="258">
                  <c:v>-0.81633200000000006</c:v>
                </c:pt>
                <c:pt idx="259">
                  <c:v>-0.68721399999999999</c:v>
                </c:pt>
                <c:pt idx="260">
                  <c:v>-0.75040600000000002</c:v>
                </c:pt>
                <c:pt idx="261">
                  <c:v>-0.76129199999999997</c:v>
                </c:pt>
                <c:pt idx="262">
                  <c:v>-0.67986999999999997</c:v>
                </c:pt>
                <c:pt idx="263">
                  <c:v>-0.45844999999999997</c:v>
                </c:pt>
                <c:pt idx="264">
                  <c:v>-0.25241800000000003</c:v>
                </c:pt>
                <c:pt idx="265">
                  <c:v>-1.4076E-2</c:v>
                </c:pt>
                <c:pt idx="266">
                  <c:v>9.5033999999999993E-2</c:v>
                </c:pt>
                <c:pt idx="267">
                  <c:v>4.2602000000000001E-2</c:v>
                </c:pt>
                <c:pt idx="268">
                  <c:v>0.10093999999999999</c:v>
                </c:pt>
                <c:pt idx="269">
                  <c:v>-9.4567999999999999E-2</c:v>
                </c:pt>
                <c:pt idx="270">
                  <c:v>-0.33931199999999995</c:v>
                </c:pt>
                <c:pt idx="271">
                  <c:v>-0.31174600000000002</c:v>
                </c:pt>
                <c:pt idx="272">
                  <c:v>-0.193412</c:v>
                </c:pt>
                <c:pt idx="273">
                  <c:v>0.21876400000000001</c:v>
                </c:pt>
                <c:pt idx="274">
                  <c:v>0.42325000000000002</c:v>
                </c:pt>
                <c:pt idx="275">
                  <c:v>0.54003999999999996</c:v>
                </c:pt>
                <c:pt idx="276">
                  <c:v>0.66759800000000002</c:v>
                </c:pt>
                <c:pt idx="277">
                  <c:v>0.75823400000000007</c:v>
                </c:pt>
                <c:pt idx="278">
                  <c:v>0.84733000000000003</c:v>
                </c:pt>
                <c:pt idx="279">
                  <c:v>0.81950000000000001</c:v>
                </c:pt>
                <c:pt idx="280">
                  <c:v>1.065518</c:v>
                </c:pt>
                <c:pt idx="281">
                  <c:v>1.071534</c:v>
                </c:pt>
                <c:pt idx="282">
                  <c:v>0.93908400000000003</c:v>
                </c:pt>
                <c:pt idx="283">
                  <c:v>0.97278999999999993</c:v>
                </c:pt>
                <c:pt idx="284">
                  <c:v>0.59880200000000006</c:v>
                </c:pt>
                <c:pt idx="285">
                  <c:v>0.247888</c:v>
                </c:pt>
                <c:pt idx="286">
                  <c:v>-0.144562</c:v>
                </c:pt>
                <c:pt idx="287">
                  <c:v>-0.18470800000000001</c:v>
                </c:pt>
                <c:pt idx="288">
                  <c:v>7.4519999999999994E-3</c:v>
                </c:pt>
                <c:pt idx="289">
                  <c:v>2.4228E-2</c:v>
                </c:pt>
                <c:pt idx="290">
                  <c:v>-0.18668999999999999</c:v>
                </c:pt>
                <c:pt idx="291">
                  <c:v>-0.46222600000000003</c:v>
                </c:pt>
                <c:pt idx="292">
                  <c:v>-0.49776000000000004</c:v>
                </c:pt>
                <c:pt idx="293">
                  <c:v>-0.45329799999999998</c:v>
                </c:pt>
                <c:pt idx="294">
                  <c:v>-0.33191400000000004</c:v>
                </c:pt>
                <c:pt idx="295">
                  <c:v>0.112548</c:v>
                </c:pt>
                <c:pt idx="296">
                  <c:v>-0.116838</c:v>
                </c:pt>
                <c:pt idx="297">
                  <c:v>7.3773999999999992E-2</c:v>
                </c:pt>
                <c:pt idx="298">
                  <c:v>0.29361599999999999</c:v>
                </c:pt>
                <c:pt idx="299">
                  <c:v>0.336534</c:v>
                </c:pt>
                <c:pt idx="300">
                  <c:v>0.53022000000000002</c:v>
                </c:pt>
                <c:pt idx="301">
                  <c:v>0.52851999999999999</c:v>
                </c:pt>
                <c:pt idx="302">
                  <c:v>0.625282</c:v>
                </c:pt>
                <c:pt idx="303">
                  <c:v>0.80665400000000009</c:v>
                </c:pt>
                <c:pt idx="304">
                  <c:v>0.78033600000000003</c:v>
                </c:pt>
                <c:pt idx="305">
                  <c:v>0.87248000000000003</c:v>
                </c:pt>
                <c:pt idx="306">
                  <c:v>0.64461799999999991</c:v>
                </c:pt>
                <c:pt idx="307">
                  <c:v>0.59060400000000002</c:v>
                </c:pt>
                <c:pt idx="308">
                  <c:v>0.59812799999999999</c:v>
                </c:pt>
                <c:pt idx="309">
                  <c:v>0.81641800000000009</c:v>
                </c:pt>
                <c:pt idx="310">
                  <c:v>0.73163200000000006</c:v>
                </c:pt>
                <c:pt idx="311">
                  <c:v>0.87761399999999989</c:v>
                </c:pt>
                <c:pt idx="312">
                  <c:v>1.0574379999999999</c:v>
                </c:pt>
                <c:pt idx="313">
                  <c:v>1.09111</c:v>
                </c:pt>
                <c:pt idx="314">
                  <c:v>1.087858</c:v>
                </c:pt>
                <c:pt idx="315">
                  <c:v>0.72614199999999995</c:v>
                </c:pt>
                <c:pt idx="316">
                  <c:v>0.35365600000000003</c:v>
                </c:pt>
                <c:pt idx="317">
                  <c:v>0.518092</c:v>
                </c:pt>
                <c:pt idx="318">
                  <c:v>0.33329599999999998</c:v>
                </c:pt>
                <c:pt idx="319">
                  <c:v>0.142344</c:v>
                </c:pt>
                <c:pt idx="320">
                  <c:v>0.14677799999999999</c:v>
                </c:pt>
                <c:pt idx="321">
                  <c:v>-4.1100000000000005E-2</c:v>
                </c:pt>
                <c:pt idx="322">
                  <c:v>3.2562000000000001E-2</c:v>
                </c:pt>
                <c:pt idx="323">
                  <c:v>7.3916000000000009E-2</c:v>
                </c:pt>
                <c:pt idx="324">
                  <c:v>0.15526400000000001</c:v>
                </c:pt>
                <c:pt idx="325">
                  <c:v>0.23661599999999999</c:v>
                </c:pt>
                <c:pt idx="326">
                  <c:v>0.29950399999999999</c:v>
                </c:pt>
                <c:pt idx="327">
                  <c:v>0.117772</c:v>
                </c:pt>
                <c:pt idx="328">
                  <c:v>-3.0110000000000001E-2</c:v>
                </c:pt>
                <c:pt idx="329">
                  <c:v>4.6620000000000002E-2</c:v>
                </c:pt>
                <c:pt idx="330">
                  <c:v>-0.293576</c:v>
                </c:pt>
                <c:pt idx="331">
                  <c:v>-7.6848E-2</c:v>
                </c:pt>
                <c:pt idx="332">
                  <c:v>-0.133966</c:v>
                </c:pt>
                <c:pt idx="333">
                  <c:v>-0.395704</c:v>
                </c:pt>
                <c:pt idx="334">
                  <c:v>-0.44821</c:v>
                </c:pt>
                <c:pt idx="335">
                  <c:v>-0.494562</c:v>
                </c:pt>
                <c:pt idx="336">
                  <c:v>-0.40245600000000004</c:v>
                </c:pt>
                <c:pt idx="337">
                  <c:v>-0.474966</c:v>
                </c:pt>
                <c:pt idx="338">
                  <c:v>-0.64593800000000001</c:v>
                </c:pt>
                <c:pt idx="339">
                  <c:v>-0.976912</c:v>
                </c:pt>
                <c:pt idx="340">
                  <c:v>-1.2740400000000001</c:v>
                </c:pt>
                <c:pt idx="341">
                  <c:v>-0.96962999999999999</c:v>
                </c:pt>
                <c:pt idx="342">
                  <c:v>-1.0959940000000001</c:v>
                </c:pt>
                <c:pt idx="343">
                  <c:v>-0.85774000000000006</c:v>
                </c:pt>
                <c:pt idx="344">
                  <c:v>-1.2502580000000001</c:v>
                </c:pt>
                <c:pt idx="345">
                  <c:v>-1.1597</c:v>
                </c:pt>
                <c:pt idx="346">
                  <c:v>-1.067604</c:v>
                </c:pt>
                <c:pt idx="347">
                  <c:v>-0.92320199999999997</c:v>
                </c:pt>
                <c:pt idx="348">
                  <c:v>-0.76495599999999997</c:v>
                </c:pt>
                <c:pt idx="349">
                  <c:v>-0.52978599999999998</c:v>
                </c:pt>
                <c:pt idx="350">
                  <c:v>-0.51615600000000006</c:v>
                </c:pt>
                <c:pt idx="351">
                  <c:v>-0.65022199999999997</c:v>
                </c:pt>
                <c:pt idx="352">
                  <c:v>-0.35505600000000004</c:v>
                </c:pt>
                <c:pt idx="353">
                  <c:v>-0.18604399999999999</c:v>
                </c:pt>
                <c:pt idx="354">
                  <c:v>-8.6267999999999997E-2</c:v>
                </c:pt>
                <c:pt idx="355">
                  <c:v>0.111972</c:v>
                </c:pt>
                <c:pt idx="356">
                  <c:v>-2.6712E-2</c:v>
                </c:pt>
                <c:pt idx="357">
                  <c:v>9.1523999999999994E-2</c:v>
                </c:pt>
                <c:pt idx="358">
                  <c:v>0.280528</c:v>
                </c:pt>
                <c:pt idx="359">
                  <c:v>0.41876399999999997</c:v>
                </c:pt>
                <c:pt idx="360">
                  <c:v>0.53392000000000006</c:v>
                </c:pt>
                <c:pt idx="361">
                  <c:v>0.48907600000000001</c:v>
                </c:pt>
                <c:pt idx="362">
                  <c:v>0.28422999999999998</c:v>
                </c:pt>
                <c:pt idx="363">
                  <c:v>0.213228</c:v>
                </c:pt>
                <c:pt idx="364">
                  <c:v>0.17453399999999999</c:v>
                </c:pt>
                <c:pt idx="365">
                  <c:v>-0.27493000000000001</c:v>
                </c:pt>
                <c:pt idx="366">
                  <c:v>-0.176704</c:v>
                </c:pt>
                <c:pt idx="367">
                  <c:v>-0.26001600000000002</c:v>
                </c:pt>
                <c:pt idx="368">
                  <c:v>-0.118714</c:v>
                </c:pt>
                <c:pt idx="369">
                  <c:v>-5.28E-2</c:v>
                </c:pt>
                <c:pt idx="370">
                  <c:v>8.6961999999999998E-2</c:v>
                </c:pt>
                <c:pt idx="371">
                  <c:v>-2.4048E-2</c:v>
                </c:pt>
                <c:pt idx="372">
                  <c:v>0.12647800000000001</c:v>
                </c:pt>
                <c:pt idx="373">
                  <c:v>7.5465999999999991E-2</c:v>
                </c:pt>
                <c:pt idx="374">
                  <c:v>0.24291599999999999</c:v>
                </c:pt>
                <c:pt idx="375">
                  <c:v>0.17497800000000002</c:v>
                </c:pt>
                <c:pt idx="376">
                  <c:v>0.102424</c:v>
                </c:pt>
                <c:pt idx="377">
                  <c:v>7.9100000000000004E-2</c:v>
                </c:pt>
                <c:pt idx="378">
                  <c:v>0.152696</c:v>
                </c:pt>
                <c:pt idx="379">
                  <c:v>0.104756</c:v>
                </c:pt>
                <c:pt idx="380">
                  <c:v>-7.2417999999999996E-2</c:v>
                </c:pt>
                <c:pt idx="381">
                  <c:v>-0.16036400000000001</c:v>
                </c:pt>
                <c:pt idx="382">
                  <c:v>-0.10522999999999999</c:v>
                </c:pt>
                <c:pt idx="383">
                  <c:v>-4.2408000000000001E-2</c:v>
                </c:pt>
                <c:pt idx="384">
                  <c:v>4.1199999999999999E-4</c:v>
                </c:pt>
                <c:pt idx="385">
                  <c:v>-3.8303999999999998E-2</c:v>
                </c:pt>
                <c:pt idx="386">
                  <c:v>0.14605399999999999</c:v>
                </c:pt>
                <c:pt idx="387">
                  <c:v>-0.12189800000000001</c:v>
                </c:pt>
                <c:pt idx="388">
                  <c:v>-0.10677199999999999</c:v>
                </c:pt>
                <c:pt idx="389">
                  <c:v>2.2198000000000002E-2</c:v>
                </c:pt>
                <c:pt idx="390">
                  <c:v>0.23885799999999999</c:v>
                </c:pt>
                <c:pt idx="391">
                  <c:v>0.30013400000000001</c:v>
                </c:pt>
                <c:pt idx="392">
                  <c:v>0.35987000000000002</c:v>
                </c:pt>
                <c:pt idx="393">
                  <c:v>0.59498800000000007</c:v>
                </c:pt>
                <c:pt idx="394">
                  <c:v>0.48549199999999998</c:v>
                </c:pt>
                <c:pt idx="395">
                  <c:v>0.50830200000000003</c:v>
                </c:pt>
                <c:pt idx="396">
                  <c:v>0.62649200000000005</c:v>
                </c:pt>
                <c:pt idx="397">
                  <c:v>0.89852999999999994</c:v>
                </c:pt>
                <c:pt idx="398">
                  <c:v>0.81979800000000003</c:v>
                </c:pt>
                <c:pt idx="399">
                  <c:v>0.44414000000000003</c:v>
                </c:pt>
                <c:pt idx="400">
                  <c:v>0.53309800000000007</c:v>
                </c:pt>
                <c:pt idx="401">
                  <c:v>1.0897479999999999</c:v>
                </c:pt>
                <c:pt idx="402">
                  <c:v>1.1663939999999999</c:v>
                </c:pt>
                <c:pt idx="403">
                  <c:v>1.2276560000000001</c:v>
                </c:pt>
                <c:pt idx="404">
                  <c:v>1.3550720000000001</c:v>
                </c:pt>
                <c:pt idx="405">
                  <c:v>1.2670980000000001</c:v>
                </c:pt>
                <c:pt idx="406">
                  <c:v>1.2945120000000001</c:v>
                </c:pt>
                <c:pt idx="407">
                  <c:v>1.4480779999999998</c:v>
                </c:pt>
                <c:pt idx="408">
                  <c:v>1.480102</c:v>
                </c:pt>
                <c:pt idx="409">
                  <c:v>1.3721260000000002</c:v>
                </c:pt>
                <c:pt idx="410">
                  <c:v>1.2210720000000002</c:v>
                </c:pt>
                <c:pt idx="411">
                  <c:v>1.4161699999999999</c:v>
                </c:pt>
                <c:pt idx="412">
                  <c:v>1.205114</c:v>
                </c:pt>
                <c:pt idx="413">
                  <c:v>1.080212</c:v>
                </c:pt>
                <c:pt idx="414">
                  <c:v>0.52146000000000003</c:v>
                </c:pt>
                <c:pt idx="415">
                  <c:v>0.170402</c:v>
                </c:pt>
                <c:pt idx="416">
                  <c:v>-2.3736E-2</c:v>
                </c:pt>
                <c:pt idx="417">
                  <c:v>-0.16249199999999997</c:v>
                </c:pt>
                <c:pt idx="418">
                  <c:v>-0.15970800000000002</c:v>
                </c:pt>
                <c:pt idx="419">
                  <c:v>-0.20461600000000002</c:v>
                </c:pt>
                <c:pt idx="420">
                  <c:v>-0.25106800000000001</c:v>
                </c:pt>
                <c:pt idx="421">
                  <c:v>-0.12521000000000002</c:v>
                </c:pt>
                <c:pt idx="422">
                  <c:v>-5.6277999999999995E-2</c:v>
                </c:pt>
                <c:pt idx="423">
                  <c:v>-0.16119399999999998</c:v>
                </c:pt>
                <c:pt idx="424">
                  <c:v>-0.52149400000000001</c:v>
                </c:pt>
                <c:pt idx="425">
                  <c:v>-0.19871800000000001</c:v>
                </c:pt>
                <c:pt idx="426">
                  <c:v>-8.9789999999999995E-2</c:v>
                </c:pt>
                <c:pt idx="427">
                  <c:v>3.6060000000000002E-2</c:v>
                </c:pt>
                <c:pt idx="428">
                  <c:v>6.4986000000000002E-2</c:v>
                </c:pt>
                <c:pt idx="429">
                  <c:v>2.4677999999999999E-2</c:v>
                </c:pt>
                <c:pt idx="430">
                  <c:v>4.8987999999999997E-2</c:v>
                </c:pt>
                <c:pt idx="431">
                  <c:v>0.11021800000000001</c:v>
                </c:pt>
                <c:pt idx="432">
                  <c:v>0.12529199999999999</c:v>
                </c:pt>
                <c:pt idx="433">
                  <c:v>0.329598</c:v>
                </c:pt>
                <c:pt idx="434">
                  <c:v>0.25236199999999998</c:v>
                </c:pt>
                <c:pt idx="435">
                  <c:v>7.5125999999999998E-2</c:v>
                </c:pt>
                <c:pt idx="436">
                  <c:v>-6.7259999999999993E-3</c:v>
                </c:pt>
                <c:pt idx="437">
                  <c:v>8.9882000000000004E-2</c:v>
                </c:pt>
                <c:pt idx="438">
                  <c:v>0.13264200000000001</c:v>
                </c:pt>
                <c:pt idx="439">
                  <c:v>-0.18767600000000001</c:v>
                </c:pt>
                <c:pt idx="440">
                  <c:v>-0.46183999999999997</c:v>
                </c:pt>
                <c:pt idx="441">
                  <c:v>-0.41908400000000001</c:v>
                </c:pt>
                <c:pt idx="442">
                  <c:v>-0.40555799999999997</c:v>
                </c:pt>
                <c:pt idx="443">
                  <c:v>-0.45972600000000002</c:v>
                </c:pt>
                <c:pt idx="444">
                  <c:v>-0.401588</c:v>
                </c:pt>
                <c:pt idx="445">
                  <c:v>-0.58960400000000002</c:v>
                </c:pt>
                <c:pt idx="446">
                  <c:v>-0.81454400000000005</c:v>
                </c:pt>
                <c:pt idx="447">
                  <c:v>-0.933334</c:v>
                </c:pt>
                <c:pt idx="448">
                  <c:v>-0.91981399999999991</c:v>
                </c:pt>
                <c:pt idx="449">
                  <c:v>-0.49706600000000001</c:v>
                </c:pt>
                <c:pt idx="450">
                  <c:v>-0.41585800000000001</c:v>
                </c:pt>
                <c:pt idx="451">
                  <c:v>-0.55465000000000009</c:v>
                </c:pt>
                <c:pt idx="452">
                  <c:v>-0.43036600000000003</c:v>
                </c:pt>
                <c:pt idx="453">
                  <c:v>-0.39070199999999999</c:v>
                </c:pt>
                <c:pt idx="454">
                  <c:v>-0.58795799999999998</c:v>
                </c:pt>
                <c:pt idx="455">
                  <c:v>-0.45906199999999997</c:v>
                </c:pt>
                <c:pt idx="456">
                  <c:v>-0.21940000000000001</c:v>
                </c:pt>
                <c:pt idx="457">
                  <c:v>-0.139738</c:v>
                </c:pt>
                <c:pt idx="458">
                  <c:v>-3.5459999999999998E-2</c:v>
                </c:pt>
                <c:pt idx="459">
                  <c:v>0.114968</c:v>
                </c:pt>
                <c:pt idx="460">
                  <c:v>1.0012E-2</c:v>
                </c:pt>
                <c:pt idx="461">
                  <c:v>-0.11033</c:v>
                </c:pt>
                <c:pt idx="462">
                  <c:v>-0.604522</c:v>
                </c:pt>
                <c:pt idx="463">
                  <c:v>-0.78178799999999993</c:v>
                </c:pt>
                <c:pt idx="464">
                  <c:v>-0.97905600000000004</c:v>
                </c:pt>
                <c:pt idx="465">
                  <c:v>-0.98863600000000007</c:v>
                </c:pt>
                <c:pt idx="466">
                  <c:v>-1.0505200000000001</c:v>
                </c:pt>
                <c:pt idx="467">
                  <c:v>-0.69548399999999999</c:v>
                </c:pt>
                <c:pt idx="468">
                  <c:v>-0.61737399999999998</c:v>
                </c:pt>
                <c:pt idx="469">
                  <c:v>-0.49310999999999999</c:v>
                </c:pt>
                <c:pt idx="470">
                  <c:v>-0.56115400000000004</c:v>
                </c:pt>
                <c:pt idx="471">
                  <c:v>-0.33073999999999998</c:v>
                </c:pt>
                <c:pt idx="472">
                  <c:v>-0.66340199999999994</c:v>
                </c:pt>
                <c:pt idx="473">
                  <c:v>-0.59145000000000003</c:v>
                </c:pt>
                <c:pt idx="474">
                  <c:v>-0.59026999999999996</c:v>
                </c:pt>
                <c:pt idx="475">
                  <c:v>-0.50447399999999998</c:v>
                </c:pt>
                <c:pt idx="476">
                  <c:v>-0.36175400000000002</c:v>
                </c:pt>
                <c:pt idx="477">
                  <c:v>-0.21596399999999999</c:v>
                </c:pt>
                <c:pt idx="478">
                  <c:v>-5.4786000000000001E-2</c:v>
                </c:pt>
                <c:pt idx="479">
                  <c:v>0.19408400000000001</c:v>
                </c:pt>
                <c:pt idx="480">
                  <c:v>0.158334</c:v>
                </c:pt>
                <c:pt idx="481">
                  <c:v>0.26258400000000004</c:v>
                </c:pt>
                <c:pt idx="482">
                  <c:v>7.145E-2</c:v>
                </c:pt>
                <c:pt idx="483">
                  <c:v>-0.19507200000000002</c:v>
                </c:pt>
                <c:pt idx="484">
                  <c:v>-0.82467200000000007</c:v>
                </c:pt>
                <c:pt idx="485">
                  <c:v>-0.96042400000000006</c:v>
                </c:pt>
                <c:pt idx="486">
                  <c:v>-0.980796</c:v>
                </c:pt>
                <c:pt idx="487">
                  <c:v>-0.82732200000000011</c:v>
                </c:pt>
                <c:pt idx="488">
                  <c:v>-0.90307800000000005</c:v>
                </c:pt>
                <c:pt idx="489">
                  <c:v>-0.84653</c:v>
                </c:pt>
                <c:pt idx="490">
                  <c:v>-0.8853660000000001</c:v>
                </c:pt>
                <c:pt idx="491">
                  <c:v>-0.8272799999999999</c:v>
                </c:pt>
                <c:pt idx="492">
                  <c:v>-0.73227399999999998</c:v>
                </c:pt>
                <c:pt idx="493">
                  <c:v>-0.654192</c:v>
                </c:pt>
                <c:pt idx="494">
                  <c:v>-0.74534000000000011</c:v>
                </c:pt>
                <c:pt idx="495">
                  <c:v>-0.64264399999999999</c:v>
                </c:pt>
                <c:pt idx="496">
                  <c:v>-0.28148800000000002</c:v>
                </c:pt>
                <c:pt idx="497">
                  <c:v>-8.0332000000000015E-2</c:v>
                </c:pt>
                <c:pt idx="498">
                  <c:v>0.49928199999999995</c:v>
                </c:pt>
                <c:pt idx="499">
                  <c:v>0.30043600000000004</c:v>
                </c:pt>
                <c:pt idx="500">
                  <c:v>0.31543599999999999</c:v>
                </c:pt>
                <c:pt idx="501">
                  <c:v>0.34581600000000001</c:v>
                </c:pt>
                <c:pt idx="502">
                  <c:v>0.20388999999999999</c:v>
                </c:pt>
                <c:pt idx="503">
                  <c:v>0.47888399999999998</c:v>
                </c:pt>
                <c:pt idx="504">
                  <c:v>0.59079999999999999</c:v>
                </c:pt>
                <c:pt idx="505">
                  <c:v>0.59040799999999993</c:v>
                </c:pt>
                <c:pt idx="506">
                  <c:v>0.57616999999999996</c:v>
                </c:pt>
                <c:pt idx="507">
                  <c:v>0.50654399999999999</c:v>
                </c:pt>
                <c:pt idx="508">
                  <c:v>0.36614800000000003</c:v>
                </c:pt>
                <c:pt idx="509">
                  <c:v>0.362676</c:v>
                </c:pt>
                <c:pt idx="510">
                  <c:v>0.54227599999999998</c:v>
                </c:pt>
                <c:pt idx="511">
                  <c:v>0.392648</c:v>
                </c:pt>
                <c:pt idx="512">
                  <c:v>0.33994000000000002</c:v>
                </c:pt>
                <c:pt idx="513">
                  <c:v>-3.5399999999999997E-3</c:v>
                </c:pt>
                <c:pt idx="514">
                  <c:v>-2.3940000000000003E-2</c:v>
                </c:pt>
                <c:pt idx="515">
                  <c:v>0.20796399999999998</c:v>
                </c:pt>
                <c:pt idx="516">
                  <c:v>0.21832799999999999</c:v>
                </c:pt>
                <c:pt idx="517">
                  <c:v>0.25330799999999998</c:v>
                </c:pt>
                <c:pt idx="518">
                  <c:v>0.25905400000000001</c:v>
                </c:pt>
                <c:pt idx="519">
                  <c:v>0.34787599999999996</c:v>
                </c:pt>
                <c:pt idx="520">
                  <c:v>0.450544</c:v>
                </c:pt>
                <c:pt idx="521">
                  <c:v>0.60090399999999999</c:v>
                </c:pt>
                <c:pt idx="522">
                  <c:v>0.34818399999999999</c:v>
                </c:pt>
                <c:pt idx="523">
                  <c:v>0.40777200000000002</c:v>
                </c:pt>
                <c:pt idx="524">
                  <c:v>0.17659</c:v>
                </c:pt>
                <c:pt idx="525">
                  <c:v>0.46694200000000002</c:v>
                </c:pt>
                <c:pt idx="526">
                  <c:v>0.62806600000000001</c:v>
                </c:pt>
                <c:pt idx="527">
                  <c:v>0.77688000000000001</c:v>
                </c:pt>
                <c:pt idx="528">
                  <c:v>0.8333839999999999</c:v>
                </c:pt>
                <c:pt idx="529">
                  <c:v>0.78065799999999996</c:v>
                </c:pt>
                <c:pt idx="530">
                  <c:v>0.52485399999999993</c:v>
                </c:pt>
                <c:pt idx="531">
                  <c:v>0.35827599999999998</c:v>
                </c:pt>
                <c:pt idx="532">
                  <c:v>0.15323999999999999</c:v>
                </c:pt>
                <c:pt idx="533">
                  <c:v>-0.20410599999999998</c:v>
                </c:pt>
                <c:pt idx="534">
                  <c:v>-0.31838</c:v>
                </c:pt>
                <c:pt idx="535">
                  <c:v>-0.11419</c:v>
                </c:pt>
                <c:pt idx="536">
                  <c:v>-0.23153799999999999</c:v>
                </c:pt>
                <c:pt idx="537">
                  <c:v>-0.205814</c:v>
                </c:pt>
                <c:pt idx="538">
                  <c:v>-0.346244</c:v>
                </c:pt>
                <c:pt idx="539">
                  <c:v>-0.11436600000000001</c:v>
                </c:pt>
                <c:pt idx="540">
                  <c:v>-0.120952</c:v>
                </c:pt>
                <c:pt idx="541">
                  <c:v>-0.13522999999999999</c:v>
                </c:pt>
                <c:pt idx="542">
                  <c:v>-1.2587999999999998E-2</c:v>
                </c:pt>
                <c:pt idx="543">
                  <c:v>0.26390000000000002</c:v>
                </c:pt>
                <c:pt idx="544">
                  <c:v>0.42654000000000003</c:v>
                </c:pt>
                <c:pt idx="545">
                  <c:v>0.51841199999999998</c:v>
                </c:pt>
                <c:pt idx="546">
                  <c:v>0.70412600000000003</c:v>
                </c:pt>
                <c:pt idx="547">
                  <c:v>0.54214799999999996</c:v>
                </c:pt>
                <c:pt idx="548">
                  <c:v>0.42017000000000004</c:v>
                </c:pt>
                <c:pt idx="549">
                  <c:v>0.48280400000000001</c:v>
                </c:pt>
                <c:pt idx="550">
                  <c:v>0.494668</c:v>
                </c:pt>
                <c:pt idx="551">
                  <c:v>0.70038</c:v>
                </c:pt>
                <c:pt idx="552">
                  <c:v>0.67377799999999999</c:v>
                </c:pt>
                <c:pt idx="553">
                  <c:v>0.8010259999999999</c:v>
                </c:pt>
                <c:pt idx="554">
                  <c:v>0.83904000000000001</c:v>
                </c:pt>
                <c:pt idx="555">
                  <c:v>0.74166600000000005</c:v>
                </c:pt>
                <c:pt idx="556">
                  <c:v>0.50583199999999995</c:v>
                </c:pt>
                <c:pt idx="557">
                  <c:v>0.423844</c:v>
                </c:pt>
                <c:pt idx="558">
                  <c:v>0.34338999999999997</c:v>
                </c:pt>
                <c:pt idx="559">
                  <c:v>0.26601600000000003</c:v>
                </c:pt>
                <c:pt idx="560">
                  <c:v>0.26863799999999999</c:v>
                </c:pt>
                <c:pt idx="561">
                  <c:v>0.246642</c:v>
                </c:pt>
                <c:pt idx="562">
                  <c:v>0.42926400000000003</c:v>
                </c:pt>
                <c:pt idx="563">
                  <c:v>0.66572999999999993</c:v>
                </c:pt>
                <c:pt idx="564">
                  <c:v>0.77757799999999999</c:v>
                </c:pt>
                <c:pt idx="565">
                  <c:v>0.85096400000000005</c:v>
                </c:pt>
                <c:pt idx="566">
                  <c:v>0.81819599999999992</c:v>
                </c:pt>
                <c:pt idx="567">
                  <c:v>0.69619399999999998</c:v>
                </c:pt>
                <c:pt idx="568">
                  <c:v>0.84188599999999991</c:v>
                </c:pt>
                <c:pt idx="569">
                  <c:v>0.82603599999999999</c:v>
                </c:pt>
                <c:pt idx="570">
                  <c:v>0.48557</c:v>
                </c:pt>
                <c:pt idx="571">
                  <c:v>0.38202599999999998</c:v>
                </c:pt>
                <c:pt idx="572">
                  <c:v>9.079000000000001E-2</c:v>
                </c:pt>
                <c:pt idx="573">
                  <c:v>8.8782E-2</c:v>
                </c:pt>
                <c:pt idx="574">
                  <c:v>3.7541999999999999E-2</c:v>
                </c:pt>
                <c:pt idx="575">
                  <c:v>-5.2157999999999996E-2</c:v>
                </c:pt>
                <c:pt idx="576">
                  <c:v>4.4290000000000003E-2</c:v>
                </c:pt>
                <c:pt idx="577">
                  <c:v>0.18843199999999999</c:v>
                </c:pt>
                <c:pt idx="578">
                  <c:v>0.25719000000000003</c:v>
                </c:pt>
                <c:pt idx="579">
                  <c:v>0.32902000000000003</c:v>
                </c:pt>
                <c:pt idx="580">
                  <c:v>0.317774</c:v>
                </c:pt>
                <c:pt idx="581">
                  <c:v>0.25268200000000002</c:v>
                </c:pt>
                <c:pt idx="582">
                  <c:v>0.24143200000000001</c:v>
                </c:pt>
                <c:pt idx="583">
                  <c:v>0.22248999999999999</c:v>
                </c:pt>
                <c:pt idx="584">
                  <c:v>0.14662600000000001</c:v>
                </c:pt>
                <c:pt idx="585">
                  <c:v>0.48460199999999998</c:v>
                </c:pt>
                <c:pt idx="586">
                  <c:v>0.54565799999999998</c:v>
                </c:pt>
                <c:pt idx="587">
                  <c:v>0.68825199999999997</c:v>
                </c:pt>
                <c:pt idx="588">
                  <c:v>0.77391799999999999</c:v>
                </c:pt>
                <c:pt idx="589">
                  <c:v>0.60727799999999998</c:v>
                </c:pt>
                <c:pt idx="590">
                  <c:v>0.50063599999999997</c:v>
                </c:pt>
                <c:pt idx="591">
                  <c:v>0.48475999999999997</c:v>
                </c:pt>
                <c:pt idx="592">
                  <c:v>0.37042400000000003</c:v>
                </c:pt>
                <c:pt idx="593">
                  <c:v>0.19300999999999999</c:v>
                </c:pt>
                <c:pt idx="594">
                  <c:v>-1.0562E-2</c:v>
                </c:pt>
                <c:pt idx="595">
                  <c:v>-8.1823999999999994E-2</c:v>
                </c:pt>
                <c:pt idx="596">
                  <c:v>-2.3180000000000002E-3</c:v>
                </c:pt>
                <c:pt idx="597">
                  <c:v>0.115646</c:v>
                </c:pt>
                <c:pt idx="598">
                  <c:v>-1.7158E-2</c:v>
                </c:pt>
                <c:pt idx="599">
                  <c:v>-7.4577999999999992E-2</c:v>
                </c:pt>
                <c:pt idx="600">
                  <c:v>3.382E-3</c:v>
                </c:pt>
                <c:pt idx="601">
                  <c:v>7.4960000000000001E-3</c:v>
                </c:pt>
                <c:pt idx="602">
                  <c:v>-3.6082000000000003E-2</c:v>
                </c:pt>
                <c:pt idx="603">
                  <c:v>-0.23350799999999999</c:v>
                </c:pt>
                <c:pt idx="604">
                  <c:v>-0.18785799999999997</c:v>
                </c:pt>
                <c:pt idx="605">
                  <c:v>-0.26990200000000003</c:v>
                </c:pt>
                <c:pt idx="606">
                  <c:v>-0.15656400000000001</c:v>
                </c:pt>
                <c:pt idx="607">
                  <c:v>-0.36322399999999999</c:v>
                </c:pt>
                <c:pt idx="608">
                  <c:v>-0.303732</c:v>
                </c:pt>
                <c:pt idx="609">
                  <c:v>-0.188858</c:v>
                </c:pt>
                <c:pt idx="610">
                  <c:v>-0.160138</c:v>
                </c:pt>
                <c:pt idx="611">
                  <c:v>8.5819999999999994E-3</c:v>
                </c:pt>
                <c:pt idx="612">
                  <c:v>0.26191400000000004</c:v>
                </c:pt>
                <c:pt idx="613">
                  <c:v>0.28601599999999999</c:v>
                </c:pt>
                <c:pt idx="614">
                  <c:v>0.391654</c:v>
                </c:pt>
                <c:pt idx="615">
                  <c:v>0.55728999999999995</c:v>
                </c:pt>
                <c:pt idx="616">
                  <c:v>0.59061999999999992</c:v>
                </c:pt>
                <c:pt idx="617">
                  <c:v>0.31779399999999997</c:v>
                </c:pt>
                <c:pt idx="618">
                  <c:v>0.41881000000000002</c:v>
                </c:pt>
                <c:pt idx="619">
                  <c:v>0.68444400000000005</c:v>
                </c:pt>
                <c:pt idx="620">
                  <c:v>0.82084599999999996</c:v>
                </c:pt>
                <c:pt idx="621">
                  <c:v>0.85262799999999994</c:v>
                </c:pt>
                <c:pt idx="622">
                  <c:v>0.92133600000000004</c:v>
                </c:pt>
                <c:pt idx="623">
                  <c:v>1.039272</c:v>
                </c:pt>
                <c:pt idx="624">
                  <c:v>1.164898</c:v>
                </c:pt>
                <c:pt idx="625">
                  <c:v>1.2074480000000001</c:v>
                </c:pt>
                <c:pt idx="626">
                  <c:v>1.143842</c:v>
                </c:pt>
                <c:pt idx="627">
                  <c:v>1.120234</c:v>
                </c:pt>
                <c:pt idx="628">
                  <c:v>0.85816400000000004</c:v>
                </c:pt>
                <c:pt idx="629">
                  <c:v>0.79455600000000004</c:v>
                </c:pt>
                <c:pt idx="630">
                  <c:v>0.73094399999999993</c:v>
                </c:pt>
                <c:pt idx="631">
                  <c:v>0.73194800000000004</c:v>
                </c:pt>
                <c:pt idx="632">
                  <c:v>0.18526000000000001</c:v>
                </c:pt>
                <c:pt idx="633">
                  <c:v>0.40779799999999999</c:v>
                </c:pt>
                <c:pt idx="634">
                  <c:v>0.39341399999999999</c:v>
                </c:pt>
                <c:pt idx="635">
                  <c:v>0.371338</c:v>
                </c:pt>
                <c:pt idx="636">
                  <c:v>0.37541200000000002</c:v>
                </c:pt>
                <c:pt idx="637">
                  <c:v>0.508718</c:v>
                </c:pt>
                <c:pt idx="638">
                  <c:v>0.48509799999999997</c:v>
                </c:pt>
                <c:pt idx="639">
                  <c:v>0.270706</c:v>
                </c:pt>
                <c:pt idx="640">
                  <c:v>7.9394000000000006E-2</c:v>
                </c:pt>
                <c:pt idx="641">
                  <c:v>3.4234000000000001E-2</c:v>
                </c:pt>
                <c:pt idx="642">
                  <c:v>-0.20323799999999997</c:v>
                </c:pt>
                <c:pt idx="643">
                  <c:v>-9.3016000000000001E-2</c:v>
                </c:pt>
                <c:pt idx="644">
                  <c:v>-0.15972</c:v>
                </c:pt>
                <c:pt idx="645">
                  <c:v>-0.23257999999999998</c:v>
                </c:pt>
                <c:pt idx="646">
                  <c:v>-0.45620600000000006</c:v>
                </c:pt>
                <c:pt idx="647">
                  <c:v>-0.38906599999999997</c:v>
                </c:pt>
                <c:pt idx="648">
                  <c:v>-0.237314</c:v>
                </c:pt>
                <c:pt idx="649">
                  <c:v>-0.13786799999999999</c:v>
                </c:pt>
                <c:pt idx="650">
                  <c:v>-0.41688600000000003</c:v>
                </c:pt>
                <c:pt idx="651">
                  <c:v>-0.54205999999999999</c:v>
                </c:pt>
                <c:pt idx="652">
                  <c:v>-0.27954000000000001</c:v>
                </c:pt>
                <c:pt idx="653">
                  <c:v>-0.39702199999999999</c:v>
                </c:pt>
                <c:pt idx="654">
                  <c:v>-0.50835399999999997</c:v>
                </c:pt>
                <c:pt idx="655">
                  <c:v>-0.23045400000000002</c:v>
                </c:pt>
                <c:pt idx="656">
                  <c:v>-0.28947600000000001</c:v>
                </c:pt>
                <c:pt idx="657">
                  <c:v>-0.25312000000000001</c:v>
                </c:pt>
                <c:pt idx="658">
                  <c:v>-4.9067999999999994E-2</c:v>
                </c:pt>
                <c:pt idx="659">
                  <c:v>1.1360000000000001E-3</c:v>
                </c:pt>
                <c:pt idx="660">
                  <c:v>0.13749</c:v>
                </c:pt>
                <c:pt idx="661">
                  <c:v>0.23076799999999997</c:v>
                </c:pt>
                <c:pt idx="662">
                  <c:v>4.8659999999999995E-2</c:v>
                </c:pt>
                <c:pt idx="663">
                  <c:v>0.16808800000000002</c:v>
                </c:pt>
                <c:pt idx="664">
                  <c:v>0.14751600000000001</c:v>
                </c:pt>
                <c:pt idx="665">
                  <c:v>3.4636E-2</c:v>
                </c:pt>
                <c:pt idx="666">
                  <c:v>6.0213999999999997E-2</c:v>
                </c:pt>
                <c:pt idx="667">
                  <c:v>0.42117800000000005</c:v>
                </c:pt>
                <c:pt idx="668">
                  <c:v>0.24521799999999999</c:v>
                </c:pt>
                <c:pt idx="669">
                  <c:v>0.27540799999999999</c:v>
                </c:pt>
                <c:pt idx="670">
                  <c:v>0.187138</c:v>
                </c:pt>
                <c:pt idx="671">
                  <c:v>0.27117400000000003</c:v>
                </c:pt>
                <c:pt idx="672">
                  <c:v>0.30443799999999999</c:v>
                </c:pt>
                <c:pt idx="673">
                  <c:v>0.20385600000000001</c:v>
                </c:pt>
                <c:pt idx="674">
                  <c:v>0.10173600000000001</c:v>
                </c:pt>
                <c:pt idx="675">
                  <c:v>0.20268799999999998</c:v>
                </c:pt>
                <c:pt idx="676">
                  <c:v>0.137488</c:v>
                </c:pt>
                <c:pt idx="677">
                  <c:v>5.0747999999999995E-2</c:v>
                </c:pt>
                <c:pt idx="678">
                  <c:v>2.862E-2</c:v>
                </c:pt>
                <c:pt idx="679">
                  <c:v>-0.22889199999999998</c:v>
                </c:pt>
                <c:pt idx="680">
                  <c:v>-0.49871200000000004</c:v>
                </c:pt>
                <c:pt idx="681">
                  <c:v>-0.43469000000000002</c:v>
                </c:pt>
                <c:pt idx="682">
                  <c:v>-0.60604999999999998</c:v>
                </c:pt>
                <c:pt idx="683">
                  <c:v>-0.61587400000000003</c:v>
                </c:pt>
                <c:pt idx="684">
                  <c:v>-0.42877799999999999</c:v>
                </c:pt>
                <c:pt idx="685">
                  <c:v>-0.30321799999999999</c:v>
                </c:pt>
                <c:pt idx="686">
                  <c:v>-0.30073800000000001</c:v>
                </c:pt>
                <c:pt idx="687">
                  <c:v>-0.39672199999999996</c:v>
                </c:pt>
                <c:pt idx="688">
                  <c:v>-0.41731999999999997</c:v>
                </c:pt>
                <c:pt idx="689">
                  <c:v>-0.41330399999999995</c:v>
                </c:pt>
                <c:pt idx="690">
                  <c:v>-0.42006199999999999</c:v>
                </c:pt>
                <c:pt idx="691">
                  <c:v>-0.32989400000000002</c:v>
                </c:pt>
                <c:pt idx="692">
                  <c:v>4.335E-2</c:v>
                </c:pt>
                <c:pt idx="693">
                  <c:v>0.53197400000000006</c:v>
                </c:pt>
                <c:pt idx="694">
                  <c:v>0.668292</c:v>
                </c:pt>
                <c:pt idx="695">
                  <c:v>0.85999399999999993</c:v>
                </c:pt>
                <c:pt idx="696">
                  <c:v>1.0670759999999999</c:v>
                </c:pt>
                <c:pt idx="697">
                  <c:v>0.94800600000000002</c:v>
                </c:pt>
                <c:pt idx="698">
                  <c:v>0.90124199999999999</c:v>
                </c:pt>
                <c:pt idx="699">
                  <c:v>0.76524400000000004</c:v>
                </c:pt>
                <c:pt idx="700">
                  <c:v>0.7415560000000001</c:v>
                </c:pt>
                <c:pt idx="701">
                  <c:v>0.60555799999999993</c:v>
                </c:pt>
                <c:pt idx="702">
                  <c:v>0.40801799999999999</c:v>
                </c:pt>
                <c:pt idx="703">
                  <c:v>0.43817200000000001</c:v>
                </c:pt>
                <c:pt idx="704">
                  <c:v>0.42063200000000001</c:v>
                </c:pt>
                <c:pt idx="705">
                  <c:v>0.18309</c:v>
                </c:pt>
                <c:pt idx="706">
                  <c:v>-0.26983599999999996</c:v>
                </c:pt>
                <c:pt idx="707">
                  <c:v>-0.29968800000000001</c:v>
                </c:pt>
                <c:pt idx="708">
                  <c:v>-0.28338799999999997</c:v>
                </c:pt>
                <c:pt idx="709">
                  <c:v>-0.396318</c:v>
                </c:pt>
                <c:pt idx="710">
                  <c:v>-0.47078600000000004</c:v>
                </c:pt>
                <c:pt idx="711">
                  <c:v>-0.57756799999999997</c:v>
                </c:pt>
                <c:pt idx="712">
                  <c:v>-0.95973200000000003</c:v>
                </c:pt>
                <c:pt idx="713">
                  <c:v>-1.0803579999999999</c:v>
                </c:pt>
                <c:pt idx="714">
                  <c:v>-1.0240659999999999</c:v>
                </c:pt>
                <c:pt idx="715">
                  <c:v>-1.1400779999999999</c:v>
                </c:pt>
                <c:pt idx="716">
                  <c:v>-1.2468619999999999</c:v>
                </c:pt>
                <c:pt idx="717">
                  <c:v>-1.515188</c:v>
                </c:pt>
                <c:pt idx="718">
                  <c:v>-1.5019739999999999</c:v>
                </c:pt>
                <c:pt idx="719">
                  <c:v>-1.4702999999999999</c:v>
                </c:pt>
                <c:pt idx="720">
                  <c:v>-1.4709379999999999</c:v>
                </c:pt>
                <c:pt idx="721">
                  <c:v>-1.350034</c:v>
                </c:pt>
                <c:pt idx="722">
                  <c:v>-1.133748</c:v>
                </c:pt>
                <c:pt idx="723">
                  <c:v>-1.04362</c:v>
                </c:pt>
                <c:pt idx="724">
                  <c:v>-1.1857960000000001</c:v>
                </c:pt>
                <c:pt idx="725">
                  <c:v>-0.70797600000000005</c:v>
                </c:pt>
                <c:pt idx="726">
                  <c:v>-0.60246600000000006</c:v>
                </c:pt>
                <c:pt idx="727">
                  <c:v>-0.70926199999999995</c:v>
                </c:pt>
                <c:pt idx="728">
                  <c:v>-0.53452</c:v>
                </c:pt>
                <c:pt idx="729">
                  <c:v>-0.57362999999999997</c:v>
                </c:pt>
                <c:pt idx="730">
                  <c:v>-0.50350600000000001</c:v>
                </c:pt>
                <c:pt idx="731">
                  <c:v>-0.45646000000000003</c:v>
                </c:pt>
                <c:pt idx="732">
                  <c:v>-0.31095800000000001</c:v>
                </c:pt>
                <c:pt idx="733">
                  <c:v>-0.33776000000000006</c:v>
                </c:pt>
                <c:pt idx="734">
                  <c:v>-0.30148800000000003</c:v>
                </c:pt>
                <c:pt idx="735">
                  <c:v>-0.445218</c:v>
                </c:pt>
                <c:pt idx="736">
                  <c:v>-0.63971800000000001</c:v>
                </c:pt>
                <c:pt idx="737">
                  <c:v>-0.40498600000000001</c:v>
                </c:pt>
                <c:pt idx="738">
                  <c:v>-0.45333599999999996</c:v>
                </c:pt>
                <c:pt idx="739">
                  <c:v>-0.70476200000000011</c:v>
                </c:pt>
                <c:pt idx="740">
                  <c:v>-0.87926400000000005</c:v>
                </c:pt>
                <c:pt idx="741">
                  <c:v>-1.0414639999999999</c:v>
                </c:pt>
                <c:pt idx="742">
                  <c:v>-0.99289199999999989</c:v>
                </c:pt>
                <c:pt idx="743">
                  <c:v>-0.85970600000000008</c:v>
                </c:pt>
                <c:pt idx="744">
                  <c:v>-0.65575599999999989</c:v>
                </c:pt>
                <c:pt idx="745">
                  <c:v>-0.72564800000000007</c:v>
                </c:pt>
                <c:pt idx="746">
                  <c:v>-0.68323599999999995</c:v>
                </c:pt>
                <c:pt idx="747">
                  <c:v>-0.7346720000000001</c:v>
                </c:pt>
                <c:pt idx="748">
                  <c:v>-0.72303200000000001</c:v>
                </c:pt>
                <c:pt idx="749">
                  <c:v>-0.53754400000000002</c:v>
                </c:pt>
                <c:pt idx="750">
                  <c:v>-0.56129200000000001</c:v>
                </c:pt>
                <c:pt idx="751">
                  <c:v>-0.61273200000000005</c:v>
                </c:pt>
                <c:pt idx="752">
                  <c:v>-0.16878599999999999</c:v>
                </c:pt>
                <c:pt idx="753">
                  <c:v>0.15823200000000001</c:v>
                </c:pt>
                <c:pt idx="754">
                  <c:v>0.443712</c:v>
                </c:pt>
                <c:pt idx="755">
                  <c:v>0.63842199999999993</c:v>
                </c:pt>
                <c:pt idx="756">
                  <c:v>0.78082200000000002</c:v>
                </c:pt>
                <c:pt idx="757">
                  <c:v>0.83091399999999993</c:v>
                </c:pt>
                <c:pt idx="758">
                  <c:v>0.90254599999999996</c:v>
                </c:pt>
                <c:pt idx="759">
                  <c:v>0.940326</c:v>
                </c:pt>
                <c:pt idx="760">
                  <c:v>0.63964599999999994</c:v>
                </c:pt>
                <c:pt idx="761">
                  <c:v>0.38511800000000002</c:v>
                </c:pt>
                <c:pt idx="762">
                  <c:v>0.33366399999999996</c:v>
                </c:pt>
                <c:pt idx="763">
                  <c:v>0.48836599999999997</c:v>
                </c:pt>
                <c:pt idx="764">
                  <c:v>0.70460599999999995</c:v>
                </c:pt>
                <c:pt idx="765">
                  <c:v>0.50391800000000009</c:v>
                </c:pt>
                <c:pt idx="766">
                  <c:v>0.52938399999999997</c:v>
                </c:pt>
                <c:pt idx="767">
                  <c:v>0.57484999999999997</c:v>
                </c:pt>
                <c:pt idx="768">
                  <c:v>0.54646600000000001</c:v>
                </c:pt>
                <c:pt idx="769">
                  <c:v>0.419624</c:v>
                </c:pt>
                <c:pt idx="770">
                  <c:v>0.19123999999999999</c:v>
                </c:pt>
                <c:pt idx="771">
                  <c:v>0.23823799999999998</c:v>
                </c:pt>
                <c:pt idx="772">
                  <c:v>0.257544</c:v>
                </c:pt>
                <c:pt idx="773">
                  <c:v>0.40608</c:v>
                </c:pt>
                <c:pt idx="774">
                  <c:v>0.44845999999999997</c:v>
                </c:pt>
                <c:pt idx="775">
                  <c:v>0.20007000000000003</c:v>
                </c:pt>
                <c:pt idx="776">
                  <c:v>-1.2936000000000001E-2</c:v>
                </c:pt>
                <c:pt idx="777">
                  <c:v>-6.4406000000000005E-2</c:v>
                </c:pt>
                <c:pt idx="778">
                  <c:v>8.7399999999999995E-3</c:v>
                </c:pt>
                <c:pt idx="779">
                  <c:v>5.5731999999999997E-2</c:v>
                </c:pt>
                <c:pt idx="780">
                  <c:v>0.17194999999999999</c:v>
                </c:pt>
                <c:pt idx="781">
                  <c:v>0.32355400000000001</c:v>
                </c:pt>
                <c:pt idx="782">
                  <c:v>0.37361800000000001</c:v>
                </c:pt>
                <c:pt idx="783">
                  <c:v>0.50829400000000002</c:v>
                </c:pt>
                <c:pt idx="784">
                  <c:v>0.48758800000000002</c:v>
                </c:pt>
                <c:pt idx="785">
                  <c:v>0.517648</c:v>
                </c:pt>
                <c:pt idx="786">
                  <c:v>0.59847600000000001</c:v>
                </c:pt>
                <c:pt idx="787">
                  <c:v>0.85622600000000004</c:v>
                </c:pt>
                <c:pt idx="788">
                  <c:v>0.90782200000000002</c:v>
                </c:pt>
                <c:pt idx="789">
                  <c:v>0.97941599999999995</c:v>
                </c:pt>
                <c:pt idx="790">
                  <c:v>0.87254799999999999</c:v>
                </c:pt>
                <c:pt idx="791">
                  <c:v>0.88721800000000006</c:v>
                </c:pt>
                <c:pt idx="792">
                  <c:v>0.84650000000000003</c:v>
                </c:pt>
                <c:pt idx="793">
                  <c:v>0.79962800000000001</c:v>
                </c:pt>
                <c:pt idx="794">
                  <c:v>0.648142</c:v>
                </c:pt>
                <c:pt idx="795">
                  <c:v>0.68587999999999993</c:v>
                </c:pt>
                <c:pt idx="796">
                  <c:v>0.30208400000000002</c:v>
                </c:pt>
                <c:pt idx="797">
                  <c:v>-0.169408</c:v>
                </c:pt>
                <c:pt idx="798">
                  <c:v>-0.71167199999999997</c:v>
                </c:pt>
                <c:pt idx="799">
                  <c:v>-1.1431640000000001</c:v>
                </c:pt>
                <c:pt idx="800">
                  <c:v>-1.6023500000000002</c:v>
                </c:pt>
                <c:pt idx="801">
                  <c:v>-1.601542</c:v>
                </c:pt>
                <c:pt idx="802">
                  <c:v>-1.8145760000000002</c:v>
                </c:pt>
                <c:pt idx="803">
                  <c:v>-1.9076120000000001</c:v>
                </c:pt>
                <c:pt idx="804">
                  <c:v>-1.9868060000000001</c:v>
                </c:pt>
                <c:pt idx="805">
                  <c:v>-2.0106139999999999</c:v>
                </c:pt>
                <c:pt idx="806">
                  <c:v>-2.257498</c:v>
                </c:pt>
                <c:pt idx="807">
                  <c:v>-2.2720799999999999</c:v>
                </c:pt>
                <c:pt idx="808">
                  <c:v>-2.4020459999999999</c:v>
                </c:pt>
                <c:pt idx="809">
                  <c:v>-1.9535499999999999</c:v>
                </c:pt>
                <c:pt idx="810">
                  <c:v>-1.5281340000000001</c:v>
                </c:pt>
                <c:pt idx="811">
                  <c:v>-1.1442559999999999</c:v>
                </c:pt>
                <c:pt idx="812">
                  <c:v>-0.96960999999999997</c:v>
                </c:pt>
                <c:pt idx="813">
                  <c:v>-0.7949679999999999</c:v>
                </c:pt>
                <c:pt idx="814">
                  <c:v>-0.63417000000000001</c:v>
                </c:pt>
                <c:pt idx="815">
                  <c:v>-0.36875799999999997</c:v>
                </c:pt>
                <c:pt idx="816">
                  <c:v>-0.115658</c:v>
                </c:pt>
                <c:pt idx="817">
                  <c:v>8.5136000000000003E-2</c:v>
                </c:pt>
                <c:pt idx="818">
                  <c:v>0.227468</c:v>
                </c:pt>
                <c:pt idx="819">
                  <c:v>0.56364199999999998</c:v>
                </c:pt>
                <c:pt idx="820">
                  <c:v>0.63520200000000004</c:v>
                </c:pt>
                <c:pt idx="821">
                  <c:v>0.61599199999999998</c:v>
                </c:pt>
                <c:pt idx="822">
                  <c:v>0.44293199999999999</c:v>
                </c:pt>
                <c:pt idx="823">
                  <c:v>0.50987199999999999</c:v>
                </c:pt>
                <c:pt idx="824">
                  <c:v>0.68912000000000007</c:v>
                </c:pt>
                <c:pt idx="825">
                  <c:v>0.91451800000000005</c:v>
                </c:pt>
                <c:pt idx="826">
                  <c:v>1.122994</c:v>
                </c:pt>
                <c:pt idx="827">
                  <c:v>1.365316</c:v>
                </c:pt>
                <c:pt idx="828">
                  <c:v>1.2599420000000001</c:v>
                </c:pt>
                <c:pt idx="829">
                  <c:v>1.3314920000000001</c:v>
                </c:pt>
                <c:pt idx="830">
                  <c:v>1.152272</c:v>
                </c:pt>
                <c:pt idx="831">
                  <c:v>0.84227799999999997</c:v>
                </c:pt>
                <c:pt idx="832">
                  <c:v>0.70920799999999995</c:v>
                </c:pt>
                <c:pt idx="833">
                  <c:v>0.69459999999999988</c:v>
                </c:pt>
                <c:pt idx="834">
                  <c:v>0.84921800000000003</c:v>
                </c:pt>
                <c:pt idx="835">
                  <c:v>0.8838379999999999</c:v>
                </c:pt>
                <c:pt idx="836">
                  <c:v>0.73845799999999995</c:v>
                </c:pt>
                <c:pt idx="837">
                  <c:v>0.62384200000000001</c:v>
                </c:pt>
                <c:pt idx="838">
                  <c:v>0.52768999999999999</c:v>
                </c:pt>
                <c:pt idx="839">
                  <c:v>0.50845999999999991</c:v>
                </c:pt>
                <c:pt idx="840">
                  <c:v>0.47230200000000006</c:v>
                </c:pt>
                <c:pt idx="841">
                  <c:v>0.56383800000000006</c:v>
                </c:pt>
                <c:pt idx="842">
                  <c:v>0.36768000000000001</c:v>
                </c:pt>
                <c:pt idx="843">
                  <c:v>0.66536600000000012</c:v>
                </c:pt>
                <c:pt idx="844">
                  <c:v>0.87536000000000003</c:v>
                </c:pt>
                <c:pt idx="845">
                  <c:v>0.79458399999999996</c:v>
                </c:pt>
                <c:pt idx="846">
                  <c:v>0.67072799999999999</c:v>
                </c:pt>
                <c:pt idx="847">
                  <c:v>0.21610399999999999</c:v>
                </c:pt>
                <c:pt idx="848">
                  <c:v>1.6864000000000001E-2</c:v>
                </c:pt>
                <c:pt idx="849">
                  <c:v>-9.7766000000000006E-2</c:v>
                </c:pt>
                <c:pt idx="850">
                  <c:v>-0.14316200000000001</c:v>
                </c:pt>
                <c:pt idx="851">
                  <c:v>-0.17163799999999999</c:v>
                </c:pt>
                <c:pt idx="852">
                  <c:v>-9.7040000000000001E-2</c:v>
                </c:pt>
                <c:pt idx="853">
                  <c:v>-0.27321000000000001</c:v>
                </c:pt>
                <c:pt idx="854">
                  <c:v>-0.30015000000000003</c:v>
                </c:pt>
                <c:pt idx="855">
                  <c:v>-0.52093999999999996</c:v>
                </c:pt>
                <c:pt idx="856">
                  <c:v>-1.0263420000000001</c:v>
                </c:pt>
                <c:pt idx="857">
                  <c:v>-1.0579019999999999</c:v>
                </c:pt>
                <c:pt idx="858">
                  <c:v>-0.87715599999999994</c:v>
                </c:pt>
                <c:pt idx="859">
                  <c:v>-0.75641000000000003</c:v>
                </c:pt>
                <c:pt idx="860">
                  <c:v>-0.47720199999999996</c:v>
                </c:pt>
                <c:pt idx="861">
                  <c:v>-0.42415199999999997</c:v>
                </c:pt>
                <c:pt idx="862">
                  <c:v>-0.30341000000000001</c:v>
                </c:pt>
                <c:pt idx="863">
                  <c:v>-6.5743999999999997E-2</c:v>
                </c:pt>
                <c:pt idx="864">
                  <c:v>0.10422599999999999</c:v>
                </c:pt>
                <c:pt idx="865">
                  <c:v>1.4196E-2</c:v>
                </c:pt>
                <c:pt idx="866">
                  <c:v>0.17339599999999999</c:v>
                </c:pt>
                <c:pt idx="867">
                  <c:v>0.32336199999999998</c:v>
                </c:pt>
                <c:pt idx="868">
                  <c:v>0.67332999999999998</c:v>
                </c:pt>
                <c:pt idx="869">
                  <c:v>0.85714200000000007</c:v>
                </c:pt>
                <c:pt idx="870">
                  <c:v>0.72710400000000008</c:v>
                </c:pt>
                <c:pt idx="871">
                  <c:v>0.677068</c:v>
                </c:pt>
                <c:pt idx="872">
                  <c:v>0.45779999999999998</c:v>
                </c:pt>
                <c:pt idx="873">
                  <c:v>0.48776000000000003</c:v>
                </c:pt>
                <c:pt idx="874">
                  <c:v>0.62541200000000008</c:v>
                </c:pt>
                <c:pt idx="875">
                  <c:v>0.63537199999999994</c:v>
                </c:pt>
                <c:pt idx="876">
                  <c:v>0.39301999999999998</c:v>
                </c:pt>
                <c:pt idx="877">
                  <c:v>0.47528399999999998</c:v>
                </c:pt>
                <c:pt idx="878">
                  <c:v>0.64062600000000003</c:v>
                </c:pt>
                <c:pt idx="879">
                  <c:v>0.59519199999999994</c:v>
                </c:pt>
                <c:pt idx="880">
                  <c:v>0.17129999999999998</c:v>
                </c:pt>
                <c:pt idx="881">
                  <c:v>7.4080000000000005E-3</c:v>
                </c:pt>
                <c:pt idx="882">
                  <c:v>0.154278</c:v>
                </c:pt>
                <c:pt idx="883">
                  <c:v>-0.20654</c:v>
                </c:pt>
                <c:pt idx="884">
                  <c:v>-0.75966800000000001</c:v>
                </c:pt>
                <c:pt idx="885">
                  <c:v>-0.80818400000000001</c:v>
                </c:pt>
                <c:pt idx="886">
                  <c:v>-1.0166979999999999</c:v>
                </c:pt>
                <c:pt idx="887">
                  <c:v>-1.2221359999999999</c:v>
                </c:pt>
                <c:pt idx="888">
                  <c:v>-1.1321939999999999</c:v>
                </c:pt>
                <c:pt idx="889">
                  <c:v>-0.97917399999999999</c:v>
                </c:pt>
                <c:pt idx="890">
                  <c:v>-1.1307700000000001</c:v>
                </c:pt>
                <c:pt idx="891">
                  <c:v>-1.3839080000000001</c:v>
                </c:pt>
                <c:pt idx="892">
                  <c:v>-1.3878139999999999</c:v>
                </c:pt>
                <c:pt idx="893">
                  <c:v>-1.1717219999999999</c:v>
                </c:pt>
                <c:pt idx="894">
                  <c:v>-1.240248</c:v>
                </c:pt>
                <c:pt idx="895">
                  <c:v>-1.268772</c:v>
                </c:pt>
                <c:pt idx="896">
                  <c:v>-0.96345200000000009</c:v>
                </c:pt>
                <c:pt idx="897">
                  <c:v>-0.559674</c:v>
                </c:pt>
                <c:pt idx="898">
                  <c:v>-0.34973999999999994</c:v>
                </c:pt>
                <c:pt idx="899">
                  <c:v>-6.4423999999999995E-2</c:v>
                </c:pt>
                <c:pt idx="900">
                  <c:v>0.27473600000000004</c:v>
                </c:pt>
                <c:pt idx="901">
                  <c:v>0.241588</c:v>
                </c:pt>
                <c:pt idx="902">
                  <c:v>0.14843999999999999</c:v>
                </c:pt>
                <c:pt idx="903">
                  <c:v>0.246058</c:v>
                </c:pt>
                <c:pt idx="904">
                  <c:v>0.38675400000000004</c:v>
                </c:pt>
                <c:pt idx="905">
                  <c:v>0.590526</c:v>
                </c:pt>
                <c:pt idx="906">
                  <c:v>0.77121600000000001</c:v>
                </c:pt>
                <c:pt idx="907">
                  <c:v>0.89652399999999999</c:v>
                </c:pt>
                <c:pt idx="908">
                  <c:v>0.71721599999999996</c:v>
                </c:pt>
                <c:pt idx="909">
                  <c:v>0.78713399999999989</c:v>
                </c:pt>
                <c:pt idx="910">
                  <c:v>0.74320800000000009</c:v>
                </c:pt>
                <c:pt idx="911">
                  <c:v>0.74543400000000004</c:v>
                </c:pt>
                <c:pt idx="912">
                  <c:v>0.76919399999999993</c:v>
                </c:pt>
                <c:pt idx="913">
                  <c:v>0.80064999999999997</c:v>
                </c:pt>
                <c:pt idx="914">
                  <c:v>0.77210400000000012</c:v>
                </c:pt>
                <c:pt idx="915">
                  <c:v>0.99739999999999995</c:v>
                </c:pt>
                <c:pt idx="916">
                  <c:v>0.86269800000000008</c:v>
                </c:pt>
                <c:pt idx="917">
                  <c:v>0.90337800000000001</c:v>
                </c:pt>
                <c:pt idx="918">
                  <c:v>0.50867200000000001</c:v>
                </c:pt>
                <c:pt idx="919">
                  <c:v>0.43396600000000002</c:v>
                </c:pt>
                <c:pt idx="920">
                  <c:v>0.25002800000000003</c:v>
                </c:pt>
                <c:pt idx="921">
                  <c:v>0.34301000000000004</c:v>
                </c:pt>
                <c:pt idx="922">
                  <c:v>0.33906999999999998</c:v>
                </c:pt>
                <c:pt idx="923">
                  <c:v>0.31512799999999996</c:v>
                </c:pt>
                <c:pt idx="924">
                  <c:v>0.38195400000000002</c:v>
                </c:pt>
                <c:pt idx="925">
                  <c:v>0.38108600000000004</c:v>
                </c:pt>
                <c:pt idx="926">
                  <c:v>0.41406599999999999</c:v>
                </c:pt>
                <c:pt idx="927">
                  <c:v>0.54088599999999998</c:v>
                </c:pt>
                <c:pt idx="928">
                  <c:v>0.49232399999999998</c:v>
                </c:pt>
                <c:pt idx="929">
                  <c:v>0.64222399999999991</c:v>
                </c:pt>
                <c:pt idx="930">
                  <c:v>0.54134799999999994</c:v>
                </c:pt>
                <c:pt idx="931">
                  <c:v>0.83585999999999994</c:v>
                </c:pt>
                <c:pt idx="932">
                  <c:v>0.88114000000000003</c:v>
                </c:pt>
                <c:pt idx="933">
                  <c:v>0.82026200000000005</c:v>
                </c:pt>
                <c:pt idx="934">
                  <c:v>0.88092399999999993</c:v>
                </c:pt>
                <c:pt idx="935">
                  <c:v>0.96004599999999995</c:v>
                </c:pt>
                <c:pt idx="936">
                  <c:v>1.09301</c:v>
                </c:pt>
                <c:pt idx="937">
                  <c:v>1.155208</c:v>
                </c:pt>
                <c:pt idx="938">
                  <c:v>1.077404</c:v>
                </c:pt>
                <c:pt idx="939">
                  <c:v>0.99036400000000002</c:v>
                </c:pt>
                <c:pt idx="940">
                  <c:v>0.77717400000000003</c:v>
                </c:pt>
                <c:pt idx="941">
                  <c:v>0.64398200000000005</c:v>
                </c:pt>
                <c:pt idx="942">
                  <c:v>0.55386200000000008</c:v>
                </c:pt>
                <c:pt idx="943">
                  <c:v>0.39759</c:v>
                </c:pt>
                <c:pt idx="944">
                  <c:v>0.12900999999999999</c:v>
                </c:pt>
                <c:pt idx="945">
                  <c:v>-4.8804E-2</c:v>
                </c:pt>
                <c:pt idx="946">
                  <c:v>-4.8155999999999997E-2</c:v>
                </c:pt>
                <c:pt idx="947">
                  <c:v>-6.1353999999999999E-2</c:v>
                </c:pt>
                <c:pt idx="948">
                  <c:v>2.2366E-2</c:v>
                </c:pt>
                <c:pt idx="949">
                  <c:v>3.9933999999999997E-2</c:v>
                </c:pt>
                <c:pt idx="950">
                  <c:v>3.2885999999999999E-2</c:v>
                </c:pt>
                <c:pt idx="951">
                  <c:v>-7.5705999999999996E-2</c:v>
                </c:pt>
                <c:pt idx="952">
                  <c:v>-0.37506400000000001</c:v>
                </c:pt>
                <c:pt idx="953">
                  <c:v>-0.68365399999999998</c:v>
                </c:pt>
                <c:pt idx="954">
                  <c:v>-0.74763199999999996</c:v>
                </c:pt>
                <c:pt idx="955">
                  <c:v>-1.1269940000000001</c:v>
                </c:pt>
                <c:pt idx="956">
                  <c:v>-1.2848200000000001</c:v>
                </c:pt>
                <c:pt idx="957">
                  <c:v>-1.498032</c:v>
                </c:pt>
                <c:pt idx="958">
                  <c:v>-1.5712440000000001</c:v>
                </c:pt>
                <c:pt idx="959">
                  <c:v>-1.4536859999999998</c:v>
                </c:pt>
                <c:pt idx="960">
                  <c:v>-1.397672</c:v>
                </c:pt>
                <c:pt idx="961">
                  <c:v>-1.270888</c:v>
                </c:pt>
                <c:pt idx="962">
                  <c:v>-1.11795</c:v>
                </c:pt>
                <c:pt idx="963">
                  <c:v>-1.197322</c:v>
                </c:pt>
                <c:pt idx="964">
                  <c:v>-1.262848</c:v>
                </c:pt>
                <c:pt idx="965">
                  <c:v>-0.99299000000000004</c:v>
                </c:pt>
                <c:pt idx="966">
                  <c:v>-0.92005999999999999</c:v>
                </c:pt>
                <c:pt idx="967">
                  <c:v>-1.0348200000000001</c:v>
                </c:pt>
                <c:pt idx="968">
                  <c:v>-0.60650399999999993</c:v>
                </c:pt>
                <c:pt idx="969">
                  <c:v>-0.18896199999999999</c:v>
                </c:pt>
                <c:pt idx="970">
                  <c:v>0.23166</c:v>
                </c:pt>
                <c:pt idx="971">
                  <c:v>0.496896</c:v>
                </c:pt>
                <c:pt idx="972">
                  <c:v>0.83597200000000005</c:v>
                </c:pt>
                <c:pt idx="973">
                  <c:v>1.03813</c:v>
                </c:pt>
                <c:pt idx="974">
                  <c:v>1.0433620000000001</c:v>
                </c:pt>
                <c:pt idx="975">
                  <c:v>0.70089800000000002</c:v>
                </c:pt>
                <c:pt idx="976">
                  <c:v>0.6753579999999999</c:v>
                </c:pt>
                <c:pt idx="977">
                  <c:v>0.894432</c:v>
                </c:pt>
                <c:pt idx="978">
                  <c:v>0.88581199999999993</c:v>
                </c:pt>
                <c:pt idx="979">
                  <c:v>1.391038</c:v>
                </c:pt>
                <c:pt idx="980">
                  <c:v>1.436264</c:v>
                </c:pt>
                <c:pt idx="981">
                  <c:v>1.233792</c:v>
                </c:pt>
                <c:pt idx="982">
                  <c:v>1.0051699999999999</c:v>
                </c:pt>
                <c:pt idx="983">
                  <c:v>0.89346800000000004</c:v>
                </c:pt>
                <c:pt idx="984">
                  <c:v>0.918686</c:v>
                </c:pt>
                <c:pt idx="985">
                  <c:v>0.69467400000000001</c:v>
                </c:pt>
                <c:pt idx="986">
                  <c:v>0.69527799999999995</c:v>
                </c:pt>
                <c:pt idx="987">
                  <c:v>0.50202999999999998</c:v>
                </c:pt>
                <c:pt idx="988">
                  <c:v>0.59647799999999995</c:v>
                </c:pt>
                <c:pt idx="989">
                  <c:v>0.58477000000000001</c:v>
                </c:pt>
                <c:pt idx="990">
                  <c:v>0.56075000000000008</c:v>
                </c:pt>
                <c:pt idx="991">
                  <c:v>0.46134799999999998</c:v>
                </c:pt>
                <c:pt idx="992">
                  <c:v>2.3481999999999999E-2</c:v>
                </c:pt>
                <c:pt idx="993">
                  <c:v>-0.21438600000000002</c:v>
                </c:pt>
                <c:pt idx="994">
                  <c:v>-0.31379200000000002</c:v>
                </c:pt>
                <c:pt idx="995">
                  <c:v>-0.397814</c:v>
                </c:pt>
                <c:pt idx="996">
                  <c:v>-0.42030200000000001</c:v>
                </c:pt>
                <c:pt idx="997">
                  <c:v>-0.59509599999999996</c:v>
                </c:pt>
                <c:pt idx="998">
                  <c:v>-0.72527600000000003</c:v>
                </c:pt>
                <c:pt idx="999">
                  <c:v>-1.007768</c:v>
                </c:pt>
                <c:pt idx="1000">
                  <c:v>-0.96718000000000004</c:v>
                </c:pt>
                <c:pt idx="1001">
                  <c:v>-0.9358240000000001</c:v>
                </c:pt>
                <c:pt idx="1002">
                  <c:v>-0.99370400000000003</c:v>
                </c:pt>
                <c:pt idx="1003">
                  <c:v>-0.77619600000000011</c:v>
                </c:pt>
                <c:pt idx="1004">
                  <c:v>-0.94484399999999991</c:v>
                </c:pt>
                <c:pt idx="1005">
                  <c:v>-1.0088820000000001</c:v>
                </c:pt>
                <c:pt idx="1006">
                  <c:v>-0.75753200000000009</c:v>
                </c:pt>
                <c:pt idx="1007">
                  <c:v>-0.57695200000000002</c:v>
                </c:pt>
                <c:pt idx="1008">
                  <c:v>-0.33022199999999996</c:v>
                </c:pt>
                <c:pt idx="1009">
                  <c:v>-0.231184</c:v>
                </c:pt>
                <c:pt idx="1010">
                  <c:v>-0.13214600000000001</c:v>
                </c:pt>
                <c:pt idx="1011">
                  <c:v>-1.9266000000000002E-2</c:v>
                </c:pt>
                <c:pt idx="1012">
                  <c:v>-2.3199999999999997E-4</c:v>
                </c:pt>
                <c:pt idx="1013">
                  <c:v>1.8799999999999999E-3</c:v>
                </c:pt>
                <c:pt idx="1014">
                  <c:v>-3.4476E-2</c:v>
                </c:pt>
                <c:pt idx="1015">
                  <c:v>0.19994199999999998</c:v>
                </c:pt>
                <c:pt idx="1016">
                  <c:v>-9.3336000000000002E-2</c:v>
                </c:pt>
                <c:pt idx="1017">
                  <c:v>4.2613999999999999E-2</c:v>
                </c:pt>
                <c:pt idx="1018">
                  <c:v>0.18933599999999998</c:v>
                </c:pt>
                <c:pt idx="1019">
                  <c:v>0.15451599999999999</c:v>
                </c:pt>
                <c:pt idx="1020">
                  <c:v>0.32738599999999995</c:v>
                </c:pt>
                <c:pt idx="1021">
                  <c:v>0.30025800000000002</c:v>
                </c:pt>
                <c:pt idx="1022">
                  <c:v>0.23928199999999999</c:v>
                </c:pt>
                <c:pt idx="1023">
                  <c:v>8.2916000000000004E-2</c:v>
                </c:pt>
                <c:pt idx="1024">
                  <c:v>0.15578400000000001</c:v>
                </c:pt>
                <c:pt idx="1025">
                  <c:v>3.3265999999999997E-2</c:v>
                </c:pt>
                <c:pt idx="1026">
                  <c:v>-6.3102000000000005E-2</c:v>
                </c:pt>
                <c:pt idx="1027">
                  <c:v>-0.16408200000000001</c:v>
                </c:pt>
                <c:pt idx="1028">
                  <c:v>-0.37737399999999999</c:v>
                </c:pt>
                <c:pt idx="1029">
                  <c:v>-0.23066800000000001</c:v>
                </c:pt>
                <c:pt idx="1030">
                  <c:v>-0.30549999999999999</c:v>
                </c:pt>
                <c:pt idx="1031">
                  <c:v>-0.13109999999999999</c:v>
                </c:pt>
                <c:pt idx="1032">
                  <c:v>0.11867800000000001</c:v>
                </c:pt>
                <c:pt idx="1033">
                  <c:v>9.307399999999999E-2</c:v>
                </c:pt>
                <c:pt idx="1034">
                  <c:v>0.165932</c:v>
                </c:pt>
                <c:pt idx="1035">
                  <c:v>0.24185999999999999</c:v>
                </c:pt>
                <c:pt idx="1036">
                  <c:v>0.17163799999999999</c:v>
                </c:pt>
                <c:pt idx="1037">
                  <c:v>-4.7815999999999997E-2</c:v>
                </c:pt>
                <c:pt idx="1038">
                  <c:v>9.7339999999999996E-2</c:v>
                </c:pt>
                <c:pt idx="1039">
                  <c:v>-3.7502000000000001E-2</c:v>
                </c:pt>
                <c:pt idx="1040">
                  <c:v>0.20304200000000003</c:v>
                </c:pt>
                <c:pt idx="1041">
                  <c:v>0.31127199999999999</c:v>
                </c:pt>
                <c:pt idx="1042">
                  <c:v>0.25335000000000002</c:v>
                </c:pt>
                <c:pt idx="1043">
                  <c:v>0.41388800000000003</c:v>
                </c:pt>
                <c:pt idx="1044">
                  <c:v>0.48980800000000002</c:v>
                </c:pt>
                <c:pt idx="1045">
                  <c:v>0.43803600000000004</c:v>
                </c:pt>
                <c:pt idx="1046">
                  <c:v>0.43703400000000003</c:v>
                </c:pt>
                <c:pt idx="1047">
                  <c:v>0.27602599999999999</c:v>
                </c:pt>
                <c:pt idx="1048">
                  <c:v>0.238098</c:v>
                </c:pt>
                <c:pt idx="1049">
                  <c:v>0.61863000000000001</c:v>
                </c:pt>
                <c:pt idx="1050">
                  <c:v>0.93608000000000002</c:v>
                </c:pt>
                <c:pt idx="1051">
                  <c:v>1.015072</c:v>
                </c:pt>
                <c:pt idx="1052">
                  <c:v>1.201754</c:v>
                </c:pt>
                <c:pt idx="1053">
                  <c:v>1.1099699999999999</c:v>
                </c:pt>
                <c:pt idx="1054">
                  <c:v>1.00742</c:v>
                </c:pt>
                <c:pt idx="1055">
                  <c:v>0.86332999999999993</c:v>
                </c:pt>
                <c:pt idx="1056">
                  <c:v>0.95462000000000002</c:v>
                </c:pt>
                <c:pt idx="1057">
                  <c:v>0.81822000000000006</c:v>
                </c:pt>
                <c:pt idx="1058">
                  <c:v>0.64797199999999999</c:v>
                </c:pt>
                <c:pt idx="1059">
                  <c:v>0.51771999999999996</c:v>
                </c:pt>
                <c:pt idx="1060">
                  <c:v>0.67362600000000006</c:v>
                </c:pt>
                <c:pt idx="1061">
                  <c:v>0.44799</c:v>
                </c:pt>
                <c:pt idx="1062">
                  <c:v>-0.13611200000000001</c:v>
                </c:pt>
                <c:pt idx="1063">
                  <c:v>-0.40021000000000001</c:v>
                </c:pt>
                <c:pt idx="1064">
                  <c:v>-0.83661799999999997</c:v>
                </c:pt>
                <c:pt idx="1065">
                  <c:v>-1.0191840000000001</c:v>
                </c:pt>
                <c:pt idx="1066">
                  <c:v>-1.1232880000000001</c:v>
                </c:pt>
                <c:pt idx="1067">
                  <c:v>-1.11816</c:v>
                </c:pt>
                <c:pt idx="1068">
                  <c:v>-0.91303799999999991</c:v>
                </c:pt>
                <c:pt idx="1069">
                  <c:v>-1.047914</c:v>
                </c:pt>
                <c:pt idx="1070">
                  <c:v>-1.0027900000000001</c:v>
                </c:pt>
                <c:pt idx="1071">
                  <c:v>-0.89766999999999997</c:v>
                </c:pt>
                <c:pt idx="1072">
                  <c:v>-0.654088</c:v>
                </c:pt>
                <c:pt idx="1073">
                  <c:v>-0.77358199999999999</c:v>
                </c:pt>
                <c:pt idx="1074">
                  <c:v>-0.87923599999999991</c:v>
                </c:pt>
                <c:pt idx="1075">
                  <c:v>-0.74027199999999993</c:v>
                </c:pt>
                <c:pt idx="1076">
                  <c:v>-0.96284599999999998</c:v>
                </c:pt>
                <c:pt idx="1077">
                  <c:v>-0.65004200000000001</c:v>
                </c:pt>
                <c:pt idx="1078">
                  <c:v>-0.45262000000000002</c:v>
                </c:pt>
                <c:pt idx="1079">
                  <c:v>-0.356738</c:v>
                </c:pt>
                <c:pt idx="1080">
                  <c:v>-0.26085799999999998</c:v>
                </c:pt>
                <c:pt idx="1081">
                  <c:v>-0.26036199999999998</c:v>
                </c:pt>
                <c:pt idx="1082">
                  <c:v>-0.13833000000000001</c:v>
                </c:pt>
                <c:pt idx="1083">
                  <c:v>-0.131686</c:v>
                </c:pt>
                <c:pt idx="1084">
                  <c:v>5.4960000000000002E-2</c:v>
                </c:pt>
                <c:pt idx="1085">
                  <c:v>3.6989999999999995E-2</c:v>
                </c:pt>
                <c:pt idx="1086">
                  <c:v>-6.2522000000000008E-2</c:v>
                </c:pt>
                <c:pt idx="1087">
                  <c:v>0.32719799999999999</c:v>
                </c:pt>
                <c:pt idx="1088">
                  <c:v>0.50460799999999995</c:v>
                </c:pt>
                <c:pt idx="1089">
                  <c:v>0.7143219999999999</c:v>
                </c:pt>
                <c:pt idx="1090">
                  <c:v>0.62865400000000005</c:v>
                </c:pt>
                <c:pt idx="1091">
                  <c:v>0.57067800000000002</c:v>
                </c:pt>
                <c:pt idx="1092">
                  <c:v>0.674234</c:v>
                </c:pt>
                <c:pt idx="1093">
                  <c:v>0.56086999999999998</c:v>
                </c:pt>
                <c:pt idx="1094">
                  <c:v>0.56135199999999996</c:v>
                </c:pt>
                <c:pt idx="1095">
                  <c:v>0.46798200000000001</c:v>
                </c:pt>
                <c:pt idx="1096">
                  <c:v>0.59461599999999992</c:v>
                </c:pt>
                <c:pt idx="1097">
                  <c:v>0.60124600000000006</c:v>
                </c:pt>
                <c:pt idx="1098">
                  <c:v>0.22479600000000002</c:v>
                </c:pt>
                <c:pt idx="1099">
                  <c:v>-5.6265999999999997E-2</c:v>
                </c:pt>
                <c:pt idx="1100">
                  <c:v>-0.621946</c:v>
                </c:pt>
                <c:pt idx="1101">
                  <c:v>-0.67070600000000002</c:v>
                </c:pt>
                <c:pt idx="1102">
                  <c:v>-0.73023399999999994</c:v>
                </c:pt>
                <c:pt idx="1103">
                  <c:v>-0.66361000000000003</c:v>
                </c:pt>
                <c:pt idx="1104">
                  <c:v>-0.67083599999999999</c:v>
                </c:pt>
                <c:pt idx="1105">
                  <c:v>-0.73344399999999998</c:v>
                </c:pt>
                <c:pt idx="1106">
                  <c:v>-0.59605200000000003</c:v>
                </c:pt>
                <c:pt idx="1107">
                  <c:v>-0.65405199999999997</c:v>
                </c:pt>
                <c:pt idx="1108">
                  <c:v>-0.56281599999999998</c:v>
                </c:pt>
                <c:pt idx="1109">
                  <c:v>-0.78389200000000003</c:v>
                </c:pt>
                <c:pt idx="1110">
                  <c:v>-1.2295860000000001</c:v>
                </c:pt>
                <c:pt idx="1111">
                  <c:v>-1.06297</c:v>
                </c:pt>
                <c:pt idx="1112">
                  <c:v>-0.70712399999999997</c:v>
                </c:pt>
                <c:pt idx="1113">
                  <c:v>-0.22820599999999999</c:v>
                </c:pt>
                <c:pt idx="1114">
                  <c:v>-0.24005600000000002</c:v>
                </c:pt>
                <c:pt idx="1115">
                  <c:v>-0.131906</c:v>
                </c:pt>
                <c:pt idx="1116">
                  <c:v>-6.8379999999999995E-3</c:v>
                </c:pt>
                <c:pt idx="1117">
                  <c:v>6.9001999999999994E-2</c:v>
                </c:pt>
                <c:pt idx="1118">
                  <c:v>9.0996000000000007E-2</c:v>
                </c:pt>
                <c:pt idx="1119">
                  <c:v>-5.1631999999999997E-2</c:v>
                </c:pt>
                <c:pt idx="1120">
                  <c:v>2.1128000000000001E-2</c:v>
                </c:pt>
                <c:pt idx="1121">
                  <c:v>0.124654</c:v>
                </c:pt>
                <c:pt idx="1122">
                  <c:v>0.140486</c:v>
                </c:pt>
                <c:pt idx="1123">
                  <c:v>0.35170400000000002</c:v>
                </c:pt>
                <c:pt idx="1124">
                  <c:v>5.0612000000000004E-2</c:v>
                </c:pt>
                <c:pt idx="1125">
                  <c:v>-0.122792</c:v>
                </c:pt>
                <c:pt idx="1126">
                  <c:v>-0.35003799999999996</c:v>
                </c:pt>
                <c:pt idx="1127">
                  <c:v>-0.20036400000000001</c:v>
                </c:pt>
                <c:pt idx="1128">
                  <c:v>9.6998000000000001E-2</c:v>
                </c:pt>
                <c:pt idx="1129">
                  <c:v>0.16359400000000002</c:v>
                </c:pt>
                <c:pt idx="1130">
                  <c:v>3.3264000000000002E-2</c:v>
                </c:pt>
                <c:pt idx="1131">
                  <c:v>0.19985399999999998</c:v>
                </c:pt>
                <c:pt idx="1132">
                  <c:v>0.25106200000000001</c:v>
                </c:pt>
                <c:pt idx="1133">
                  <c:v>0.41611400000000004</c:v>
                </c:pt>
                <c:pt idx="1134">
                  <c:v>0.50424000000000002</c:v>
                </c:pt>
                <c:pt idx="1135">
                  <c:v>0.59390399999999999</c:v>
                </c:pt>
                <c:pt idx="1136">
                  <c:v>0.63895400000000002</c:v>
                </c:pt>
                <c:pt idx="1137">
                  <c:v>0.79938399999999998</c:v>
                </c:pt>
                <c:pt idx="1138">
                  <c:v>0.889046</c:v>
                </c:pt>
                <c:pt idx="1139">
                  <c:v>1.0971680000000001</c:v>
                </c:pt>
                <c:pt idx="1140">
                  <c:v>1.0437479999999999</c:v>
                </c:pt>
                <c:pt idx="1141">
                  <c:v>0.79956000000000005</c:v>
                </c:pt>
                <c:pt idx="1142">
                  <c:v>0.53075600000000001</c:v>
                </c:pt>
                <c:pt idx="1143">
                  <c:v>0.73887000000000003</c:v>
                </c:pt>
                <c:pt idx="1144">
                  <c:v>0.31468000000000002</c:v>
                </c:pt>
                <c:pt idx="1145">
                  <c:v>0.205872</c:v>
                </c:pt>
                <c:pt idx="1146">
                  <c:v>0.32936799999999999</c:v>
                </c:pt>
                <c:pt idx="1147">
                  <c:v>-0.18098</c:v>
                </c:pt>
                <c:pt idx="1148">
                  <c:v>-0.42055999999999999</c:v>
                </c:pt>
                <c:pt idx="1149">
                  <c:v>-0.55091199999999996</c:v>
                </c:pt>
                <c:pt idx="1150">
                  <c:v>-0.53664800000000001</c:v>
                </c:pt>
                <c:pt idx="1151">
                  <c:v>-0.47777000000000003</c:v>
                </c:pt>
                <c:pt idx="1152">
                  <c:v>-0.50197400000000003</c:v>
                </c:pt>
                <c:pt idx="1153">
                  <c:v>-0.48309800000000003</c:v>
                </c:pt>
                <c:pt idx="1154">
                  <c:v>-0.59037799999999996</c:v>
                </c:pt>
                <c:pt idx="1155">
                  <c:v>-0.81458399999999997</c:v>
                </c:pt>
                <c:pt idx="1156">
                  <c:v>-1.2034039999999999</c:v>
                </c:pt>
                <c:pt idx="1157">
                  <c:v>-0.91683999999999999</c:v>
                </c:pt>
                <c:pt idx="1158">
                  <c:v>-1.033358</c:v>
                </c:pt>
                <c:pt idx="1159">
                  <c:v>-1.5883340000000001</c:v>
                </c:pt>
                <c:pt idx="1160">
                  <c:v>-1.5048500000000002</c:v>
                </c:pt>
                <c:pt idx="1161">
                  <c:v>-1.3952180000000001</c:v>
                </c:pt>
                <c:pt idx="1162">
                  <c:v>-1.4055819999999999</c:v>
                </c:pt>
                <c:pt idx="1163">
                  <c:v>-1.3344100000000001</c:v>
                </c:pt>
                <c:pt idx="1164">
                  <c:v>-1.1755500000000001</c:v>
                </c:pt>
                <c:pt idx="1165">
                  <c:v>-1.192072</c:v>
                </c:pt>
                <c:pt idx="1166">
                  <c:v>-1.2562880000000001</c:v>
                </c:pt>
                <c:pt idx="1167">
                  <c:v>-1.2205079999999999</c:v>
                </c:pt>
                <c:pt idx="1168">
                  <c:v>-0.84934200000000004</c:v>
                </c:pt>
                <c:pt idx="1169">
                  <c:v>-0.65817599999999998</c:v>
                </c:pt>
                <c:pt idx="1170">
                  <c:v>-0.80547600000000008</c:v>
                </c:pt>
                <c:pt idx="1171">
                  <c:v>-0.866622</c:v>
                </c:pt>
                <c:pt idx="1172">
                  <c:v>-0.85084400000000004</c:v>
                </c:pt>
                <c:pt idx="1173">
                  <c:v>-0.84737799999999996</c:v>
                </c:pt>
                <c:pt idx="1174">
                  <c:v>-1.0162179999999998</c:v>
                </c:pt>
                <c:pt idx="1175">
                  <c:v>-1.0727519999999999</c:v>
                </c:pt>
                <c:pt idx="1176">
                  <c:v>-1.0046740000000001</c:v>
                </c:pt>
                <c:pt idx="1177">
                  <c:v>-1.095056</c:v>
                </c:pt>
                <c:pt idx="1178">
                  <c:v>-0.75620799999999999</c:v>
                </c:pt>
                <c:pt idx="1179">
                  <c:v>-0.57890399999999997</c:v>
                </c:pt>
                <c:pt idx="1180">
                  <c:v>-0.41082799999999997</c:v>
                </c:pt>
                <c:pt idx="1181">
                  <c:v>-0.25659799999999999</c:v>
                </c:pt>
                <c:pt idx="1182">
                  <c:v>-0.31006600000000001</c:v>
                </c:pt>
                <c:pt idx="1183">
                  <c:v>-0.26661000000000001</c:v>
                </c:pt>
                <c:pt idx="1184">
                  <c:v>-0.17238399999999998</c:v>
                </c:pt>
                <c:pt idx="1185">
                  <c:v>-0.26739400000000002</c:v>
                </c:pt>
                <c:pt idx="1186">
                  <c:v>-0.28701599999999999</c:v>
                </c:pt>
                <c:pt idx="1187">
                  <c:v>-0.132794</c:v>
                </c:pt>
                <c:pt idx="1188">
                  <c:v>0.22450000000000001</c:v>
                </c:pt>
                <c:pt idx="1189">
                  <c:v>0.34333599999999997</c:v>
                </c:pt>
                <c:pt idx="1190">
                  <c:v>0.46370800000000001</c:v>
                </c:pt>
                <c:pt idx="1191">
                  <c:v>0.174846</c:v>
                </c:pt>
                <c:pt idx="1192">
                  <c:v>-0.24170800000000001</c:v>
                </c:pt>
                <c:pt idx="1193">
                  <c:v>-0.25672200000000001</c:v>
                </c:pt>
                <c:pt idx="1194">
                  <c:v>-0.62712800000000002</c:v>
                </c:pt>
                <c:pt idx="1195">
                  <c:v>-0.76522199999999996</c:v>
                </c:pt>
                <c:pt idx="1196">
                  <c:v>-1.0479340000000001</c:v>
                </c:pt>
                <c:pt idx="1197">
                  <c:v>-0.99987999999999999</c:v>
                </c:pt>
                <c:pt idx="1198">
                  <c:v>-0.92413200000000006</c:v>
                </c:pt>
                <c:pt idx="1199">
                  <c:v>-0.79607600000000001</c:v>
                </c:pt>
                <c:pt idx="1200">
                  <c:v>-0.63264200000000004</c:v>
                </c:pt>
                <c:pt idx="1201">
                  <c:v>-0.87689800000000007</c:v>
                </c:pt>
                <c:pt idx="1202">
                  <c:v>-0.95961600000000002</c:v>
                </c:pt>
                <c:pt idx="1203">
                  <c:v>-0.94233800000000001</c:v>
                </c:pt>
                <c:pt idx="1204">
                  <c:v>-0.87890400000000002</c:v>
                </c:pt>
                <c:pt idx="1205">
                  <c:v>-0.54316399999999998</c:v>
                </c:pt>
                <c:pt idx="1206">
                  <c:v>-0.43204399999999998</c:v>
                </c:pt>
                <c:pt idx="1207">
                  <c:v>2.3694000000000003E-2</c:v>
                </c:pt>
                <c:pt idx="1208">
                  <c:v>0.17943200000000001</c:v>
                </c:pt>
                <c:pt idx="1209">
                  <c:v>0.293626</c:v>
                </c:pt>
                <c:pt idx="1210">
                  <c:v>0.32782200000000006</c:v>
                </c:pt>
                <c:pt idx="1211">
                  <c:v>0.56816999999999995</c:v>
                </c:pt>
                <c:pt idx="1212">
                  <c:v>0.71313000000000004</c:v>
                </c:pt>
                <c:pt idx="1213">
                  <c:v>0.87193799999999999</c:v>
                </c:pt>
                <c:pt idx="1214">
                  <c:v>0.95074600000000009</c:v>
                </c:pt>
                <c:pt idx="1215">
                  <c:v>0.86031599999999997</c:v>
                </c:pt>
                <c:pt idx="1216">
                  <c:v>0.90373599999999998</c:v>
                </c:pt>
                <c:pt idx="1217">
                  <c:v>1.264078</c:v>
                </c:pt>
                <c:pt idx="1218">
                  <c:v>1.1982619999999999</c:v>
                </c:pt>
                <c:pt idx="1219">
                  <c:v>0.90937200000000007</c:v>
                </c:pt>
                <c:pt idx="1220">
                  <c:v>0.43894</c:v>
                </c:pt>
                <c:pt idx="1221">
                  <c:v>0.559276</c:v>
                </c:pt>
                <c:pt idx="1222">
                  <c:v>0.716534</c:v>
                </c:pt>
                <c:pt idx="1223">
                  <c:v>0.77994600000000003</c:v>
                </c:pt>
                <c:pt idx="1224">
                  <c:v>0.69412400000000007</c:v>
                </c:pt>
                <c:pt idx="1225">
                  <c:v>0.53599600000000003</c:v>
                </c:pt>
                <c:pt idx="1226">
                  <c:v>0.43632599999999999</c:v>
                </c:pt>
                <c:pt idx="1227">
                  <c:v>0.267424</c:v>
                </c:pt>
                <c:pt idx="1228">
                  <c:v>9.5446000000000003E-2</c:v>
                </c:pt>
                <c:pt idx="1229">
                  <c:v>-0.14730399999999999</c:v>
                </c:pt>
                <c:pt idx="1230">
                  <c:v>-0.41621000000000002</c:v>
                </c:pt>
                <c:pt idx="1231">
                  <c:v>-0.12357599999999999</c:v>
                </c:pt>
                <c:pt idx="1232">
                  <c:v>-0.19555800000000001</c:v>
                </c:pt>
                <c:pt idx="1233">
                  <c:v>-3.8314000000000001E-2</c:v>
                </c:pt>
                <c:pt idx="1234">
                  <c:v>-0.13183800000000001</c:v>
                </c:pt>
                <c:pt idx="1235">
                  <c:v>-0.174594</c:v>
                </c:pt>
                <c:pt idx="1236">
                  <c:v>-6.6584000000000004E-2</c:v>
                </c:pt>
                <c:pt idx="1237">
                  <c:v>4.6044000000000002E-2</c:v>
                </c:pt>
                <c:pt idx="1238">
                  <c:v>0.120208</c:v>
                </c:pt>
                <c:pt idx="1239">
                  <c:v>6.3598000000000002E-2</c:v>
                </c:pt>
                <c:pt idx="1240">
                  <c:v>0.55622199999999999</c:v>
                </c:pt>
                <c:pt idx="1241">
                  <c:v>0.73192199999999996</c:v>
                </c:pt>
                <c:pt idx="1242">
                  <c:v>0.89684799999999998</c:v>
                </c:pt>
                <c:pt idx="1243">
                  <c:v>0.51562200000000002</c:v>
                </c:pt>
                <c:pt idx="1244">
                  <c:v>-0.12714400000000001</c:v>
                </c:pt>
                <c:pt idx="1245">
                  <c:v>-0.17760600000000001</c:v>
                </c:pt>
                <c:pt idx="1246">
                  <c:v>-0.24191199999999999</c:v>
                </c:pt>
                <c:pt idx="1247">
                  <c:v>-0.22775800000000002</c:v>
                </c:pt>
                <c:pt idx="1248">
                  <c:v>-7.9762E-2</c:v>
                </c:pt>
                <c:pt idx="1249">
                  <c:v>-0.17330200000000001</c:v>
                </c:pt>
                <c:pt idx="1250">
                  <c:v>-0.14069000000000001</c:v>
                </c:pt>
                <c:pt idx="1251">
                  <c:v>-0.195774</c:v>
                </c:pt>
                <c:pt idx="1252">
                  <c:v>-0.36778</c:v>
                </c:pt>
                <c:pt idx="1253">
                  <c:v>-0.92132400000000003</c:v>
                </c:pt>
                <c:pt idx="1254">
                  <c:v>-0.94256600000000001</c:v>
                </c:pt>
                <c:pt idx="1255">
                  <c:v>-1.0776519999999998</c:v>
                </c:pt>
                <c:pt idx="1256">
                  <c:v>-1.1742780000000002</c:v>
                </c:pt>
                <c:pt idx="1257">
                  <c:v>-0.94629200000000002</c:v>
                </c:pt>
                <c:pt idx="1258">
                  <c:v>-0.789072</c:v>
                </c:pt>
                <c:pt idx="1259">
                  <c:v>-0.67800799999999994</c:v>
                </c:pt>
                <c:pt idx="1260">
                  <c:v>-0.54079599999999994</c:v>
                </c:pt>
                <c:pt idx="1261">
                  <c:v>-0.61435000000000006</c:v>
                </c:pt>
                <c:pt idx="1262">
                  <c:v>-0.45713599999999999</c:v>
                </c:pt>
                <c:pt idx="1263">
                  <c:v>-0.49377200000000004</c:v>
                </c:pt>
                <c:pt idx="1264">
                  <c:v>-0.45502200000000004</c:v>
                </c:pt>
                <c:pt idx="1265">
                  <c:v>-0.32550400000000002</c:v>
                </c:pt>
                <c:pt idx="1266">
                  <c:v>2.5550000000000003E-2</c:v>
                </c:pt>
                <c:pt idx="1267">
                  <c:v>1.9681999999999998E-2</c:v>
                </c:pt>
                <c:pt idx="1268">
                  <c:v>-0.427726</c:v>
                </c:pt>
                <c:pt idx="1269">
                  <c:v>-0.28283200000000003</c:v>
                </c:pt>
                <c:pt idx="1270">
                  <c:v>-0.404088</c:v>
                </c:pt>
                <c:pt idx="1271">
                  <c:v>-0.43611400000000006</c:v>
                </c:pt>
                <c:pt idx="1272">
                  <c:v>-0.371224</c:v>
                </c:pt>
                <c:pt idx="1273">
                  <c:v>-0.44479000000000002</c:v>
                </c:pt>
                <c:pt idx="1274">
                  <c:v>-0.33835999999999999</c:v>
                </c:pt>
                <c:pt idx="1275">
                  <c:v>-0.37500999999999995</c:v>
                </c:pt>
                <c:pt idx="1276">
                  <c:v>-0.35780999999999996</c:v>
                </c:pt>
                <c:pt idx="1277">
                  <c:v>-0.12368999999999999</c:v>
                </c:pt>
                <c:pt idx="1278">
                  <c:v>1.6579999999999998E-2</c:v>
                </c:pt>
                <c:pt idx="1279">
                  <c:v>-0.153918</c:v>
                </c:pt>
                <c:pt idx="1280">
                  <c:v>-0.41210799999999997</c:v>
                </c:pt>
                <c:pt idx="1281">
                  <c:v>-0.16414999999999999</c:v>
                </c:pt>
                <c:pt idx="1282">
                  <c:v>-4.0804E-2</c:v>
                </c:pt>
                <c:pt idx="1283">
                  <c:v>0.104078</c:v>
                </c:pt>
                <c:pt idx="1284">
                  <c:v>0.26741799999999999</c:v>
                </c:pt>
                <c:pt idx="1285">
                  <c:v>0.32922199999999996</c:v>
                </c:pt>
                <c:pt idx="1286">
                  <c:v>0.49102400000000002</c:v>
                </c:pt>
                <c:pt idx="1287">
                  <c:v>0.30513000000000001</c:v>
                </c:pt>
                <c:pt idx="1288">
                  <c:v>0.27154400000000001</c:v>
                </c:pt>
                <c:pt idx="1289">
                  <c:v>0.21334399999999998</c:v>
                </c:pt>
                <c:pt idx="1290">
                  <c:v>5.3600000000000002E-2</c:v>
                </c:pt>
                <c:pt idx="1291">
                  <c:v>-0.153834</c:v>
                </c:pt>
                <c:pt idx="1292">
                  <c:v>-8.5884000000000002E-2</c:v>
                </c:pt>
                <c:pt idx="1293">
                  <c:v>0.149752</c:v>
                </c:pt>
                <c:pt idx="1294">
                  <c:v>0.20077800000000001</c:v>
                </c:pt>
                <c:pt idx="1295">
                  <c:v>0.20872399999999999</c:v>
                </c:pt>
                <c:pt idx="1296">
                  <c:v>0.19820399999999999</c:v>
                </c:pt>
                <c:pt idx="1297">
                  <c:v>0.27229999999999999</c:v>
                </c:pt>
                <c:pt idx="1298">
                  <c:v>0.15870599999999999</c:v>
                </c:pt>
                <c:pt idx="1299">
                  <c:v>3.8952000000000001E-2</c:v>
                </c:pt>
                <c:pt idx="1300">
                  <c:v>0.20843</c:v>
                </c:pt>
                <c:pt idx="1301">
                  <c:v>0.35329199999999999</c:v>
                </c:pt>
                <c:pt idx="1302">
                  <c:v>0.447382</c:v>
                </c:pt>
                <c:pt idx="1303">
                  <c:v>0.575318</c:v>
                </c:pt>
                <c:pt idx="1304">
                  <c:v>0.72171600000000002</c:v>
                </c:pt>
                <c:pt idx="1305">
                  <c:v>0.75580000000000003</c:v>
                </c:pt>
                <c:pt idx="1306">
                  <c:v>0.86834999999999996</c:v>
                </c:pt>
                <c:pt idx="1307">
                  <c:v>1.0224359999999999</c:v>
                </c:pt>
                <c:pt idx="1308">
                  <c:v>1.0949800000000001</c:v>
                </c:pt>
                <c:pt idx="1309">
                  <c:v>1.464448</c:v>
                </c:pt>
                <c:pt idx="1310">
                  <c:v>1.421608</c:v>
                </c:pt>
                <c:pt idx="1311">
                  <c:v>1.4972259999999999</c:v>
                </c:pt>
                <c:pt idx="1312">
                  <c:v>1.6128439999999999</c:v>
                </c:pt>
                <c:pt idx="1313">
                  <c:v>1.637694</c:v>
                </c:pt>
                <c:pt idx="1314">
                  <c:v>1.3317679999999998</c:v>
                </c:pt>
                <c:pt idx="1315">
                  <c:v>1.2673840000000001</c:v>
                </c:pt>
                <c:pt idx="1316">
                  <c:v>1.4276140000000002</c:v>
                </c:pt>
                <c:pt idx="1317">
                  <c:v>1.4632239999999999</c:v>
                </c:pt>
                <c:pt idx="1318">
                  <c:v>1.274222</c:v>
                </c:pt>
                <c:pt idx="1319">
                  <c:v>1.260602</c:v>
                </c:pt>
                <c:pt idx="1320">
                  <c:v>1.3762080000000001</c:v>
                </c:pt>
                <c:pt idx="1321">
                  <c:v>1.393356</c:v>
                </c:pt>
                <c:pt idx="1322">
                  <c:v>1.2274259999999999</c:v>
                </c:pt>
                <c:pt idx="1323">
                  <c:v>1.1614899999999999</c:v>
                </c:pt>
                <c:pt idx="1324">
                  <c:v>1.1478660000000001</c:v>
                </c:pt>
                <c:pt idx="1325">
                  <c:v>0.80346999999999991</c:v>
                </c:pt>
                <c:pt idx="1326">
                  <c:v>0.50368599999999997</c:v>
                </c:pt>
                <c:pt idx="1327">
                  <c:v>0.43774799999999997</c:v>
                </c:pt>
                <c:pt idx="1328">
                  <c:v>1.9504000000000001E-2</c:v>
                </c:pt>
                <c:pt idx="1329">
                  <c:v>-0.49874600000000002</c:v>
                </c:pt>
                <c:pt idx="1330">
                  <c:v>-0.7200700000000001</c:v>
                </c:pt>
                <c:pt idx="1331">
                  <c:v>-0.63524199999999997</c:v>
                </c:pt>
                <c:pt idx="1332">
                  <c:v>-0.59349400000000008</c:v>
                </c:pt>
                <c:pt idx="1333">
                  <c:v>-0.65174599999999994</c:v>
                </c:pt>
                <c:pt idx="1334">
                  <c:v>-0.64999799999999996</c:v>
                </c:pt>
                <c:pt idx="1335">
                  <c:v>-0.73286799999999996</c:v>
                </c:pt>
                <c:pt idx="1336">
                  <c:v>-1.021892</c:v>
                </c:pt>
                <c:pt idx="1337">
                  <c:v>-1.2186079999999999</c:v>
                </c:pt>
                <c:pt idx="1338">
                  <c:v>-0.95686800000000005</c:v>
                </c:pt>
                <c:pt idx="1339">
                  <c:v>-0.75051000000000001</c:v>
                </c:pt>
                <c:pt idx="1340">
                  <c:v>-0.61646199999999995</c:v>
                </c:pt>
                <c:pt idx="1341">
                  <c:v>-0.35011000000000003</c:v>
                </c:pt>
                <c:pt idx="1342">
                  <c:v>-0.29298600000000002</c:v>
                </c:pt>
                <c:pt idx="1343">
                  <c:v>-0.33432400000000001</c:v>
                </c:pt>
                <c:pt idx="1344">
                  <c:v>-0.35259200000000002</c:v>
                </c:pt>
                <c:pt idx="1345">
                  <c:v>-0.36931800000000004</c:v>
                </c:pt>
                <c:pt idx="1346">
                  <c:v>-0.35527399999999998</c:v>
                </c:pt>
                <c:pt idx="1347">
                  <c:v>-0.57816000000000001</c:v>
                </c:pt>
                <c:pt idx="1348">
                  <c:v>-0.74104400000000004</c:v>
                </c:pt>
                <c:pt idx="1349">
                  <c:v>-0.82392799999999999</c:v>
                </c:pt>
                <c:pt idx="1350">
                  <c:v>-0.94681599999999999</c:v>
                </c:pt>
                <c:pt idx="1351">
                  <c:v>-0.85278000000000009</c:v>
                </c:pt>
                <c:pt idx="1352">
                  <c:v>-0.995668</c:v>
                </c:pt>
                <c:pt idx="1353">
                  <c:v>-1.1631740000000002</c:v>
                </c:pt>
                <c:pt idx="1354">
                  <c:v>-1.3229880000000001</c:v>
                </c:pt>
                <c:pt idx="1355">
                  <c:v>-1.2089559999999999</c:v>
                </c:pt>
                <c:pt idx="1356">
                  <c:v>-0.92723600000000006</c:v>
                </c:pt>
                <c:pt idx="1357">
                  <c:v>-0.75628200000000012</c:v>
                </c:pt>
                <c:pt idx="1358">
                  <c:v>-0.64840799999999998</c:v>
                </c:pt>
                <c:pt idx="1359">
                  <c:v>-0.889768</c:v>
                </c:pt>
                <c:pt idx="1360">
                  <c:v>-0.96805000000000008</c:v>
                </c:pt>
                <c:pt idx="1361">
                  <c:v>-1.097102</c:v>
                </c:pt>
                <c:pt idx="1362">
                  <c:v>-0.9030800000000001</c:v>
                </c:pt>
                <c:pt idx="1363">
                  <c:v>-0.73367199999999999</c:v>
                </c:pt>
                <c:pt idx="1364">
                  <c:v>-1.0888819999999999</c:v>
                </c:pt>
                <c:pt idx="1365">
                  <c:v>-1.03948</c:v>
                </c:pt>
                <c:pt idx="1366">
                  <c:v>-1.003922</c:v>
                </c:pt>
                <c:pt idx="1367">
                  <c:v>-0.6975960000000001</c:v>
                </c:pt>
                <c:pt idx="1368">
                  <c:v>-0.72050399999999992</c:v>
                </c:pt>
                <c:pt idx="1369">
                  <c:v>-0.91110400000000002</c:v>
                </c:pt>
                <c:pt idx="1370">
                  <c:v>-1.1355500000000001</c:v>
                </c:pt>
                <c:pt idx="1371">
                  <c:v>-1.2923079999999998</c:v>
                </c:pt>
                <c:pt idx="1372">
                  <c:v>-1.192142</c:v>
                </c:pt>
                <c:pt idx="1373">
                  <c:v>-1.00736</c:v>
                </c:pt>
                <c:pt idx="1374">
                  <c:v>-0.67642999999999998</c:v>
                </c:pt>
                <c:pt idx="1375">
                  <c:v>-0.50857600000000003</c:v>
                </c:pt>
                <c:pt idx="1376">
                  <c:v>-0.45918199999999998</c:v>
                </c:pt>
                <c:pt idx="1377">
                  <c:v>-3.64E-3</c:v>
                </c:pt>
                <c:pt idx="1378">
                  <c:v>7.190400000000001E-2</c:v>
                </c:pt>
                <c:pt idx="1379">
                  <c:v>0.16744800000000001</c:v>
                </c:pt>
                <c:pt idx="1380">
                  <c:v>0.15068000000000001</c:v>
                </c:pt>
                <c:pt idx="1381">
                  <c:v>0.17083600000000002</c:v>
                </c:pt>
                <c:pt idx="1382">
                  <c:v>0.135606</c:v>
                </c:pt>
                <c:pt idx="1383">
                  <c:v>0.19729600000000003</c:v>
                </c:pt>
                <c:pt idx="1384">
                  <c:v>0.44206400000000001</c:v>
                </c:pt>
                <c:pt idx="1385">
                  <c:v>0.38529400000000003</c:v>
                </c:pt>
                <c:pt idx="1386">
                  <c:v>0.13621</c:v>
                </c:pt>
                <c:pt idx="1387">
                  <c:v>-0.26363999999999999</c:v>
                </c:pt>
                <c:pt idx="1388">
                  <c:v>-0.67118399999999989</c:v>
                </c:pt>
                <c:pt idx="1389">
                  <c:v>-0.90334800000000004</c:v>
                </c:pt>
                <c:pt idx="1390">
                  <c:v>-1.23397</c:v>
                </c:pt>
                <c:pt idx="1391">
                  <c:v>-1.3261320000000001</c:v>
                </c:pt>
                <c:pt idx="1392">
                  <c:v>-1.1521460000000001</c:v>
                </c:pt>
                <c:pt idx="1393">
                  <c:v>-1.230464</c:v>
                </c:pt>
                <c:pt idx="1394">
                  <c:v>-1.3164760000000002</c:v>
                </c:pt>
                <c:pt idx="1395">
                  <c:v>-1.3901859999999999</c:v>
                </c:pt>
                <c:pt idx="1396">
                  <c:v>-1.3838919999999999</c:v>
                </c:pt>
                <c:pt idx="1397">
                  <c:v>-1.6683699999999999</c:v>
                </c:pt>
                <c:pt idx="1398">
                  <c:v>-1.7251580000000002</c:v>
                </c:pt>
                <c:pt idx="1399">
                  <c:v>-1.5804060000000002</c:v>
                </c:pt>
                <c:pt idx="1400">
                  <c:v>-1.2633479999999999</c:v>
                </c:pt>
                <c:pt idx="1401">
                  <c:v>-0.747834</c:v>
                </c:pt>
                <c:pt idx="1402">
                  <c:v>-0.52000800000000003</c:v>
                </c:pt>
                <c:pt idx="1403">
                  <c:v>-0.49218400000000001</c:v>
                </c:pt>
                <c:pt idx="1404">
                  <c:v>-0.496672</c:v>
                </c:pt>
                <c:pt idx="1405">
                  <c:v>-0.71500399999999997</c:v>
                </c:pt>
                <c:pt idx="1406">
                  <c:v>-0.60410799999999998</c:v>
                </c:pt>
                <c:pt idx="1407">
                  <c:v>-0.20705999999999999</c:v>
                </c:pt>
                <c:pt idx="1408">
                  <c:v>-8.6934000000000011E-2</c:v>
                </c:pt>
                <c:pt idx="1409">
                  <c:v>-0.20219400000000001</c:v>
                </c:pt>
                <c:pt idx="1410">
                  <c:v>-0.10976599999999999</c:v>
                </c:pt>
                <c:pt idx="1411">
                  <c:v>4.8818E-2</c:v>
                </c:pt>
                <c:pt idx="1412">
                  <c:v>0.32740000000000002</c:v>
                </c:pt>
                <c:pt idx="1413">
                  <c:v>0.241364</c:v>
                </c:pt>
                <c:pt idx="1414">
                  <c:v>3.0714000000000002E-2</c:v>
                </c:pt>
                <c:pt idx="1415">
                  <c:v>-2.7629999999999998E-2</c:v>
                </c:pt>
                <c:pt idx="1416">
                  <c:v>0.1971</c:v>
                </c:pt>
                <c:pt idx="1417">
                  <c:v>0.51567600000000002</c:v>
                </c:pt>
                <c:pt idx="1418">
                  <c:v>0.75117599999999995</c:v>
                </c:pt>
                <c:pt idx="1419">
                  <c:v>0.42205599999999999</c:v>
                </c:pt>
                <c:pt idx="1420">
                  <c:v>0.33909</c:v>
                </c:pt>
                <c:pt idx="1421">
                  <c:v>0.32843200000000006</c:v>
                </c:pt>
                <c:pt idx="1422">
                  <c:v>0.53776999999999997</c:v>
                </c:pt>
                <c:pt idx="1423">
                  <c:v>0.64710999999999996</c:v>
                </c:pt>
                <c:pt idx="1424">
                  <c:v>0.67029399999999995</c:v>
                </c:pt>
                <c:pt idx="1425">
                  <c:v>0.47193600000000002</c:v>
                </c:pt>
                <c:pt idx="1426">
                  <c:v>0.49665799999999999</c:v>
                </c:pt>
                <c:pt idx="1427">
                  <c:v>0.46906999999999999</c:v>
                </c:pt>
                <c:pt idx="1428">
                  <c:v>0.521478</c:v>
                </c:pt>
                <c:pt idx="1429">
                  <c:v>0.36158000000000001</c:v>
                </c:pt>
                <c:pt idx="1430">
                  <c:v>3.8603999999999999E-2</c:v>
                </c:pt>
                <c:pt idx="1431">
                  <c:v>-0.11053</c:v>
                </c:pt>
                <c:pt idx="1432">
                  <c:v>8.1876000000000004E-2</c:v>
                </c:pt>
                <c:pt idx="1433">
                  <c:v>-0.242642</c:v>
                </c:pt>
                <c:pt idx="1434">
                  <c:v>-0.134856</c:v>
                </c:pt>
                <c:pt idx="1435">
                  <c:v>-4.8605999999999996E-2</c:v>
                </c:pt>
                <c:pt idx="1436">
                  <c:v>1.4563999999999999E-2</c:v>
                </c:pt>
                <c:pt idx="1437">
                  <c:v>-7.3037999999999992E-2</c:v>
                </c:pt>
                <c:pt idx="1438">
                  <c:v>-0.22832999999999998</c:v>
                </c:pt>
                <c:pt idx="1439">
                  <c:v>-9.1316000000000008E-2</c:v>
                </c:pt>
                <c:pt idx="1440">
                  <c:v>0.19954</c:v>
                </c:pt>
                <c:pt idx="1441">
                  <c:v>0.29809000000000002</c:v>
                </c:pt>
                <c:pt idx="1442">
                  <c:v>0.26433000000000001</c:v>
                </c:pt>
                <c:pt idx="1443">
                  <c:v>2.7490000000000001E-2</c:v>
                </c:pt>
                <c:pt idx="1444">
                  <c:v>-0.22165400000000002</c:v>
                </c:pt>
                <c:pt idx="1445">
                  <c:v>-0.22156999999999999</c:v>
                </c:pt>
                <c:pt idx="1446">
                  <c:v>-0.28610600000000003</c:v>
                </c:pt>
                <c:pt idx="1447">
                  <c:v>-0.44448599999999999</c:v>
                </c:pt>
                <c:pt idx="1448">
                  <c:v>-0.67825199999999997</c:v>
                </c:pt>
                <c:pt idx="1449">
                  <c:v>-1.0535600000000001</c:v>
                </c:pt>
                <c:pt idx="1450">
                  <c:v>-1.0750199999999999</c:v>
                </c:pt>
                <c:pt idx="1451">
                  <c:v>-0.76417400000000002</c:v>
                </c:pt>
                <c:pt idx="1452">
                  <c:v>-0.83487</c:v>
                </c:pt>
                <c:pt idx="1453">
                  <c:v>-0.96556399999999998</c:v>
                </c:pt>
                <c:pt idx="1454">
                  <c:v>-0.78087400000000007</c:v>
                </c:pt>
                <c:pt idx="1455">
                  <c:v>-0.82080600000000004</c:v>
                </c:pt>
                <c:pt idx="1456">
                  <c:v>-0.20996400000000001</c:v>
                </c:pt>
                <c:pt idx="1457">
                  <c:v>0.120876</c:v>
                </c:pt>
                <c:pt idx="1458">
                  <c:v>0.20094200000000001</c:v>
                </c:pt>
                <c:pt idx="1459">
                  <c:v>0.61177799999999993</c:v>
                </c:pt>
                <c:pt idx="1460">
                  <c:v>1.0656919999999999</c:v>
                </c:pt>
                <c:pt idx="1461">
                  <c:v>1.0965240000000001</c:v>
                </c:pt>
                <c:pt idx="1462">
                  <c:v>1.228896</c:v>
                </c:pt>
                <c:pt idx="1463">
                  <c:v>1.3289599999999999</c:v>
                </c:pt>
                <c:pt idx="1464">
                  <c:v>1.3613280000000001</c:v>
                </c:pt>
                <c:pt idx="1465">
                  <c:v>1.426004</c:v>
                </c:pt>
                <c:pt idx="1466">
                  <c:v>1.4276040000000001</c:v>
                </c:pt>
                <c:pt idx="1467">
                  <c:v>1.139966</c:v>
                </c:pt>
                <c:pt idx="1468">
                  <c:v>1.200024</c:v>
                </c:pt>
                <c:pt idx="1469">
                  <c:v>0.58777400000000002</c:v>
                </c:pt>
                <c:pt idx="1470">
                  <c:v>0.45244200000000001</c:v>
                </c:pt>
                <c:pt idx="1471">
                  <c:v>0.21864999999999998</c:v>
                </c:pt>
                <c:pt idx="1472">
                  <c:v>-0.36745</c:v>
                </c:pt>
                <c:pt idx="1473">
                  <c:v>-0.73509400000000003</c:v>
                </c:pt>
                <c:pt idx="1474">
                  <c:v>-0.83811800000000003</c:v>
                </c:pt>
                <c:pt idx="1475">
                  <c:v>-0.74575999999999998</c:v>
                </c:pt>
                <c:pt idx="1476">
                  <c:v>-0.59956200000000004</c:v>
                </c:pt>
                <c:pt idx="1477">
                  <c:v>-0.61489800000000006</c:v>
                </c:pt>
                <c:pt idx="1478">
                  <c:v>-0.57485200000000003</c:v>
                </c:pt>
                <c:pt idx="1479">
                  <c:v>-0.470194</c:v>
                </c:pt>
                <c:pt idx="1480">
                  <c:v>-0.55476400000000003</c:v>
                </c:pt>
                <c:pt idx="1481">
                  <c:v>-0.55010599999999998</c:v>
                </c:pt>
                <c:pt idx="1482">
                  <c:v>-0.245452</c:v>
                </c:pt>
                <c:pt idx="1483">
                  <c:v>-0.111564</c:v>
                </c:pt>
                <c:pt idx="1484">
                  <c:v>2.3219999999999998E-3</c:v>
                </c:pt>
                <c:pt idx="1485">
                  <c:v>0.22697199999999998</c:v>
                </c:pt>
                <c:pt idx="1486">
                  <c:v>0.231626</c:v>
                </c:pt>
                <c:pt idx="1487">
                  <c:v>0.42551</c:v>
                </c:pt>
                <c:pt idx="1488">
                  <c:v>0.56246399999999996</c:v>
                </c:pt>
                <c:pt idx="1489">
                  <c:v>0.45018999999999998</c:v>
                </c:pt>
                <c:pt idx="1490">
                  <c:v>0.359454</c:v>
                </c:pt>
                <c:pt idx="1491">
                  <c:v>0.35948399999999997</c:v>
                </c:pt>
                <c:pt idx="1492">
                  <c:v>0.25028400000000001</c:v>
                </c:pt>
                <c:pt idx="1493">
                  <c:v>0.37646799999999997</c:v>
                </c:pt>
                <c:pt idx="1494">
                  <c:v>0.61649200000000004</c:v>
                </c:pt>
                <c:pt idx="1495">
                  <c:v>0.81190399999999996</c:v>
                </c:pt>
                <c:pt idx="1496">
                  <c:v>0.57039200000000001</c:v>
                </c:pt>
                <c:pt idx="1497">
                  <c:v>0.41195399999999999</c:v>
                </c:pt>
                <c:pt idx="1498">
                  <c:v>0.353516</c:v>
                </c:pt>
                <c:pt idx="1499">
                  <c:v>0.42430799999999996</c:v>
                </c:pt>
                <c:pt idx="1500">
                  <c:v>0.47355800000000003</c:v>
                </c:pt>
                <c:pt idx="1501">
                  <c:v>0.462808</c:v>
                </c:pt>
                <c:pt idx="1502">
                  <c:v>0.513598</c:v>
                </c:pt>
                <c:pt idx="1503">
                  <c:v>0.36746000000000001</c:v>
                </c:pt>
                <c:pt idx="1504">
                  <c:v>0.20593800000000001</c:v>
                </c:pt>
                <c:pt idx="1505">
                  <c:v>0.22287800000000002</c:v>
                </c:pt>
                <c:pt idx="1506">
                  <c:v>-0.110958</c:v>
                </c:pt>
                <c:pt idx="1507">
                  <c:v>-0.51094399999999995</c:v>
                </c:pt>
                <c:pt idx="1508">
                  <c:v>-0.96785399999999999</c:v>
                </c:pt>
                <c:pt idx="1509">
                  <c:v>-0.90630600000000006</c:v>
                </c:pt>
                <c:pt idx="1510">
                  <c:v>-0.83398799999999995</c:v>
                </c:pt>
                <c:pt idx="1511">
                  <c:v>-0.70321</c:v>
                </c:pt>
                <c:pt idx="1512">
                  <c:v>-0.82012799999999997</c:v>
                </c:pt>
                <c:pt idx="1513">
                  <c:v>-0.83704400000000012</c:v>
                </c:pt>
                <c:pt idx="1514">
                  <c:v>-0.91088399999999992</c:v>
                </c:pt>
                <c:pt idx="1515">
                  <c:v>-0.98011199999999998</c:v>
                </c:pt>
                <c:pt idx="1516">
                  <c:v>-0.56010800000000005</c:v>
                </c:pt>
                <c:pt idx="1517">
                  <c:v>-0.43856800000000001</c:v>
                </c:pt>
                <c:pt idx="1518">
                  <c:v>-0.22626200000000002</c:v>
                </c:pt>
                <c:pt idx="1519">
                  <c:v>0.32142999999999999</c:v>
                </c:pt>
                <c:pt idx="1520">
                  <c:v>0.53220000000000001</c:v>
                </c:pt>
                <c:pt idx="1521">
                  <c:v>0.7814239999999999</c:v>
                </c:pt>
                <c:pt idx="1522">
                  <c:v>0.95680599999999993</c:v>
                </c:pt>
                <c:pt idx="1523">
                  <c:v>1.13988</c:v>
                </c:pt>
                <c:pt idx="1524">
                  <c:v>1.3737159999999999</c:v>
                </c:pt>
                <c:pt idx="1525">
                  <c:v>1.6075559999999998</c:v>
                </c:pt>
                <c:pt idx="1526">
                  <c:v>1.8583179999999999</c:v>
                </c:pt>
                <c:pt idx="1527">
                  <c:v>1.8475360000000001</c:v>
                </c:pt>
                <c:pt idx="1528">
                  <c:v>2.0629119999999999</c:v>
                </c:pt>
                <c:pt idx="1529">
                  <c:v>1.7875159999999999</c:v>
                </c:pt>
                <c:pt idx="1530">
                  <c:v>1.6490400000000001</c:v>
                </c:pt>
                <c:pt idx="1531">
                  <c:v>1.3674879999999998</c:v>
                </c:pt>
                <c:pt idx="1532">
                  <c:v>1.464396</c:v>
                </c:pt>
                <c:pt idx="1533">
                  <c:v>1.3813</c:v>
                </c:pt>
                <c:pt idx="1534">
                  <c:v>1.278208</c:v>
                </c:pt>
                <c:pt idx="1535">
                  <c:v>1.0828060000000002</c:v>
                </c:pt>
                <c:pt idx="1536">
                  <c:v>1.1720140000000001</c:v>
                </c:pt>
                <c:pt idx="1537">
                  <c:v>0.98737799999999998</c:v>
                </c:pt>
                <c:pt idx="1538">
                  <c:v>0.76120399999999999</c:v>
                </c:pt>
                <c:pt idx="1539">
                  <c:v>0.39964</c:v>
                </c:pt>
                <c:pt idx="1540">
                  <c:v>0.48269199999999995</c:v>
                </c:pt>
                <c:pt idx="1541">
                  <c:v>0.39497599999999999</c:v>
                </c:pt>
                <c:pt idx="1542">
                  <c:v>0.27494800000000003</c:v>
                </c:pt>
                <c:pt idx="1543">
                  <c:v>0.307228</c:v>
                </c:pt>
                <c:pt idx="1544">
                  <c:v>0.250278</c:v>
                </c:pt>
                <c:pt idx="1545">
                  <c:v>-0.26513999999999999</c:v>
                </c:pt>
                <c:pt idx="1546">
                  <c:v>-0.36824599999999996</c:v>
                </c:pt>
                <c:pt idx="1547">
                  <c:v>-0.131354</c:v>
                </c:pt>
                <c:pt idx="1548">
                  <c:v>4.7070000000000001E-2</c:v>
                </c:pt>
                <c:pt idx="1549">
                  <c:v>-2.1940000000000002E-3</c:v>
                </c:pt>
                <c:pt idx="1550">
                  <c:v>1.008E-2</c:v>
                </c:pt>
                <c:pt idx="1551">
                  <c:v>0.31157800000000002</c:v>
                </c:pt>
                <c:pt idx="1552">
                  <c:v>7.6158000000000003E-2</c:v>
                </c:pt>
                <c:pt idx="1553">
                  <c:v>-6.3879999999999992E-2</c:v>
                </c:pt>
                <c:pt idx="1554">
                  <c:v>-0.36392400000000003</c:v>
                </c:pt>
                <c:pt idx="1555">
                  <c:v>-0.490118</c:v>
                </c:pt>
                <c:pt idx="1556">
                  <c:v>-0.49477400000000005</c:v>
                </c:pt>
                <c:pt idx="1557">
                  <c:v>-0.57174400000000003</c:v>
                </c:pt>
                <c:pt idx="1558">
                  <c:v>-0.29486400000000001</c:v>
                </c:pt>
                <c:pt idx="1559">
                  <c:v>-9.3369999999999995E-2</c:v>
                </c:pt>
                <c:pt idx="1560">
                  <c:v>-0.13803599999999999</c:v>
                </c:pt>
                <c:pt idx="1561">
                  <c:v>-6.2698000000000004E-2</c:v>
                </c:pt>
                <c:pt idx="1562">
                  <c:v>-2.7362000000000001E-2</c:v>
                </c:pt>
                <c:pt idx="1563">
                  <c:v>-0.198184</c:v>
                </c:pt>
                <c:pt idx="1564">
                  <c:v>-8.5925999999999988E-2</c:v>
                </c:pt>
                <c:pt idx="1565">
                  <c:v>0.30632999999999999</c:v>
                </c:pt>
                <c:pt idx="1566">
                  <c:v>0.18781199999999998</c:v>
                </c:pt>
                <c:pt idx="1567">
                  <c:v>0.34160400000000002</c:v>
                </c:pt>
                <c:pt idx="1568">
                  <c:v>0.32001199999999996</c:v>
                </c:pt>
                <c:pt idx="1569">
                  <c:v>0.43072000000000005</c:v>
                </c:pt>
                <c:pt idx="1570">
                  <c:v>0.40604799999999996</c:v>
                </c:pt>
                <c:pt idx="1571">
                  <c:v>0.40137400000000001</c:v>
                </c:pt>
                <c:pt idx="1572">
                  <c:v>0.45515800000000001</c:v>
                </c:pt>
                <c:pt idx="1573">
                  <c:v>0.41048200000000001</c:v>
                </c:pt>
                <c:pt idx="1574">
                  <c:v>0.32734400000000002</c:v>
                </c:pt>
                <c:pt idx="1575">
                  <c:v>0.34112200000000004</c:v>
                </c:pt>
                <c:pt idx="1576">
                  <c:v>0.26105800000000001</c:v>
                </c:pt>
                <c:pt idx="1577">
                  <c:v>-6.2084E-2</c:v>
                </c:pt>
                <c:pt idx="1578">
                  <c:v>0.16861599999999999</c:v>
                </c:pt>
                <c:pt idx="1579">
                  <c:v>2.5472000000000002E-2</c:v>
                </c:pt>
                <c:pt idx="1580">
                  <c:v>2.2326000000000002E-2</c:v>
                </c:pt>
                <c:pt idx="1581">
                  <c:v>0.34994599999999998</c:v>
                </c:pt>
                <c:pt idx="1582">
                  <c:v>0.22218199999999999</c:v>
                </c:pt>
                <c:pt idx="1583">
                  <c:v>0.35595599999999999</c:v>
                </c:pt>
                <c:pt idx="1584">
                  <c:v>0.27588000000000001</c:v>
                </c:pt>
                <c:pt idx="1585">
                  <c:v>0.177344</c:v>
                </c:pt>
                <c:pt idx="1586">
                  <c:v>0.300346</c:v>
                </c:pt>
                <c:pt idx="1587">
                  <c:v>0.417188</c:v>
                </c:pt>
                <c:pt idx="1588">
                  <c:v>0.38480400000000003</c:v>
                </c:pt>
                <c:pt idx="1589">
                  <c:v>0.49703200000000003</c:v>
                </c:pt>
                <c:pt idx="1590">
                  <c:v>0.42002600000000001</c:v>
                </c:pt>
                <c:pt idx="1591">
                  <c:v>5.9945999999999999E-2</c:v>
                </c:pt>
                <c:pt idx="1592">
                  <c:v>0.11217000000000001</c:v>
                </c:pt>
                <c:pt idx="1593">
                  <c:v>-0.13560800000000001</c:v>
                </c:pt>
                <c:pt idx="1594">
                  <c:v>-0.28492400000000001</c:v>
                </c:pt>
                <c:pt idx="1595">
                  <c:v>-0.31731599999999999</c:v>
                </c:pt>
                <c:pt idx="1596">
                  <c:v>-0.25433</c:v>
                </c:pt>
                <c:pt idx="1597">
                  <c:v>-0.25134000000000001</c:v>
                </c:pt>
                <c:pt idx="1598">
                  <c:v>-0.228352</c:v>
                </c:pt>
                <c:pt idx="1599">
                  <c:v>-0.61460000000000004</c:v>
                </c:pt>
                <c:pt idx="1600">
                  <c:v>-0.63007599999999997</c:v>
                </c:pt>
                <c:pt idx="1601">
                  <c:v>-0.62863000000000002</c:v>
                </c:pt>
                <c:pt idx="1602">
                  <c:v>-0.49795800000000001</c:v>
                </c:pt>
                <c:pt idx="1603">
                  <c:v>-0.85805200000000004</c:v>
                </c:pt>
                <c:pt idx="1604">
                  <c:v>-0.96737799999999996</c:v>
                </c:pt>
                <c:pt idx="1605">
                  <c:v>-0.84593999999999991</c:v>
                </c:pt>
                <c:pt idx="1606">
                  <c:v>-0.65219199999999999</c:v>
                </c:pt>
                <c:pt idx="1607">
                  <c:v>-0.62921399999999994</c:v>
                </c:pt>
                <c:pt idx="1608">
                  <c:v>-0.49085600000000001</c:v>
                </c:pt>
                <c:pt idx="1609">
                  <c:v>-0.62788200000000005</c:v>
                </c:pt>
                <c:pt idx="1610">
                  <c:v>-0.62952200000000003</c:v>
                </c:pt>
                <c:pt idx="1611">
                  <c:v>-0.82039799999999996</c:v>
                </c:pt>
                <c:pt idx="1612">
                  <c:v>-0.69588800000000006</c:v>
                </c:pt>
                <c:pt idx="1613">
                  <c:v>-1.1159939999999999</c:v>
                </c:pt>
                <c:pt idx="1614">
                  <c:v>-1.116104</c:v>
                </c:pt>
                <c:pt idx="1615">
                  <c:v>-1.14852</c:v>
                </c:pt>
                <c:pt idx="1616">
                  <c:v>-0.85478200000000004</c:v>
                </c:pt>
                <c:pt idx="1617">
                  <c:v>-0.750282</c:v>
                </c:pt>
                <c:pt idx="1618">
                  <c:v>-0.69808599999999998</c:v>
                </c:pt>
                <c:pt idx="1619">
                  <c:v>-0.53050600000000003</c:v>
                </c:pt>
                <c:pt idx="1620">
                  <c:v>-0.37831600000000004</c:v>
                </c:pt>
                <c:pt idx="1621">
                  <c:v>-0.33689199999999997</c:v>
                </c:pt>
                <c:pt idx="1622">
                  <c:v>-0.318546</c:v>
                </c:pt>
                <c:pt idx="1623">
                  <c:v>-0.44636000000000003</c:v>
                </c:pt>
                <c:pt idx="1624">
                  <c:v>-0.38494</c:v>
                </c:pt>
                <c:pt idx="1625">
                  <c:v>-0.15890399999999999</c:v>
                </c:pt>
                <c:pt idx="1626">
                  <c:v>-3.7490000000000002E-2</c:v>
                </c:pt>
                <c:pt idx="1627">
                  <c:v>-3.1458E-2</c:v>
                </c:pt>
                <c:pt idx="1628">
                  <c:v>-0.230042</c:v>
                </c:pt>
                <c:pt idx="1629">
                  <c:v>-0.24863199999999999</c:v>
                </c:pt>
                <c:pt idx="1630">
                  <c:v>-0.26106400000000002</c:v>
                </c:pt>
                <c:pt idx="1631">
                  <c:v>-0.41349800000000003</c:v>
                </c:pt>
                <c:pt idx="1632">
                  <c:v>-0.44747599999999998</c:v>
                </c:pt>
                <c:pt idx="1633">
                  <c:v>-0.46452800000000005</c:v>
                </c:pt>
                <c:pt idx="1634">
                  <c:v>-0.50004199999999999</c:v>
                </c:pt>
                <c:pt idx="1635">
                  <c:v>-0.43248399999999998</c:v>
                </c:pt>
                <c:pt idx="1636">
                  <c:v>-0.45569200000000004</c:v>
                </c:pt>
                <c:pt idx="1637">
                  <c:v>-0.38043999999999994</c:v>
                </c:pt>
                <c:pt idx="1638">
                  <c:v>-0.40211599999999997</c:v>
                </c:pt>
                <c:pt idx="1639">
                  <c:v>-0.48379</c:v>
                </c:pt>
                <c:pt idx="1640">
                  <c:v>-0.63007999999999997</c:v>
                </c:pt>
                <c:pt idx="1641">
                  <c:v>-0.38252999999999998</c:v>
                </c:pt>
                <c:pt idx="1642">
                  <c:v>-0.29189799999999999</c:v>
                </c:pt>
                <c:pt idx="1643">
                  <c:v>-0.15203800000000001</c:v>
                </c:pt>
                <c:pt idx="1644">
                  <c:v>0.17089400000000002</c:v>
                </c:pt>
                <c:pt idx="1645">
                  <c:v>0.18767399999999998</c:v>
                </c:pt>
                <c:pt idx="1646">
                  <c:v>0.19522400000000001</c:v>
                </c:pt>
                <c:pt idx="1647">
                  <c:v>0.29353800000000002</c:v>
                </c:pt>
                <c:pt idx="1648">
                  <c:v>0.47954599999999997</c:v>
                </c:pt>
                <c:pt idx="1649">
                  <c:v>0.76863000000000004</c:v>
                </c:pt>
                <c:pt idx="1650">
                  <c:v>0.79771000000000003</c:v>
                </c:pt>
                <c:pt idx="1651">
                  <c:v>0.66986800000000002</c:v>
                </c:pt>
                <c:pt idx="1652">
                  <c:v>0.76664199999999993</c:v>
                </c:pt>
                <c:pt idx="1653">
                  <c:v>0.66648600000000002</c:v>
                </c:pt>
                <c:pt idx="1654">
                  <c:v>0.48171999999999998</c:v>
                </c:pt>
                <c:pt idx="1655">
                  <c:v>0.37848999999999999</c:v>
                </c:pt>
                <c:pt idx="1656">
                  <c:v>0.242946</c:v>
                </c:pt>
                <c:pt idx="1657">
                  <c:v>6.7405999999999994E-2</c:v>
                </c:pt>
                <c:pt idx="1658">
                  <c:v>-4.5058000000000001E-2</c:v>
                </c:pt>
                <c:pt idx="1659">
                  <c:v>0.11016400000000001</c:v>
                </c:pt>
                <c:pt idx="1660">
                  <c:v>-0.173072</c:v>
                </c:pt>
                <c:pt idx="1661">
                  <c:v>-0.50707800000000003</c:v>
                </c:pt>
                <c:pt idx="1662">
                  <c:v>-0.51032</c:v>
                </c:pt>
                <c:pt idx="1663">
                  <c:v>-0.71201999999999999</c:v>
                </c:pt>
                <c:pt idx="1664">
                  <c:v>-0.69372200000000006</c:v>
                </c:pt>
                <c:pt idx="1665">
                  <c:v>-0.58927600000000002</c:v>
                </c:pt>
                <c:pt idx="1666">
                  <c:v>-0.42944000000000004</c:v>
                </c:pt>
                <c:pt idx="1667">
                  <c:v>-0.30499199999999999</c:v>
                </c:pt>
                <c:pt idx="1668">
                  <c:v>-3.4394000000000001E-2</c:v>
                </c:pt>
                <c:pt idx="1669">
                  <c:v>-8.0717999999999998E-2</c:v>
                </c:pt>
                <c:pt idx="1670">
                  <c:v>-3.9639999999999996E-3</c:v>
                </c:pt>
                <c:pt idx="1671">
                  <c:v>0.109706</c:v>
                </c:pt>
                <c:pt idx="1672">
                  <c:v>-0.23200399999999999</c:v>
                </c:pt>
                <c:pt idx="1673">
                  <c:v>-0.18602399999999999</c:v>
                </c:pt>
                <c:pt idx="1674">
                  <c:v>3.8412000000000002E-2</c:v>
                </c:pt>
                <c:pt idx="1675">
                  <c:v>2.4390000000000002E-2</c:v>
                </c:pt>
                <c:pt idx="1676">
                  <c:v>0.32728999999999997</c:v>
                </c:pt>
                <c:pt idx="1677">
                  <c:v>0.339416</c:v>
                </c:pt>
                <c:pt idx="1678">
                  <c:v>0.47615999999999997</c:v>
                </c:pt>
                <c:pt idx="1679">
                  <c:v>0.50828600000000002</c:v>
                </c:pt>
                <c:pt idx="1680">
                  <c:v>0.61425600000000002</c:v>
                </c:pt>
                <c:pt idx="1681">
                  <c:v>0.56637999999999999</c:v>
                </c:pt>
                <c:pt idx="1682">
                  <c:v>0.71850399999999992</c:v>
                </c:pt>
                <c:pt idx="1683">
                  <c:v>0.58292999999999995</c:v>
                </c:pt>
                <c:pt idx="1684">
                  <c:v>0.45659</c:v>
                </c:pt>
                <c:pt idx="1685">
                  <c:v>0.39024999999999999</c:v>
                </c:pt>
                <c:pt idx="1686">
                  <c:v>0.48698000000000002</c:v>
                </c:pt>
                <c:pt idx="1687">
                  <c:v>0.34371400000000002</c:v>
                </c:pt>
                <c:pt idx="1688">
                  <c:v>8.5061999999999999E-2</c:v>
                </c:pt>
                <c:pt idx="1689">
                  <c:v>4.0250000000000001E-2</c:v>
                </c:pt>
                <c:pt idx="1690">
                  <c:v>-1.3788E-2</c:v>
                </c:pt>
                <c:pt idx="1691">
                  <c:v>-0.14013600000000001</c:v>
                </c:pt>
                <c:pt idx="1692">
                  <c:v>-0.17418199999999998</c:v>
                </c:pt>
                <c:pt idx="1693">
                  <c:v>-0.14207</c:v>
                </c:pt>
                <c:pt idx="1694">
                  <c:v>-0.27149800000000002</c:v>
                </c:pt>
                <c:pt idx="1695">
                  <c:v>-0.407084</c:v>
                </c:pt>
                <c:pt idx="1696">
                  <c:v>-0.144208</c:v>
                </c:pt>
                <c:pt idx="1697">
                  <c:v>-1.8253999999999999E-2</c:v>
                </c:pt>
                <c:pt idx="1698">
                  <c:v>0.26461600000000002</c:v>
                </c:pt>
                <c:pt idx="1699">
                  <c:v>0.51672200000000001</c:v>
                </c:pt>
                <c:pt idx="1700">
                  <c:v>0.47497799999999996</c:v>
                </c:pt>
                <c:pt idx="1701">
                  <c:v>0.48553800000000003</c:v>
                </c:pt>
                <c:pt idx="1702">
                  <c:v>0.32071800000000006</c:v>
                </c:pt>
                <c:pt idx="1703">
                  <c:v>0.49897199999999997</c:v>
                </c:pt>
                <c:pt idx="1704">
                  <c:v>0.67414399999999997</c:v>
                </c:pt>
                <c:pt idx="1705">
                  <c:v>0.79393400000000003</c:v>
                </c:pt>
                <c:pt idx="1706">
                  <c:v>0.57833800000000002</c:v>
                </c:pt>
                <c:pt idx="1707">
                  <c:v>0.60889000000000004</c:v>
                </c:pt>
                <c:pt idx="1708">
                  <c:v>0.66098600000000007</c:v>
                </c:pt>
                <c:pt idx="1709">
                  <c:v>0.26692399999999999</c:v>
                </c:pt>
                <c:pt idx="1710">
                  <c:v>0.157474</c:v>
                </c:pt>
                <c:pt idx="1711">
                  <c:v>0.103412</c:v>
                </c:pt>
                <c:pt idx="1712">
                  <c:v>-7.8343999999999997E-2</c:v>
                </c:pt>
                <c:pt idx="1713">
                  <c:v>-7.2413999999999992E-2</c:v>
                </c:pt>
                <c:pt idx="1714">
                  <c:v>-9.2634000000000008E-2</c:v>
                </c:pt>
                <c:pt idx="1715">
                  <c:v>-4.3624000000000003E-2</c:v>
                </c:pt>
                <c:pt idx="1716">
                  <c:v>-0.114618</c:v>
                </c:pt>
                <c:pt idx="1717">
                  <c:v>-6.8687999999999999E-2</c:v>
                </c:pt>
                <c:pt idx="1718">
                  <c:v>-0.119682</c:v>
                </c:pt>
                <c:pt idx="1719">
                  <c:v>0.24162600000000001</c:v>
                </c:pt>
                <c:pt idx="1720">
                  <c:v>0.40755400000000003</c:v>
                </c:pt>
                <c:pt idx="1721">
                  <c:v>0.436556</c:v>
                </c:pt>
                <c:pt idx="1722">
                  <c:v>0.78401600000000005</c:v>
                </c:pt>
                <c:pt idx="1723">
                  <c:v>1.1222479999999999</c:v>
                </c:pt>
                <c:pt idx="1724">
                  <c:v>1.02817</c:v>
                </c:pt>
                <c:pt idx="1725">
                  <c:v>1.0524200000000001</c:v>
                </c:pt>
                <c:pt idx="1726">
                  <c:v>1.2580500000000001</c:v>
                </c:pt>
                <c:pt idx="1727">
                  <c:v>1.541466</c:v>
                </c:pt>
                <c:pt idx="1728">
                  <c:v>1.75526</c:v>
                </c:pt>
                <c:pt idx="1729">
                  <c:v>1.9008340000000001</c:v>
                </c:pt>
                <c:pt idx="1730">
                  <c:v>1.811806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59-428F-9A16-68B43FB2D8DB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Data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Sheet1!$Z$2:$Z$1732</c:f>
              <c:numCache>
                <c:formatCode>0.0000000</c:formatCode>
                <c:ptCount val="1731"/>
                <c:pt idx="0">
                  <c:v>1880.0417</c:v>
                </c:pt>
                <c:pt idx="1">
                  <c:v>1880.125</c:v>
                </c:pt>
                <c:pt idx="2">
                  <c:v>1880.2083</c:v>
                </c:pt>
                <c:pt idx="3">
                  <c:v>1880.2917</c:v>
                </c:pt>
                <c:pt idx="4">
                  <c:v>1880.375</c:v>
                </c:pt>
                <c:pt idx="5">
                  <c:v>1880.4583</c:v>
                </c:pt>
                <c:pt idx="6">
                  <c:v>1880.5417</c:v>
                </c:pt>
                <c:pt idx="7">
                  <c:v>1880.625</c:v>
                </c:pt>
                <c:pt idx="8">
                  <c:v>1880.7083</c:v>
                </c:pt>
                <c:pt idx="9">
                  <c:v>1880.7917</c:v>
                </c:pt>
                <c:pt idx="10">
                  <c:v>1880.875</c:v>
                </c:pt>
                <c:pt idx="11">
                  <c:v>1880.9583</c:v>
                </c:pt>
                <c:pt idx="12">
                  <c:v>1881.0417</c:v>
                </c:pt>
                <c:pt idx="13">
                  <c:v>1881.125</c:v>
                </c:pt>
                <c:pt idx="14">
                  <c:v>1881.2083</c:v>
                </c:pt>
                <c:pt idx="15">
                  <c:v>1881.2917</c:v>
                </c:pt>
                <c:pt idx="16">
                  <c:v>1881.375</c:v>
                </c:pt>
                <c:pt idx="17">
                  <c:v>1881.4583</c:v>
                </c:pt>
                <c:pt idx="18">
                  <c:v>1881.5417</c:v>
                </c:pt>
                <c:pt idx="19">
                  <c:v>1881.625</c:v>
                </c:pt>
                <c:pt idx="20">
                  <c:v>1881.7083</c:v>
                </c:pt>
                <c:pt idx="21">
                  <c:v>1881.7917</c:v>
                </c:pt>
                <c:pt idx="22">
                  <c:v>1881.875</c:v>
                </c:pt>
                <c:pt idx="23">
                  <c:v>1881.9583</c:v>
                </c:pt>
                <c:pt idx="24">
                  <c:v>1882.0417</c:v>
                </c:pt>
                <c:pt idx="25">
                  <c:v>1882.125</c:v>
                </c:pt>
                <c:pt idx="26">
                  <c:v>1882.2083</c:v>
                </c:pt>
                <c:pt idx="27">
                  <c:v>1882.2917</c:v>
                </c:pt>
                <c:pt idx="28">
                  <c:v>1882.375</c:v>
                </c:pt>
                <c:pt idx="29">
                  <c:v>1882.4583</c:v>
                </c:pt>
                <c:pt idx="30">
                  <c:v>1882.5417</c:v>
                </c:pt>
                <c:pt idx="31">
                  <c:v>1882.625</c:v>
                </c:pt>
                <c:pt idx="32">
                  <c:v>1882.7083</c:v>
                </c:pt>
                <c:pt idx="33">
                  <c:v>1882.7917</c:v>
                </c:pt>
                <c:pt idx="34">
                  <c:v>1882.875</c:v>
                </c:pt>
                <c:pt idx="35">
                  <c:v>1882.9583</c:v>
                </c:pt>
                <c:pt idx="36">
                  <c:v>1883.0417</c:v>
                </c:pt>
                <c:pt idx="37">
                  <c:v>1883.125</c:v>
                </c:pt>
                <c:pt idx="38">
                  <c:v>1883.2083</c:v>
                </c:pt>
                <c:pt idx="39">
                  <c:v>1883.2917</c:v>
                </c:pt>
                <c:pt idx="40">
                  <c:v>1883.375</c:v>
                </c:pt>
                <c:pt idx="41">
                  <c:v>1883.4583</c:v>
                </c:pt>
                <c:pt idx="42">
                  <c:v>1883.5417</c:v>
                </c:pt>
                <c:pt idx="43">
                  <c:v>1883.625</c:v>
                </c:pt>
                <c:pt idx="44">
                  <c:v>1883.7083</c:v>
                </c:pt>
                <c:pt idx="45">
                  <c:v>1883.7917</c:v>
                </c:pt>
                <c:pt idx="46">
                  <c:v>1883.875</c:v>
                </c:pt>
                <c:pt idx="47">
                  <c:v>1883.9583</c:v>
                </c:pt>
                <c:pt idx="48">
                  <c:v>1884.0417</c:v>
                </c:pt>
                <c:pt idx="49">
                  <c:v>1884.125</c:v>
                </c:pt>
                <c:pt idx="50">
                  <c:v>1884.2083</c:v>
                </c:pt>
                <c:pt idx="51">
                  <c:v>1884.2917</c:v>
                </c:pt>
                <c:pt idx="52">
                  <c:v>1884.375</c:v>
                </c:pt>
                <c:pt idx="53">
                  <c:v>1884.4583</c:v>
                </c:pt>
                <c:pt idx="54">
                  <c:v>1884.5417</c:v>
                </c:pt>
                <c:pt idx="55">
                  <c:v>1884.625</c:v>
                </c:pt>
                <c:pt idx="56">
                  <c:v>1884.7083</c:v>
                </c:pt>
                <c:pt idx="57">
                  <c:v>1884.7917</c:v>
                </c:pt>
                <c:pt idx="58">
                  <c:v>1884.875</c:v>
                </c:pt>
                <c:pt idx="59">
                  <c:v>1884.9583</c:v>
                </c:pt>
                <c:pt idx="60">
                  <c:v>1885.0417</c:v>
                </c:pt>
                <c:pt idx="61">
                  <c:v>1885.125</c:v>
                </c:pt>
                <c:pt idx="62">
                  <c:v>1885.2083</c:v>
                </c:pt>
                <c:pt idx="63">
                  <c:v>1885.2917</c:v>
                </c:pt>
                <c:pt idx="64">
                  <c:v>1885.375</c:v>
                </c:pt>
                <c:pt idx="65">
                  <c:v>1885.4583</c:v>
                </c:pt>
                <c:pt idx="66">
                  <c:v>1885.5417</c:v>
                </c:pt>
                <c:pt idx="67">
                  <c:v>1885.625</c:v>
                </c:pt>
                <c:pt idx="68">
                  <c:v>1885.7083</c:v>
                </c:pt>
                <c:pt idx="69">
                  <c:v>1885.7917</c:v>
                </c:pt>
                <c:pt idx="70">
                  <c:v>1885.875</c:v>
                </c:pt>
                <c:pt idx="71">
                  <c:v>1885.9583</c:v>
                </c:pt>
                <c:pt idx="72">
                  <c:v>1886.0417</c:v>
                </c:pt>
                <c:pt idx="73">
                  <c:v>1886.125</c:v>
                </c:pt>
                <c:pt idx="74">
                  <c:v>1886.2083</c:v>
                </c:pt>
                <c:pt idx="75">
                  <c:v>1886.2917</c:v>
                </c:pt>
                <c:pt idx="76">
                  <c:v>1886.375</c:v>
                </c:pt>
                <c:pt idx="77">
                  <c:v>1886.4583</c:v>
                </c:pt>
                <c:pt idx="78">
                  <c:v>1886.5417</c:v>
                </c:pt>
                <c:pt idx="79">
                  <c:v>1886.625</c:v>
                </c:pt>
                <c:pt idx="80">
                  <c:v>1886.7083</c:v>
                </c:pt>
                <c:pt idx="81">
                  <c:v>1886.7917</c:v>
                </c:pt>
                <c:pt idx="82">
                  <c:v>1886.875</c:v>
                </c:pt>
                <c:pt idx="83">
                  <c:v>1886.9583</c:v>
                </c:pt>
                <c:pt idx="84">
                  <c:v>1887.0417</c:v>
                </c:pt>
                <c:pt idx="85">
                  <c:v>1887.125</c:v>
                </c:pt>
                <c:pt idx="86">
                  <c:v>1887.2083</c:v>
                </c:pt>
                <c:pt idx="87">
                  <c:v>1887.2917</c:v>
                </c:pt>
                <c:pt idx="88">
                  <c:v>1887.375</c:v>
                </c:pt>
                <c:pt idx="89">
                  <c:v>1887.4583</c:v>
                </c:pt>
                <c:pt idx="90">
                  <c:v>1887.5417</c:v>
                </c:pt>
                <c:pt idx="91">
                  <c:v>1887.625</c:v>
                </c:pt>
                <c:pt idx="92">
                  <c:v>1887.7083</c:v>
                </c:pt>
                <c:pt idx="93">
                  <c:v>1887.7917</c:v>
                </c:pt>
                <c:pt idx="94">
                  <c:v>1887.875</c:v>
                </c:pt>
                <c:pt idx="95">
                  <c:v>1887.9583</c:v>
                </c:pt>
                <c:pt idx="96">
                  <c:v>1888.0417</c:v>
                </c:pt>
                <c:pt idx="97">
                  <c:v>1888.125</c:v>
                </c:pt>
                <c:pt idx="98">
                  <c:v>1888.2083</c:v>
                </c:pt>
                <c:pt idx="99">
                  <c:v>1888.2917</c:v>
                </c:pt>
                <c:pt idx="100">
                  <c:v>1888.375</c:v>
                </c:pt>
                <c:pt idx="101">
                  <c:v>1888.4583</c:v>
                </c:pt>
                <c:pt idx="102">
                  <c:v>1888.5417</c:v>
                </c:pt>
                <c:pt idx="103">
                  <c:v>1888.625</c:v>
                </c:pt>
                <c:pt idx="104">
                  <c:v>1888.7083</c:v>
                </c:pt>
                <c:pt idx="105">
                  <c:v>1888.7917</c:v>
                </c:pt>
                <c:pt idx="106">
                  <c:v>1888.875</c:v>
                </c:pt>
                <c:pt idx="107">
                  <c:v>1888.9583</c:v>
                </c:pt>
                <c:pt idx="108">
                  <c:v>1889.0417</c:v>
                </c:pt>
                <c:pt idx="109">
                  <c:v>1889.125</c:v>
                </c:pt>
                <c:pt idx="110">
                  <c:v>1889.2083</c:v>
                </c:pt>
                <c:pt idx="111">
                  <c:v>1889.2917</c:v>
                </c:pt>
                <c:pt idx="112">
                  <c:v>1889.375</c:v>
                </c:pt>
                <c:pt idx="113">
                  <c:v>1889.4583</c:v>
                </c:pt>
                <c:pt idx="114">
                  <c:v>1889.5417</c:v>
                </c:pt>
                <c:pt idx="115">
                  <c:v>1889.625</c:v>
                </c:pt>
                <c:pt idx="116">
                  <c:v>1889.7083</c:v>
                </c:pt>
                <c:pt idx="117">
                  <c:v>1889.7917</c:v>
                </c:pt>
                <c:pt idx="118">
                  <c:v>1889.875</c:v>
                </c:pt>
                <c:pt idx="119">
                  <c:v>1889.9583</c:v>
                </c:pt>
                <c:pt idx="120">
                  <c:v>1890.0417</c:v>
                </c:pt>
                <c:pt idx="121">
                  <c:v>1890.125</c:v>
                </c:pt>
                <c:pt idx="122">
                  <c:v>1890.2083</c:v>
                </c:pt>
                <c:pt idx="123">
                  <c:v>1890.2917</c:v>
                </c:pt>
                <c:pt idx="124">
                  <c:v>1890.375</c:v>
                </c:pt>
                <c:pt idx="125">
                  <c:v>1890.4583</c:v>
                </c:pt>
                <c:pt idx="126">
                  <c:v>1890.5417</c:v>
                </c:pt>
                <c:pt idx="127">
                  <c:v>1890.625</c:v>
                </c:pt>
                <c:pt idx="128">
                  <c:v>1890.7083</c:v>
                </c:pt>
                <c:pt idx="129">
                  <c:v>1890.7917</c:v>
                </c:pt>
                <c:pt idx="130">
                  <c:v>1890.875</c:v>
                </c:pt>
                <c:pt idx="131">
                  <c:v>1890.9583</c:v>
                </c:pt>
                <c:pt idx="132">
                  <c:v>1891.0417</c:v>
                </c:pt>
                <c:pt idx="133">
                  <c:v>1891.125</c:v>
                </c:pt>
                <c:pt idx="134">
                  <c:v>1891.2083</c:v>
                </c:pt>
                <c:pt idx="135">
                  <c:v>1891.2917</c:v>
                </c:pt>
                <c:pt idx="136">
                  <c:v>1891.375</c:v>
                </c:pt>
                <c:pt idx="137">
                  <c:v>1891.4583</c:v>
                </c:pt>
                <c:pt idx="138">
                  <c:v>1891.5417</c:v>
                </c:pt>
                <c:pt idx="139">
                  <c:v>1891.625</c:v>
                </c:pt>
                <c:pt idx="140">
                  <c:v>1891.7083</c:v>
                </c:pt>
                <c:pt idx="141">
                  <c:v>1891.7917</c:v>
                </c:pt>
                <c:pt idx="142">
                  <c:v>1891.875</c:v>
                </c:pt>
                <c:pt idx="143">
                  <c:v>1891.9583</c:v>
                </c:pt>
                <c:pt idx="144">
                  <c:v>1892.0417</c:v>
                </c:pt>
                <c:pt idx="145">
                  <c:v>1892.125</c:v>
                </c:pt>
                <c:pt idx="146">
                  <c:v>1892.2083</c:v>
                </c:pt>
                <c:pt idx="147">
                  <c:v>1892.2917</c:v>
                </c:pt>
                <c:pt idx="148">
                  <c:v>1892.375</c:v>
                </c:pt>
                <c:pt idx="149">
                  <c:v>1892.4583</c:v>
                </c:pt>
                <c:pt idx="150">
                  <c:v>1892.5417</c:v>
                </c:pt>
                <c:pt idx="151">
                  <c:v>1892.625</c:v>
                </c:pt>
                <c:pt idx="152">
                  <c:v>1892.7083</c:v>
                </c:pt>
                <c:pt idx="153">
                  <c:v>1892.7917</c:v>
                </c:pt>
                <c:pt idx="154">
                  <c:v>1892.875</c:v>
                </c:pt>
                <c:pt idx="155">
                  <c:v>1892.9583</c:v>
                </c:pt>
                <c:pt idx="156">
                  <c:v>1893.0417</c:v>
                </c:pt>
                <c:pt idx="157">
                  <c:v>1893.125</c:v>
                </c:pt>
                <c:pt idx="158">
                  <c:v>1893.2083</c:v>
                </c:pt>
                <c:pt idx="159">
                  <c:v>1893.2917</c:v>
                </c:pt>
                <c:pt idx="160">
                  <c:v>1893.375</c:v>
                </c:pt>
                <c:pt idx="161">
                  <c:v>1893.4583</c:v>
                </c:pt>
                <c:pt idx="162">
                  <c:v>1893.5417</c:v>
                </c:pt>
                <c:pt idx="163">
                  <c:v>1893.625</c:v>
                </c:pt>
                <c:pt idx="164">
                  <c:v>1893.7083</c:v>
                </c:pt>
                <c:pt idx="165">
                  <c:v>1893.7917</c:v>
                </c:pt>
                <c:pt idx="166">
                  <c:v>1893.875</c:v>
                </c:pt>
                <c:pt idx="167">
                  <c:v>1893.9583</c:v>
                </c:pt>
                <c:pt idx="168">
                  <c:v>1894.0417</c:v>
                </c:pt>
                <c:pt idx="169">
                  <c:v>1894.125</c:v>
                </c:pt>
                <c:pt idx="170">
                  <c:v>1894.2083</c:v>
                </c:pt>
                <c:pt idx="171">
                  <c:v>1894.2917</c:v>
                </c:pt>
                <c:pt idx="172">
                  <c:v>1894.375</c:v>
                </c:pt>
                <c:pt idx="173">
                  <c:v>1894.4583</c:v>
                </c:pt>
                <c:pt idx="174">
                  <c:v>1894.5417</c:v>
                </c:pt>
                <c:pt idx="175">
                  <c:v>1894.625</c:v>
                </c:pt>
                <c:pt idx="176">
                  <c:v>1894.7083</c:v>
                </c:pt>
                <c:pt idx="177">
                  <c:v>1894.7917</c:v>
                </c:pt>
                <c:pt idx="178">
                  <c:v>1894.875</c:v>
                </c:pt>
                <c:pt idx="179">
                  <c:v>1894.9583</c:v>
                </c:pt>
                <c:pt idx="180">
                  <c:v>1895.0417</c:v>
                </c:pt>
                <c:pt idx="181">
                  <c:v>1895.125</c:v>
                </c:pt>
                <c:pt idx="182">
                  <c:v>1895.2083</c:v>
                </c:pt>
                <c:pt idx="183">
                  <c:v>1895.2917</c:v>
                </c:pt>
                <c:pt idx="184">
                  <c:v>1895.375</c:v>
                </c:pt>
                <c:pt idx="185">
                  <c:v>1895.4583</c:v>
                </c:pt>
                <c:pt idx="186">
                  <c:v>1895.5417</c:v>
                </c:pt>
                <c:pt idx="187">
                  <c:v>1895.625</c:v>
                </c:pt>
                <c:pt idx="188">
                  <c:v>1895.7083</c:v>
                </c:pt>
                <c:pt idx="189">
                  <c:v>1895.7917</c:v>
                </c:pt>
                <c:pt idx="190">
                  <c:v>1895.875</c:v>
                </c:pt>
                <c:pt idx="191">
                  <c:v>1895.9583</c:v>
                </c:pt>
                <c:pt idx="192">
                  <c:v>1896.0417</c:v>
                </c:pt>
                <c:pt idx="193">
                  <c:v>1896.125</c:v>
                </c:pt>
                <c:pt idx="194">
                  <c:v>1896.2083</c:v>
                </c:pt>
                <c:pt idx="195">
                  <c:v>1896.2917</c:v>
                </c:pt>
                <c:pt idx="196">
                  <c:v>1896.375</c:v>
                </c:pt>
                <c:pt idx="197">
                  <c:v>1896.4583</c:v>
                </c:pt>
                <c:pt idx="198">
                  <c:v>1896.5417</c:v>
                </c:pt>
                <c:pt idx="199">
                  <c:v>1896.625</c:v>
                </c:pt>
                <c:pt idx="200">
                  <c:v>1896.7083</c:v>
                </c:pt>
                <c:pt idx="201">
                  <c:v>1896.7917</c:v>
                </c:pt>
                <c:pt idx="202">
                  <c:v>1896.875</c:v>
                </c:pt>
                <c:pt idx="203">
                  <c:v>1896.9583</c:v>
                </c:pt>
                <c:pt idx="204">
                  <c:v>1897.0417</c:v>
                </c:pt>
                <c:pt idx="205">
                  <c:v>1897.125</c:v>
                </c:pt>
                <c:pt idx="206">
                  <c:v>1897.2083</c:v>
                </c:pt>
                <c:pt idx="207">
                  <c:v>1897.2917</c:v>
                </c:pt>
                <c:pt idx="208">
                  <c:v>1897.375</c:v>
                </c:pt>
                <c:pt idx="209">
                  <c:v>1897.4583</c:v>
                </c:pt>
                <c:pt idx="210">
                  <c:v>1897.5417</c:v>
                </c:pt>
                <c:pt idx="211">
                  <c:v>1897.625</c:v>
                </c:pt>
                <c:pt idx="212">
                  <c:v>1897.7083</c:v>
                </c:pt>
                <c:pt idx="213">
                  <c:v>1897.7917</c:v>
                </c:pt>
                <c:pt idx="214">
                  <c:v>1897.875</c:v>
                </c:pt>
                <c:pt idx="215">
                  <c:v>1897.9583</c:v>
                </c:pt>
                <c:pt idx="216">
                  <c:v>1898.0417</c:v>
                </c:pt>
                <c:pt idx="217">
                  <c:v>1898.125</c:v>
                </c:pt>
                <c:pt idx="218">
                  <c:v>1898.2083</c:v>
                </c:pt>
                <c:pt idx="219">
                  <c:v>1898.2917</c:v>
                </c:pt>
                <c:pt idx="220">
                  <c:v>1898.375</c:v>
                </c:pt>
                <c:pt idx="221">
                  <c:v>1898.4583</c:v>
                </c:pt>
                <c:pt idx="222">
                  <c:v>1898.5417</c:v>
                </c:pt>
                <c:pt idx="223">
                  <c:v>1898.625</c:v>
                </c:pt>
                <c:pt idx="224">
                  <c:v>1898.7083</c:v>
                </c:pt>
                <c:pt idx="225">
                  <c:v>1898.7917</c:v>
                </c:pt>
                <c:pt idx="226">
                  <c:v>1898.875</c:v>
                </c:pt>
                <c:pt idx="227">
                  <c:v>1898.9583</c:v>
                </c:pt>
                <c:pt idx="228">
                  <c:v>1899.0417</c:v>
                </c:pt>
                <c:pt idx="229">
                  <c:v>1899.125</c:v>
                </c:pt>
                <c:pt idx="230">
                  <c:v>1899.2083</c:v>
                </c:pt>
                <c:pt idx="231">
                  <c:v>1899.2917</c:v>
                </c:pt>
                <c:pt idx="232">
                  <c:v>1899.375</c:v>
                </c:pt>
                <c:pt idx="233">
                  <c:v>1899.4583</c:v>
                </c:pt>
                <c:pt idx="234">
                  <c:v>1899.5417</c:v>
                </c:pt>
                <c:pt idx="235">
                  <c:v>1899.625</c:v>
                </c:pt>
                <c:pt idx="236">
                  <c:v>1899.7083</c:v>
                </c:pt>
                <c:pt idx="237">
                  <c:v>1899.7917</c:v>
                </c:pt>
                <c:pt idx="238">
                  <c:v>1899.875</c:v>
                </c:pt>
                <c:pt idx="239">
                  <c:v>1899.9583</c:v>
                </c:pt>
                <c:pt idx="240">
                  <c:v>1900.0417</c:v>
                </c:pt>
                <c:pt idx="241">
                  <c:v>1900.125</c:v>
                </c:pt>
                <c:pt idx="242">
                  <c:v>1900.2083</c:v>
                </c:pt>
                <c:pt idx="243">
                  <c:v>1900.2917</c:v>
                </c:pt>
                <c:pt idx="244">
                  <c:v>1900.375</c:v>
                </c:pt>
                <c:pt idx="245">
                  <c:v>1900.4583</c:v>
                </c:pt>
                <c:pt idx="246">
                  <c:v>1900.5417</c:v>
                </c:pt>
                <c:pt idx="247">
                  <c:v>1900.625</c:v>
                </c:pt>
                <c:pt idx="248">
                  <c:v>1900.7083</c:v>
                </c:pt>
                <c:pt idx="249">
                  <c:v>1900.7917</c:v>
                </c:pt>
                <c:pt idx="250">
                  <c:v>1900.875</c:v>
                </c:pt>
                <c:pt idx="251">
                  <c:v>1900.9583</c:v>
                </c:pt>
                <c:pt idx="252">
                  <c:v>1901.0417</c:v>
                </c:pt>
                <c:pt idx="253">
                  <c:v>1901.125</c:v>
                </c:pt>
                <c:pt idx="254">
                  <c:v>1901.2083</c:v>
                </c:pt>
                <c:pt idx="255">
                  <c:v>1901.2917</c:v>
                </c:pt>
                <c:pt idx="256">
                  <c:v>1901.375</c:v>
                </c:pt>
                <c:pt idx="257">
                  <c:v>1901.4583</c:v>
                </c:pt>
                <c:pt idx="258">
                  <c:v>1901.5417</c:v>
                </c:pt>
                <c:pt idx="259">
                  <c:v>1901.625</c:v>
                </c:pt>
                <c:pt idx="260">
                  <c:v>1901.7083</c:v>
                </c:pt>
                <c:pt idx="261">
                  <c:v>1901.7917</c:v>
                </c:pt>
                <c:pt idx="262">
                  <c:v>1901.875</c:v>
                </c:pt>
                <c:pt idx="263">
                  <c:v>1901.9583</c:v>
                </c:pt>
                <c:pt idx="264">
                  <c:v>1902.0417</c:v>
                </c:pt>
                <c:pt idx="265">
                  <c:v>1902.125</c:v>
                </c:pt>
                <c:pt idx="266">
                  <c:v>1902.2083</c:v>
                </c:pt>
                <c:pt idx="267">
                  <c:v>1902.2917</c:v>
                </c:pt>
                <c:pt idx="268">
                  <c:v>1902.375</c:v>
                </c:pt>
                <c:pt idx="269">
                  <c:v>1902.4583</c:v>
                </c:pt>
                <c:pt idx="270">
                  <c:v>1902.5417</c:v>
                </c:pt>
                <c:pt idx="271">
                  <c:v>1902.625</c:v>
                </c:pt>
                <c:pt idx="272">
                  <c:v>1902.7083</c:v>
                </c:pt>
                <c:pt idx="273">
                  <c:v>1902.7917</c:v>
                </c:pt>
                <c:pt idx="274">
                  <c:v>1902.875</c:v>
                </c:pt>
                <c:pt idx="275">
                  <c:v>1902.9583</c:v>
                </c:pt>
                <c:pt idx="276">
                  <c:v>1903.0417</c:v>
                </c:pt>
                <c:pt idx="277">
                  <c:v>1903.125</c:v>
                </c:pt>
                <c:pt idx="278">
                  <c:v>1903.2083</c:v>
                </c:pt>
                <c:pt idx="279">
                  <c:v>1903.2917</c:v>
                </c:pt>
                <c:pt idx="280">
                  <c:v>1903.375</c:v>
                </c:pt>
                <c:pt idx="281">
                  <c:v>1903.4583</c:v>
                </c:pt>
                <c:pt idx="282">
                  <c:v>1903.5417</c:v>
                </c:pt>
                <c:pt idx="283">
                  <c:v>1903.625</c:v>
                </c:pt>
                <c:pt idx="284">
                  <c:v>1903.7083</c:v>
                </c:pt>
                <c:pt idx="285">
                  <c:v>1903.7917</c:v>
                </c:pt>
                <c:pt idx="286">
                  <c:v>1903.875</c:v>
                </c:pt>
                <c:pt idx="287">
                  <c:v>1903.9583</c:v>
                </c:pt>
                <c:pt idx="288">
                  <c:v>1904.0417</c:v>
                </c:pt>
                <c:pt idx="289">
                  <c:v>1904.125</c:v>
                </c:pt>
                <c:pt idx="290">
                  <c:v>1904.2083</c:v>
                </c:pt>
                <c:pt idx="291">
                  <c:v>1904.2917</c:v>
                </c:pt>
                <c:pt idx="292">
                  <c:v>1904.375</c:v>
                </c:pt>
                <c:pt idx="293">
                  <c:v>1904.4583</c:v>
                </c:pt>
                <c:pt idx="294">
                  <c:v>1904.5417</c:v>
                </c:pt>
                <c:pt idx="295">
                  <c:v>1904.625</c:v>
                </c:pt>
                <c:pt idx="296">
                  <c:v>1904.7083</c:v>
                </c:pt>
                <c:pt idx="297">
                  <c:v>1904.7917</c:v>
                </c:pt>
                <c:pt idx="298">
                  <c:v>1904.875</c:v>
                </c:pt>
                <c:pt idx="299">
                  <c:v>1904.9583</c:v>
                </c:pt>
                <c:pt idx="300">
                  <c:v>1905.0417</c:v>
                </c:pt>
                <c:pt idx="301">
                  <c:v>1905.125</c:v>
                </c:pt>
                <c:pt idx="302">
                  <c:v>1905.2083</c:v>
                </c:pt>
                <c:pt idx="303">
                  <c:v>1905.2917</c:v>
                </c:pt>
                <c:pt idx="304">
                  <c:v>1905.375</c:v>
                </c:pt>
                <c:pt idx="305">
                  <c:v>1905.4583</c:v>
                </c:pt>
                <c:pt idx="306">
                  <c:v>1905.5417</c:v>
                </c:pt>
                <c:pt idx="307">
                  <c:v>1905.625</c:v>
                </c:pt>
                <c:pt idx="308">
                  <c:v>1905.7083</c:v>
                </c:pt>
                <c:pt idx="309">
                  <c:v>1905.7917</c:v>
                </c:pt>
                <c:pt idx="310">
                  <c:v>1905.875</c:v>
                </c:pt>
                <c:pt idx="311">
                  <c:v>1905.9583</c:v>
                </c:pt>
                <c:pt idx="312">
                  <c:v>1906.0417</c:v>
                </c:pt>
                <c:pt idx="313">
                  <c:v>1906.125</c:v>
                </c:pt>
                <c:pt idx="314">
                  <c:v>1906.2083</c:v>
                </c:pt>
                <c:pt idx="315">
                  <c:v>1906.2917</c:v>
                </c:pt>
                <c:pt idx="316">
                  <c:v>1906.375</c:v>
                </c:pt>
                <c:pt idx="317">
                  <c:v>1906.4583</c:v>
                </c:pt>
                <c:pt idx="318">
                  <c:v>1906.5417</c:v>
                </c:pt>
                <c:pt idx="319">
                  <c:v>1906.625</c:v>
                </c:pt>
                <c:pt idx="320">
                  <c:v>1906.7083</c:v>
                </c:pt>
                <c:pt idx="321">
                  <c:v>1906.7917</c:v>
                </c:pt>
                <c:pt idx="322">
                  <c:v>1906.875</c:v>
                </c:pt>
                <c:pt idx="323">
                  <c:v>1906.9583</c:v>
                </c:pt>
                <c:pt idx="324">
                  <c:v>1907.0417</c:v>
                </c:pt>
                <c:pt idx="325">
                  <c:v>1907.125</c:v>
                </c:pt>
                <c:pt idx="326">
                  <c:v>1907.2083</c:v>
                </c:pt>
                <c:pt idx="327">
                  <c:v>1907.2917</c:v>
                </c:pt>
                <c:pt idx="328">
                  <c:v>1907.375</c:v>
                </c:pt>
                <c:pt idx="329">
                  <c:v>1907.4583</c:v>
                </c:pt>
                <c:pt idx="330">
                  <c:v>1907.5417</c:v>
                </c:pt>
                <c:pt idx="331">
                  <c:v>1907.625</c:v>
                </c:pt>
                <c:pt idx="332">
                  <c:v>1907.7083</c:v>
                </c:pt>
                <c:pt idx="333">
                  <c:v>1907.7917</c:v>
                </c:pt>
                <c:pt idx="334">
                  <c:v>1907.875</c:v>
                </c:pt>
                <c:pt idx="335">
                  <c:v>1907.9583</c:v>
                </c:pt>
                <c:pt idx="336">
                  <c:v>1908.0417</c:v>
                </c:pt>
                <c:pt idx="337">
                  <c:v>1908.125</c:v>
                </c:pt>
                <c:pt idx="338">
                  <c:v>1908.2083</c:v>
                </c:pt>
                <c:pt idx="339">
                  <c:v>1908.2917</c:v>
                </c:pt>
                <c:pt idx="340">
                  <c:v>1908.375</c:v>
                </c:pt>
                <c:pt idx="341">
                  <c:v>1908.4583</c:v>
                </c:pt>
                <c:pt idx="342">
                  <c:v>1908.5417</c:v>
                </c:pt>
                <c:pt idx="343">
                  <c:v>1908.625</c:v>
                </c:pt>
                <c:pt idx="344">
                  <c:v>1908.7083</c:v>
                </c:pt>
                <c:pt idx="345">
                  <c:v>1908.7917</c:v>
                </c:pt>
                <c:pt idx="346">
                  <c:v>1908.875</c:v>
                </c:pt>
                <c:pt idx="347">
                  <c:v>1908.9583</c:v>
                </c:pt>
                <c:pt idx="348">
                  <c:v>1909.0417</c:v>
                </c:pt>
                <c:pt idx="349">
                  <c:v>1909.125</c:v>
                </c:pt>
                <c:pt idx="350">
                  <c:v>1909.2083</c:v>
                </c:pt>
                <c:pt idx="351">
                  <c:v>1909.2917</c:v>
                </c:pt>
                <c:pt idx="352">
                  <c:v>1909.375</c:v>
                </c:pt>
                <c:pt idx="353">
                  <c:v>1909.4583</c:v>
                </c:pt>
                <c:pt idx="354">
                  <c:v>1909.5417</c:v>
                </c:pt>
                <c:pt idx="355">
                  <c:v>1909.625</c:v>
                </c:pt>
                <c:pt idx="356">
                  <c:v>1909.7083</c:v>
                </c:pt>
                <c:pt idx="357">
                  <c:v>1909.7917</c:v>
                </c:pt>
                <c:pt idx="358">
                  <c:v>1909.875</c:v>
                </c:pt>
                <c:pt idx="359">
                  <c:v>1909.9583</c:v>
                </c:pt>
                <c:pt idx="360">
                  <c:v>1910.0417</c:v>
                </c:pt>
                <c:pt idx="361">
                  <c:v>1910.125</c:v>
                </c:pt>
                <c:pt idx="362">
                  <c:v>1910.2083</c:v>
                </c:pt>
                <c:pt idx="363">
                  <c:v>1910.2917</c:v>
                </c:pt>
                <c:pt idx="364">
                  <c:v>1910.375</c:v>
                </c:pt>
                <c:pt idx="365">
                  <c:v>1910.4583</c:v>
                </c:pt>
                <c:pt idx="366">
                  <c:v>1910.5417</c:v>
                </c:pt>
                <c:pt idx="367">
                  <c:v>1910.625</c:v>
                </c:pt>
                <c:pt idx="368">
                  <c:v>1910.7083</c:v>
                </c:pt>
                <c:pt idx="369">
                  <c:v>1910.7917</c:v>
                </c:pt>
                <c:pt idx="370">
                  <c:v>1910.875</c:v>
                </c:pt>
                <c:pt idx="371">
                  <c:v>1910.9583</c:v>
                </c:pt>
                <c:pt idx="372">
                  <c:v>1911.0417</c:v>
                </c:pt>
                <c:pt idx="373">
                  <c:v>1911.125</c:v>
                </c:pt>
                <c:pt idx="374">
                  <c:v>1911.2083</c:v>
                </c:pt>
                <c:pt idx="375">
                  <c:v>1911.2917</c:v>
                </c:pt>
                <c:pt idx="376">
                  <c:v>1911.375</c:v>
                </c:pt>
                <c:pt idx="377">
                  <c:v>1911.4583</c:v>
                </c:pt>
                <c:pt idx="378">
                  <c:v>1911.5417</c:v>
                </c:pt>
                <c:pt idx="379">
                  <c:v>1911.625</c:v>
                </c:pt>
                <c:pt idx="380">
                  <c:v>1911.7083</c:v>
                </c:pt>
                <c:pt idx="381">
                  <c:v>1911.7917</c:v>
                </c:pt>
                <c:pt idx="382">
                  <c:v>1911.875</c:v>
                </c:pt>
                <c:pt idx="383">
                  <c:v>1911.9583</c:v>
                </c:pt>
                <c:pt idx="384">
                  <c:v>1912.0417</c:v>
                </c:pt>
                <c:pt idx="385">
                  <c:v>1912.125</c:v>
                </c:pt>
                <c:pt idx="386">
                  <c:v>1912.2083</c:v>
                </c:pt>
                <c:pt idx="387">
                  <c:v>1912.2917</c:v>
                </c:pt>
                <c:pt idx="388">
                  <c:v>1912.375</c:v>
                </c:pt>
                <c:pt idx="389">
                  <c:v>1912.4583</c:v>
                </c:pt>
                <c:pt idx="390">
                  <c:v>1912.5417</c:v>
                </c:pt>
                <c:pt idx="391">
                  <c:v>1912.625</c:v>
                </c:pt>
                <c:pt idx="392">
                  <c:v>1912.7083</c:v>
                </c:pt>
                <c:pt idx="393">
                  <c:v>1912.7917</c:v>
                </c:pt>
                <c:pt idx="394">
                  <c:v>1912.875</c:v>
                </c:pt>
                <c:pt idx="395">
                  <c:v>1912.9583</c:v>
                </c:pt>
                <c:pt idx="396">
                  <c:v>1913.0417</c:v>
                </c:pt>
                <c:pt idx="397">
                  <c:v>1913.125</c:v>
                </c:pt>
                <c:pt idx="398">
                  <c:v>1913.2083</c:v>
                </c:pt>
                <c:pt idx="399">
                  <c:v>1913.2917</c:v>
                </c:pt>
                <c:pt idx="400">
                  <c:v>1913.375</c:v>
                </c:pt>
                <c:pt idx="401">
                  <c:v>1913.4583</c:v>
                </c:pt>
                <c:pt idx="402">
                  <c:v>1913.5417</c:v>
                </c:pt>
                <c:pt idx="403">
                  <c:v>1913.625</c:v>
                </c:pt>
                <c:pt idx="404">
                  <c:v>1913.7083</c:v>
                </c:pt>
                <c:pt idx="405">
                  <c:v>1913.7917</c:v>
                </c:pt>
                <c:pt idx="406">
                  <c:v>1913.875</c:v>
                </c:pt>
                <c:pt idx="407">
                  <c:v>1913.9583</c:v>
                </c:pt>
                <c:pt idx="408">
                  <c:v>1914.0417</c:v>
                </c:pt>
                <c:pt idx="409">
                  <c:v>1914.125</c:v>
                </c:pt>
                <c:pt idx="410">
                  <c:v>1914.2083</c:v>
                </c:pt>
                <c:pt idx="411">
                  <c:v>1914.2917</c:v>
                </c:pt>
                <c:pt idx="412">
                  <c:v>1914.375</c:v>
                </c:pt>
                <c:pt idx="413">
                  <c:v>1914.4583</c:v>
                </c:pt>
                <c:pt idx="414">
                  <c:v>1914.5417</c:v>
                </c:pt>
                <c:pt idx="415">
                  <c:v>1914.625</c:v>
                </c:pt>
                <c:pt idx="416">
                  <c:v>1914.7083</c:v>
                </c:pt>
                <c:pt idx="417">
                  <c:v>1914.7917</c:v>
                </c:pt>
                <c:pt idx="418">
                  <c:v>1914.875</c:v>
                </c:pt>
                <c:pt idx="419">
                  <c:v>1914.9583</c:v>
                </c:pt>
                <c:pt idx="420">
                  <c:v>1915.0417</c:v>
                </c:pt>
                <c:pt idx="421">
                  <c:v>1915.125</c:v>
                </c:pt>
                <c:pt idx="422">
                  <c:v>1915.2083</c:v>
                </c:pt>
                <c:pt idx="423">
                  <c:v>1915.2917</c:v>
                </c:pt>
                <c:pt idx="424">
                  <c:v>1915.375</c:v>
                </c:pt>
                <c:pt idx="425">
                  <c:v>1915.4583</c:v>
                </c:pt>
                <c:pt idx="426">
                  <c:v>1915.5417</c:v>
                </c:pt>
                <c:pt idx="427">
                  <c:v>1915.625</c:v>
                </c:pt>
                <c:pt idx="428">
                  <c:v>1915.7083</c:v>
                </c:pt>
                <c:pt idx="429">
                  <c:v>1915.7917</c:v>
                </c:pt>
                <c:pt idx="430">
                  <c:v>1915.875</c:v>
                </c:pt>
                <c:pt idx="431">
                  <c:v>1915.9583</c:v>
                </c:pt>
                <c:pt idx="432">
                  <c:v>1916.0417</c:v>
                </c:pt>
                <c:pt idx="433">
                  <c:v>1916.125</c:v>
                </c:pt>
                <c:pt idx="434">
                  <c:v>1916.2083</c:v>
                </c:pt>
                <c:pt idx="435">
                  <c:v>1916.2917</c:v>
                </c:pt>
                <c:pt idx="436">
                  <c:v>1916.375</c:v>
                </c:pt>
                <c:pt idx="437">
                  <c:v>1916.4583</c:v>
                </c:pt>
                <c:pt idx="438">
                  <c:v>1916.5417</c:v>
                </c:pt>
                <c:pt idx="439">
                  <c:v>1916.625</c:v>
                </c:pt>
                <c:pt idx="440">
                  <c:v>1916.7083</c:v>
                </c:pt>
                <c:pt idx="441">
                  <c:v>1916.7917</c:v>
                </c:pt>
                <c:pt idx="442">
                  <c:v>1916.875</c:v>
                </c:pt>
                <c:pt idx="443">
                  <c:v>1916.9583</c:v>
                </c:pt>
                <c:pt idx="444">
                  <c:v>1917.0417</c:v>
                </c:pt>
                <c:pt idx="445">
                  <c:v>1917.125</c:v>
                </c:pt>
                <c:pt idx="446">
                  <c:v>1917.2083</c:v>
                </c:pt>
                <c:pt idx="447">
                  <c:v>1917.2917</c:v>
                </c:pt>
                <c:pt idx="448">
                  <c:v>1917.375</c:v>
                </c:pt>
                <c:pt idx="449">
                  <c:v>1917.4583</c:v>
                </c:pt>
                <c:pt idx="450">
                  <c:v>1917.5417</c:v>
                </c:pt>
                <c:pt idx="451">
                  <c:v>1917.625</c:v>
                </c:pt>
                <c:pt idx="452">
                  <c:v>1917.7083</c:v>
                </c:pt>
                <c:pt idx="453">
                  <c:v>1917.7917</c:v>
                </c:pt>
                <c:pt idx="454">
                  <c:v>1917.875</c:v>
                </c:pt>
                <c:pt idx="455">
                  <c:v>1917.9583</c:v>
                </c:pt>
                <c:pt idx="456">
                  <c:v>1918.0417</c:v>
                </c:pt>
                <c:pt idx="457">
                  <c:v>1918.125</c:v>
                </c:pt>
                <c:pt idx="458">
                  <c:v>1918.2083</c:v>
                </c:pt>
                <c:pt idx="459">
                  <c:v>1918.2917</c:v>
                </c:pt>
                <c:pt idx="460">
                  <c:v>1918.375</c:v>
                </c:pt>
                <c:pt idx="461">
                  <c:v>1918.4583</c:v>
                </c:pt>
                <c:pt idx="462">
                  <c:v>1918.5417</c:v>
                </c:pt>
                <c:pt idx="463">
                  <c:v>1918.625</c:v>
                </c:pt>
                <c:pt idx="464">
                  <c:v>1918.7083</c:v>
                </c:pt>
                <c:pt idx="465">
                  <c:v>1918.7917</c:v>
                </c:pt>
                <c:pt idx="466">
                  <c:v>1918.875</c:v>
                </c:pt>
                <c:pt idx="467">
                  <c:v>1918.9583</c:v>
                </c:pt>
                <c:pt idx="468">
                  <c:v>1919.0417</c:v>
                </c:pt>
                <c:pt idx="469">
                  <c:v>1919.125</c:v>
                </c:pt>
                <c:pt idx="470">
                  <c:v>1919.2083</c:v>
                </c:pt>
                <c:pt idx="471">
                  <c:v>1919.2917</c:v>
                </c:pt>
                <c:pt idx="472">
                  <c:v>1919.375</c:v>
                </c:pt>
                <c:pt idx="473">
                  <c:v>1919.4583</c:v>
                </c:pt>
                <c:pt idx="474">
                  <c:v>1919.5417</c:v>
                </c:pt>
                <c:pt idx="475">
                  <c:v>1919.625</c:v>
                </c:pt>
                <c:pt idx="476">
                  <c:v>1919.7083</c:v>
                </c:pt>
                <c:pt idx="477">
                  <c:v>1919.7917</c:v>
                </c:pt>
                <c:pt idx="478">
                  <c:v>1919.875</c:v>
                </c:pt>
                <c:pt idx="479">
                  <c:v>1919.9583</c:v>
                </c:pt>
                <c:pt idx="480">
                  <c:v>1920.0417</c:v>
                </c:pt>
                <c:pt idx="481">
                  <c:v>1920.125</c:v>
                </c:pt>
                <c:pt idx="482">
                  <c:v>1920.2083</c:v>
                </c:pt>
                <c:pt idx="483">
                  <c:v>1920.2917</c:v>
                </c:pt>
                <c:pt idx="484">
                  <c:v>1920.375</c:v>
                </c:pt>
                <c:pt idx="485">
                  <c:v>1920.4583</c:v>
                </c:pt>
                <c:pt idx="486">
                  <c:v>1920.5417</c:v>
                </c:pt>
                <c:pt idx="487">
                  <c:v>1920.625</c:v>
                </c:pt>
                <c:pt idx="488">
                  <c:v>1920.7083</c:v>
                </c:pt>
                <c:pt idx="489">
                  <c:v>1920.7917</c:v>
                </c:pt>
                <c:pt idx="490">
                  <c:v>1920.875</c:v>
                </c:pt>
                <c:pt idx="491">
                  <c:v>1920.9583</c:v>
                </c:pt>
                <c:pt idx="492">
                  <c:v>1921.0417</c:v>
                </c:pt>
                <c:pt idx="493">
                  <c:v>1921.125</c:v>
                </c:pt>
                <c:pt idx="494">
                  <c:v>1921.2083</c:v>
                </c:pt>
                <c:pt idx="495">
                  <c:v>1921.2917</c:v>
                </c:pt>
                <c:pt idx="496">
                  <c:v>1921.375</c:v>
                </c:pt>
                <c:pt idx="497">
                  <c:v>1921.4583</c:v>
                </c:pt>
                <c:pt idx="498">
                  <c:v>1921.5417</c:v>
                </c:pt>
                <c:pt idx="499">
                  <c:v>1921.625</c:v>
                </c:pt>
                <c:pt idx="500">
                  <c:v>1921.7083</c:v>
                </c:pt>
                <c:pt idx="501">
                  <c:v>1921.7917</c:v>
                </c:pt>
                <c:pt idx="502">
                  <c:v>1921.875</c:v>
                </c:pt>
                <c:pt idx="503">
                  <c:v>1921.9583</c:v>
                </c:pt>
                <c:pt idx="504">
                  <c:v>1922.0417</c:v>
                </c:pt>
                <c:pt idx="505">
                  <c:v>1922.125</c:v>
                </c:pt>
                <c:pt idx="506">
                  <c:v>1922.2083</c:v>
                </c:pt>
                <c:pt idx="507">
                  <c:v>1922.2917</c:v>
                </c:pt>
                <c:pt idx="508">
                  <c:v>1922.375</c:v>
                </c:pt>
                <c:pt idx="509">
                  <c:v>1922.4583</c:v>
                </c:pt>
                <c:pt idx="510">
                  <c:v>1922.5417</c:v>
                </c:pt>
                <c:pt idx="511">
                  <c:v>1922.625</c:v>
                </c:pt>
                <c:pt idx="512">
                  <c:v>1922.7083</c:v>
                </c:pt>
                <c:pt idx="513">
                  <c:v>1922.7917</c:v>
                </c:pt>
                <c:pt idx="514">
                  <c:v>1922.875</c:v>
                </c:pt>
                <c:pt idx="515">
                  <c:v>1922.9583</c:v>
                </c:pt>
                <c:pt idx="516">
                  <c:v>1923.0417</c:v>
                </c:pt>
                <c:pt idx="517">
                  <c:v>1923.125</c:v>
                </c:pt>
                <c:pt idx="518">
                  <c:v>1923.2083</c:v>
                </c:pt>
                <c:pt idx="519">
                  <c:v>1923.2917</c:v>
                </c:pt>
                <c:pt idx="520">
                  <c:v>1923.375</c:v>
                </c:pt>
                <c:pt idx="521">
                  <c:v>1923.4583</c:v>
                </c:pt>
                <c:pt idx="522">
                  <c:v>1923.5417</c:v>
                </c:pt>
                <c:pt idx="523">
                  <c:v>1923.625</c:v>
                </c:pt>
                <c:pt idx="524">
                  <c:v>1923.7083</c:v>
                </c:pt>
                <c:pt idx="525">
                  <c:v>1923.7917</c:v>
                </c:pt>
                <c:pt idx="526">
                  <c:v>1923.875</c:v>
                </c:pt>
                <c:pt idx="527">
                  <c:v>1923.9583</c:v>
                </c:pt>
                <c:pt idx="528">
                  <c:v>1924.0417</c:v>
                </c:pt>
                <c:pt idx="529">
                  <c:v>1924.125</c:v>
                </c:pt>
                <c:pt idx="530">
                  <c:v>1924.2083</c:v>
                </c:pt>
                <c:pt idx="531">
                  <c:v>1924.2917</c:v>
                </c:pt>
                <c:pt idx="532">
                  <c:v>1924.375</c:v>
                </c:pt>
                <c:pt idx="533">
                  <c:v>1924.4583</c:v>
                </c:pt>
                <c:pt idx="534">
                  <c:v>1924.5417</c:v>
                </c:pt>
                <c:pt idx="535">
                  <c:v>1924.625</c:v>
                </c:pt>
                <c:pt idx="536">
                  <c:v>1924.7083</c:v>
                </c:pt>
                <c:pt idx="537">
                  <c:v>1924.7917</c:v>
                </c:pt>
                <c:pt idx="538">
                  <c:v>1924.875</c:v>
                </c:pt>
                <c:pt idx="539">
                  <c:v>1924.9583</c:v>
                </c:pt>
                <c:pt idx="540">
                  <c:v>1925.0417</c:v>
                </c:pt>
                <c:pt idx="541">
                  <c:v>1925.125</c:v>
                </c:pt>
                <c:pt idx="542">
                  <c:v>1925.2083</c:v>
                </c:pt>
                <c:pt idx="543">
                  <c:v>1925.2917</c:v>
                </c:pt>
                <c:pt idx="544">
                  <c:v>1925.375</c:v>
                </c:pt>
                <c:pt idx="545">
                  <c:v>1925.4583</c:v>
                </c:pt>
                <c:pt idx="546">
                  <c:v>1925.5417</c:v>
                </c:pt>
                <c:pt idx="547">
                  <c:v>1925.625</c:v>
                </c:pt>
                <c:pt idx="548">
                  <c:v>1925.7083</c:v>
                </c:pt>
                <c:pt idx="549">
                  <c:v>1925.7917</c:v>
                </c:pt>
                <c:pt idx="550">
                  <c:v>1925.875</c:v>
                </c:pt>
                <c:pt idx="551">
                  <c:v>1925.9583</c:v>
                </c:pt>
                <c:pt idx="552">
                  <c:v>1926.0417</c:v>
                </c:pt>
                <c:pt idx="553">
                  <c:v>1926.125</c:v>
                </c:pt>
                <c:pt idx="554">
                  <c:v>1926.2083</c:v>
                </c:pt>
                <c:pt idx="555">
                  <c:v>1926.2917</c:v>
                </c:pt>
                <c:pt idx="556">
                  <c:v>1926.375</c:v>
                </c:pt>
                <c:pt idx="557">
                  <c:v>1926.4583</c:v>
                </c:pt>
                <c:pt idx="558">
                  <c:v>1926.5417</c:v>
                </c:pt>
                <c:pt idx="559">
                  <c:v>1926.625</c:v>
                </c:pt>
                <c:pt idx="560">
                  <c:v>1926.7083</c:v>
                </c:pt>
                <c:pt idx="561">
                  <c:v>1926.7917</c:v>
                </c:pt>
                <c:pt idx="562">
                  <c:v>1926.875</c:v>
                </c:pt>
                <c:pt idx="563">
                  <c:v>1926.9583</c:v>
                </c:pt>
                <c:pt idx="564">
                  <c:v>1927.0417</c:v>
                </c:pt>
                <c:pt idx="565">
                  <c:v>1927.125</c:v>
                </c:pt>
                <c:pt idx="566">
                  <c:v>1927.2083</c:v>
                </c:pt>
                <c:pt idx="567">
                  <c:v>1927.2917</c:v>
                </c:pt>
                <c:pt idx="568">
                  <c:v>1927.375</c:v>
                </c:pt>
                <c:pt idx="569">
                  <c:v>1927.4583</c:v>
                </c:pt>
                <c:pt idx="570">
                  <c:v>1927.5417</c:v>
                </c:pt>
                <c:pt idx="571">
                  <c:v>1927.625</c:v>
                </c:pt>
                <c:pt idx="572">
                  <c:v>1927.7083</c:v>
                </c:pt>
                <c:pt idx="573">
                  <c:v>1927.7917</c:v>
                </c:pt>
                <c:pt idx="574">
                  <c:v>1927.875</c:v>
                </c:pt>
                <c:pt idx="575">
                  <c:v>1927.9583</c:v>
                </c:pt>
                <c:pt idx="576">
                  <c:v>1928.0417</c:v>
                </c:pt>
                <c:pt idx="577">
                  <c:v>1928.125</c:v>
                </c:pt>
                <c:pt idx="578">
                  <c:v>1928.2083</c:v>
                </c:pt>
                <c:pt idx="579">
                  <c:v>1928.2917</c:v>
                </c:pt>
                <c:pt idx="580">
                  <c:v>1928.375</c:v>
                </c:pt>
                <c:pt idx="581">
                  <c:v>1928.4583</c:v>
                </c:pt>
                <c:pt idx="582">
                  <c:v>1928.5417</c:v>
                </c:pt>
                <c:pt idx="583">
                  <c:v>1928.625</c:v>
                </c:pt>
                <c:pt idx="584">
                  <c:v>1928.7083</c:v>
                </c:pt>
                <c:pt idx="585">
                  <c:v>1928.7917</c:v>
                </c:pt>
                <c:pt idx="586">
                  <c:v>1928.875</c:v>
                </c:pt>
                <c:pt idx="587">
                  <c:v>1928.9583</c:v>
                </c:pt>
                <c:pt idx="588">
                  <c:v>1929.0417</c:v>
                </c:pt>
                <c:pt idx="589">
                  <c:v>1929.125</c:v>
                </c:pt>
                <c:pt idx="590">
                  <c:v>1929.2083</c:v>
                </c:pt>
                <c:pt idx="591">
                  <c:v>1929.2917</c:v>
                </c:pt>
                <c:pt idx="592">
                  <c:v>1929.375</c:v>
                </c:pt>
                <c:pt idx="593">
                  <c:v>1929.4583</c:v>
                </c:pt>
                <c:pt idx="594">
                  <c:v>1929.5417</c:v>
                </c:pt>
                <c:pt idx="595">
                  <c:v>1929.625</c:v>
                </c:pt>
                <c:pt idx="596">
                  <c:v>1929.7083</c:v>
                </c:pt>
                <c:pt idx="597">
                  <c:v>1929.7917</c:v>
                </c:pt>
                <c:pt idx="598">
                  <c:v>1929.875</c:v>
                </c:pt>
                <c:pt idx="599">
                  <c:v>1929.9583</c:v>
                </c:pt>
                <c:pt idx="600">
                  <c:v>1930.0417</c:v>
                </c:pt>
                <c:pt idx="601">
                  <c:v>1930.125</c:v>
                </c:pt>
                <c:pt idx="602">
                  <c:v>1930.2083</c:v>
                </c:pt>
                <c:pt idx="603">
                  <c:v>1930.2917</c:v>
                </c:pt>
                <c:pt idx="604">
                  <c:v>1930.375</c:v>
                </c:pt>
                <c:pt idx="605">
                  <c:v>1930.4583</c:v>
                </c:pt>
                <c:pt idx="606">
                  <c:v>1930.5417</c:v>
                </c:pt>
                <c:pt idx="607">
                  <c:v>1930.625</c:v>
                </c:pt>
                <c:pt idx="608">
                  <c:v>1930.7083</c:v>
                </c:pt>
                <c:pt idx="609">
                  <c:v>1930.7917</c:v>
                </c:pt>
                <c:pt idx="610">
                  <c:v>1930.875</c:v>
                </c:pt>
                <c:pt idx="611">
                  <c:v>1930.9583</c:v>
                </c:pt>
                <c:pt idx="612">
                  <c:v>1931.0417</c:v>
                </c:pt>
                <c:pt idx="613">
                  <c:v>1931.125</c:v>
                </c:pt>
                <c:pt idx="614">
                  <c:v>1931.2083</c:v>
                </c:pt>
                <c:pt idx="615">
                  <c:v>1931.2917</c:v>
                </c:pt>
                <c:pt idx="616">
                  <c:v>1931.375</c:v>
                </c:pt>
                <c:pt idx="617">
                  <c:v>1931.4583</c:v>
                </c:pt>
                <c:pt idx="618">
                  <c:v>1931.5417</c:v>
                </c:pt>
                <c:pt idx="619">
                  <c:v>1931.625</c:v>
                </c:pt>
                <c:pt idx="620">
                  <c:v>1931.7083</c:v>
                </c:pt>
                <c:pt idx="621">
                  <c:v>1931.7917</c:v>
                </c:pt>
                <c:pt idx="622">
                  <c:v>1931.875</c:v>
                </c:pt>
                <c:pt idx="623">
                  <c:v>1931.9583</c:v>
                </c:pt>
                <c:pt idx="624">
                  <c:v>1932.0417</c:v>
                </c:pt>
                <c:pt idx="625">
                  <c:v>1932.125</c:v>
                </c:pt>
                <c:pt idx="626">
                  <c:v>1932.2083</c:v>
                </c:pt>
                <c:pt idx="627">
                  <c:v>1932.2917</c:v>
                </c:pt>
                <c:pt idx="628">
                  <c:v>1932.375</c:v>
                </c:pt>
                <c:pt idx="629">
                  <c:v>1932.4583</c:v>
                </c:pt>
                <c:pt idx="630">
                  <c:v>1932.5417</c:v>
                </c:pt>
                <c:pt idx="631">
                  <c:v>1932.625</c:v>
                </c:pt>
                <c:pt idx="632">
                  <c:v>1932.7083</c:v>
                </c:pt>
                <c:pt idx="633">
                  <c:v>1932.7917</c:v>
                </c:pt>
                <c:pt idx="634">
                  <c:v>1932.875</c:v>
                </c:pt>
                <c:pt idx="635">
                  <c:v>1932.9583</c:v>
                </c:pt>
                <c:pt idx="636">
                  <c:v>1933.0417</c:v>
                </c:pt>
                <c:pt idx="637">
                  <c:v>1933.125</c:v>
                </c:pt>
                <c:pt idx="638">
                  <c:v>1933.2083</c:v>
                </c:pt>
                <c:pt idx="639">
                  <c:v>1933.2917</c:v>
                </c:pt>
                <c:pt idx="640">
                  <c:v>1933.375</c:v>
                </c:pt>
                <c:pt idx="641">
                  <c:v>1933.4583</c:v>
                </c:pt>
                <c:pt idx="642">
                  <c:v>1933.5417</c:v>
                </c:pt>
                <c:pt idx="643">
                  <c:v>1933.625</c:v>
                </c:pt>
                <c:pt idx="644">
                  <c:v>1933.7083</c:v>
                </c:pt>
                <c:pt idx="645">
                  <c:v>1933.7917</c:v>
                </c:pt>
                <c:pt idx="646">
                  <c:v>1933.875</c:v>
                </c:pt>
                <c:pt idx="647">
                  <c:v>1933.9583</c:v>
                </c:pt>
                <c:pt idx="648">
                  <c:v>1934.0417</c:v>
                </c:pt>
                <c:pt idx="649">
                  <c:v>1934.125</c:v>
                </c:pt>
                <c:pt idx="650">
                  <c:v>1934.2083</c:v>
                </c:pt>
                <c:pt idx="651">
                  <c:v>1934.2917</c:v>
                </c:pt>
                <c:pt idx="652">
                  <c:v>1934.375</c:v>
                </c:pt>
                <c:pt idx="653">
                  <c:v>1934.4583</c:v>
                </c:pt>
                <c:pt idx="654">
                  <c:v>1934.5417</c:v>
                </c:pt>
                <c:pt idx="655">
                  <c:v>1934.625</c:v>
                </c:pt>
                <c:pt idx="656">
                  <c:v>1934.7083</c:v>
                </c:pt>
                <c:pt idx="657">
                  <c:v>1934.7917</c:v>
                </c:pt>
                <c:pt idx="658">
                  <c:v>1934.875</c:v>
                </c:pt>
                <c:pt idx="659">
                  <c:v>1934.9583</c:v>
                </c:pt>
                <c:pt idx="660">
                  <c:v>1935.0417</c:v>
                </c:pt>
                <c:pt idx="661">
                  <c:v>1935.125</c:v>
                </c:pt>
                <c:pt idx="662">
                  <c:v>1935.2083</c:v>
                </c:pt>
                <c:pt idx="663">
                  <c:v>1935.2917</c:v>
                </c:pt>
                <c:pt idx="664">
                  <c:v>1935.375</c:v>
                </c:pt>
                <c:pt idx="665">
                  <c:v>1935.4583</c:v>
                </c:pt>
                <c:pt idx="666">
                  <c:v>1935.5417</c:v>
                </c:pt>
                <c:pt idx="667">
                  <c:v>1935.625</c:v>
                </c:pt>
                <c:pt idx="668">
                  <c:v>1935.7083</c:v>
                </c:pt>
                <c:pt idx="669">
                  <c:v>1935.7917</c:v>
                </c:pt>
                <c:pt idx="670">
                  <c:v>1935.875</c:v>
                </c:pt>
                <c:pt idx="671">
                  <c:v>1935.9583</c:v>
                </c:pt>
                <c:pt idx="672">
                  <c:v>1936.0417</c:v>
                </c:pt>
                <c:pt idx="673">
                  <c:v>1936.125</c:v>
                </c:pt>
                <c:pt idx="674">
                  <c:v>1936.2083</c:v>
                </c:pt>
                <c:pt idx="675">
                  <c:v>1936.2917</c:v>
                </c:pt>
                <c:pt idx="676">
                  <c:v>1936.375</c:v>
                </c:pt>
                <c:pt idx="677">
                  <c:v>1936.4583</c:v>
                </c:pt>
                <c:pt idx="678">
                  <c:v>1936.5417</c:v>
                </c:pt>
                <c:pt idx="679">
                  <c:v>1936.625</c:v>
                </c:pt>
                <c:pt idx="680">
                  <c:v>1936.7083</c:v>
                </c:pt>
                <c:pt idx="681">
                  <c:v>1936.7917</c:v>
                </c:pt>
                <c:pt idx="682">
                  <c:v>1936.875</c:v>
                </c:pt>
                <c:pt idx="683">
                  <c:v>1936.9583</c:v>
                </c:pt>
                <c:pt idx="684">
                  <c:v>1937.0417</c:v>
                </c:pt>
                <c:pt idx="685">
                  <c:v>1937.125</c:v>
                </c:pt>
                <c:pt idx="686">
                  <c:v>1937.2083</c:v>
                </c:pt>
                <c:pt idx="687">
                  <c:v>1937.2917</c:v>
                </c:pt>
                <c:pt idx="688">
                  <c:v>1937.375</c:v>
                </c:pt>
                <c:pt idx="689">
                  <c:v>1937.4583</c:v>
                </c:pt>
                <c:pt idx="690">
                  <c:v>1937.5417</c:v>
                </c:pt>
                <c:pt idx="691">
                  <c:v>1937.625</c:v>
                </c:pt>
                <c:pt idx="692">
                  <c:v>1937.7083</c:v>
                </c:pt>
                <c:pt idx="693">
                  <c:v>1937.7917</c:v>
                </c:pt>
                <c:pt idx="694">
                  <c:v>1937.875</c:v>
                </c:pt>
                <c:pt idx="695">
                  <c:v>1937.9583</c:v>
                </c:pt>
                <c:pt idx="696">
                  <c:v>1938.0417</c:v>
                </c:pt>
                <c:pt idx="697">
                  <c:v>1938.125</c:v>
                </c:pt>
                <c:pt idx="698">
                  <c:v>1938.2083</c:v>
                </c:pt>
                <c:pt idx="699">
                  <c:v>1938.2917</c:v>
                </c:pt>
                <c:pt idx="700">
                  <c:v>1938.375</c:v>
                </c:pt>
                <c:pt idx="701">
                  <c:v>1938.4583</c:v>
                </c:pt>
                <c:pt idx="702">
                  <c:v>1938.5417</c:v>
                </c:pt>
                <c:pt idx="703">
                  <c:v>1938.625</c:v>
                </c:pt>
                <c:pt idx="704">
                  <c:v>1938.7083</c:v>
                </c:pt>
                <c:pt idx="705">
                  <c:v>1938.7917</c:v>
                </c:pt>
                <c:pt idx="706">
                  <c:v>1938.875</c:v>
                </c:pt>
                <c:pt idx="707">
                  <c:v>1938.9583</c:v>
                </c:pt>
                <c:pt idx="708">
                  <c:v>1939.0417</c:v>
                </c:pt>
                <c:pt idx="709">
                  <c:v>1939.125</c:v>
                </c:pt>
                <c:pt idx="710">
                  <c:v>1939.2083</c:v>
                </c:pt>
                <c:pt idx="711">
                  <c:v>1939.2917</c:v>
                </c:pt>
                <c:pt idx="712">
                  <c:v>1939.375</c:v>
                </c:pt>
                <c:pt idx="713">
                  <c:v>1939.4583</c:v>
                </c:pt>
                <c:pt idx="714">
                  <c:v>1939.5417</c:v>
                </c:pt>
                <c:pt idx="715">
                  <c:v>1939.625</c:v>
                </c:pt>
                <c:pt idx="716">
                  <c:v>1939.7083</c:v>
                </c:pt>
                <c:pt idx="717">
                  <c:v>1939.7917</c:v>
                </c:pt>
                <c:pt idx="718">
                  <c:v>1939.875</c:v>
                </c:pt>
                <c:pt idx="719">
                  <c:v>1939.9583</c:v>
                </c:pt>
                <c:pt idx="720">
                  <c:v>1940.0417</c:v>
                </c:pt>
                <c:pt idx="721">
                  <c:v>1940.125</c:v>
                </c:pt>
                <c:pt idx="722">
                  <c:v>1940.2083</c:v>
                </c:pt>
                <c:pt idx="723">
                  <c:v>1940.2917</c:v>
                </c:pt>
                <c:pt idx="724">
                  <c:v>1940.375</c:v>
                </c:pt>
                <c:pt idx="725">
                  <c:v>1940.4583</c:v>
                </c:pt>
                <c:pt idx="726">
                  <c:v>1940.5417</c:v>
                </c:pt>
                <c:pt idx="727">
                  <c:v>1940.625</c:v>
                </c:pt>
                <c:pt idx="728">
                  <c:v>1940.7083</c:v>
                </c:pt>
                <c:pt idx="729">
                  <c:v>1940.7917</c:v>
                </c:pt>
                <c:pt idx="730">
                  <c:v>1940.875</c:v>
                </c:pt>
                <c:pt idx="731">
                  <c:v>1940.9583</c:v>
                </c:pt>
                <c:pt idx="732">
                  <c:v>1941.0417</c:v>
                </c:pt>
                <c:pt idx="733">
                  <c:v>1941.125</c:v>
                </c:pt>
                <c:pt idx="734">
                  <c:v>1941.2083</c:v>
                </c:pt>
                <c:pt idx="735">
                  <c:v>1941.2917</c:v>
                </c:pt>
                <c:pt idx="736">
                  <c:v>1941.375</c:v>
                </c:pt>
                <c:pt idx="737">
                  <c:v>1941.4583</c:v>
                </c:pt>
                <c:pt idx="738">
                  <c:v>1941.5417</c:v>
                </c:pt>
                <c:pt idx="739">
                  <c:v>1941.625</c:v>
                </c:pt>
                <c:pt idx="740">
                  <c:v>1941.7083</c:v>
                </c:pt>
                <c:pt idx="741">
                  <c:v>1941.7917</c:v>
                </c:pt>
                <c:pt idx="742">
                  <c:v>1941.875</c:v>
                </c:pt>
                <c:pt idx="743">
                  <c:v>1941.9583</c:v>
                </c:pt>
                <c:pt idx="744">
                  <c:v>1942.0417</c:v>
                </c:pt>
                <c:pt idx="745">
                  <c:v>1942.125</c:v>
                </c:pt>
                <c:pt idx="746">
                  <c:v>1942.2083</c:v>
                </c:pt>
                <c:pt idx="747">
                  <c:v>1942.2917</c:v>
                </c:pt>
                <c:pt idx="748">
                  <c:v>1942.375</c:v>
                </c:pt>
                <c:pt idx="749">
                  <c:v>1942.4583</c:v>
                </c:pt>
                <c:pt idx="750">
                  <c:v>1942.5417</c:v>
                </c:pt>
                <c:pt idx="751">
                  <c:v>1942.625</c:v>
                </c:pt>
                <c:pt idx="752">
                  <c:v>1942.7083</c:v>
                </c:pt>
                <c:pt idx="753">
                  <c:v>1942.7917</c:v>
                </c:pt>
                <c:pt idx="754">
                  <c:v>1942.875</c:v>
                </c:pt>
                <c:pt idx="755">
                  <c:v>1942.9583</c:v>
                </c:pt>
                <c:pt idx="756">
                  <c:v>1943.0417</c:v>
                </c:pt>
                <c:pt idx="757">
                  <c:v>1943.125</c:v>
                </c:pt>
                <c:pt idx="758">
                  <c:v>1943.2083</c:v>
                </c:pt>
                <c:pt idx="759">
                  <c:v>1943.2917</c:v>
                </c:pt>
                <c:pt idx="760">
                  <c:v>1943.375</c:v>
                </c:pt>
                <c:pt idx="761">
                  <c:v>1943.4583</c:v>
                </c:pt>
                <c:pt idx="762">
                  <c:v>1943.5417</c:v>
                </c:pt>
                <c:pt idx="763">
                  <c:v>1943.625</c:v>
                </c:pt>
                <c:pt idx="764">
                  <c:v>1943.7083</c:v>
                </c:pt>
                <c:pt idx="765">
                  <c:v>1943.7917</c:v>
                </c:pt>
                <c:pt idx="766">
                  <c:v>1943.875</c:v>
                </c:pt>
                <c:pt idx="767">
                  <c:v>1943.9583</c:v>
                </c:pt>
                <c:pt idx="768">
                  <c:v>1944.0417</c:v>
                </c:pt>
                <c:pt idx="769">
                  <c:v>1944.125</c:v>
                </c:pt>
                <c:pt idx="770">
                  <c:v>1944.2083</c:v>
                </c:pt>
                <c:pt idx="771">
                  <c:v>1944.2917</c:v>
                </c:pt>
                <c:pt idx="772">
                  <c:v>1944.375</c:v>
                </c:pt>
                <c:pt idx="773">
                  <c:v>1944.4583</c:v>
                </c:pt>
                <c:pt idx="774">
                  <c:v>1944.5417</c:v>
                </c:pt>
                <c:pt idx="775">
                  <c:v>1944.625</c:v>
                </c:pt>
                <c:pt idx="776">
                  <c:v>1944.7083</c:v>
                </c:pt>
                <c:pt idx="777">
                  <c:v>1944.7917</c:v>
                </c:pt>
                <c:pt idx="778">
                  <c:v>1944.875</c:v>
                </c:pt>
                <c:pt idx="779">
                  <c:v>1944.9583</c:v>
                </c:pt>
                <c:pt idx="780">
                  <c:v>1945.0417</c:v>
                </c:pt>
                <c:pt idx="781">
                  <c:v>1945.125</c:v>
                </c:pt>
                <c:pt idx="782">
                  <c:v>1945.2083</c:v>
                </c:pt>
                <c:pt idx="783">
                  <c:v>1945.2917</c:v>
                </c:pt>
                <c:pt idx="784">
                  <c:v>1945.375</c:v>
                </c:pt>
                <c:pt idx="785">
                  <c:v>1945.4583</c:v>
                </c:pt>
                <c:pt idx="786">
                  <c:v>1945.5417</c:v>
                </c:pt>
                <c:pt idx="787">
                  <c:v>1945.625</c:v>
                </c:pt>
                <c:pt idx="788">
                  <c:v>1945.7083</c:v>
                </c:pt>
                <c:pt idx="789">
                  <c:v>1945.7917</c:v>
                </c:pt>
                <c:pt idx="790">
                  <c:v>1945.875</c:v>
                </c:pt>
                <c:pt idx="791">
                  <c:v>1945.9583</c:v>
                </c:pt>
                <c:pt idx="792">
                  <c:v>1946.0417</c:v>
                </c:pt>
                <c:pt idx="793">
                  <c:v>1946.125</c:v>
                </c:pt>
                <c:pt idx="794">
                  <c:v>1946.2083</c:v>
                </c:pt>
                <c:pt idx="795">
                  <c:v>1946.2917</c:v>
                </c:pt>
                <c:pt idx="796">
                  <c:v>1946.375</c:v>
                </c:pt>
                <c:pt idx="797">
                  <c:v>1946.4583</c:v>
                </c:pt>
                <c:pt idx="798">
                  <c:v>1946.5417</c:v>
                </c:pt>
                <c:pt idx="799">
                  <c:v>1946.625</c:v>
                </c:pt>
                <c:pt idx="800">
                  <c:v>1946.7083</c:v>
                </c:pt>
                <c:pt idx="801">
                  <c:v>1946.7917</c:v>
                </c:pt>
                <c:pt idx="802">
                  <c:v>1946.875</c:v>
                </c:pt>
                <c:pt idx="803">
                  <c:v>1946.9583</c:v>
                </c:pt>
                <c:pt idx="804">
                  <c:v>1947.0417</c:v>
                </c:pt>
                <c:pt idx="805">
                  <c:v>1947.125</c:v>
                </c:pt>
                <c:pt idx="806">
                  <c:v>1947.2083</c:v>
                </c:pt>
                <c:pt idx="807">
                  <c:v>1947.2917</c:v>
                </c:pt>
                <c:pt idx="808">
                  <c:v>1947.375</c:v>
                </c:pt>
                <c:pt idx="809">
                  <c:v>1947.4583</c:v>
                </c:pt>
                <c:pt idx="810">
                  <c:v>1947.5417</c:v>
                </c:pt>
                <c:pt idx="811">
                  <c:v>1947.625</c:v>
                </c:pt>
                <c:pt idx="812">
                  <c:v>1947.7083</c:v>
                </c:pt>
                <c:pt idx="813">
                  <c:v>1947.7917</c:v>
                </c:pt>
                <c:pt idx="814">
                  <c:v>1947.875</c:v>
                </c:pt>
                <c:pt idx="815">
                  <c:v>1947.9583</c:v>
                </c:pt>
                <c:pt idx="816">
                  <c:v>1948.0417</c:v>
                </c:pt>
                <c:pt idx="817">
                  <c:v>1948.125</c:v>
                </c:pt>
                <c:pt idx="818">
                  <c:v>1948.2083</c:v>
                </c:pt>
                <c:pt idx="819">
                  <c:v>1948.2917</c:v>
                </c:pt>
                <c:pt idx="820">
                  <c:v>1948.375</c:v>
                </c:pt>
                <c:pt idx="821">
                  <c:v>1948.4583</c:v>
                </c:pt>
                <c:pt idx="822">
                  <c:v>1948.5417</c:v>
                </c:pt>
                <c:pt idx="823">
                  <c:v>1948.625</c:v>
                </c:pt>
                <c:pt idx="824">
                  <c:v>1948.7083</c:v>
                </c:pt>
                <c:pt idx="825">
                  <c:v>1948.7917</c:v>
                </c:pt>
                <c:pt idx="826">
                  <c:v>1948.875</c:v>
                </c:pt>
                <c:pt idx="827">
                  <c:v>1948.9583</c:v>
                </c:pt>
                <c:pt idx="828">
                  <c:v>1949.0417</c:v>
                </c:pt>
                <c:pt idx="829">
                  <c:v>1949.125</c:v>
                </c:pt>
                <c:pt idx="830">
                  <c:v>1949.2083</c:v>
                </c:pt>
                <c:pt idx="831">
                  <c:v>1949.2917</c:v>
                </c:pt>
                <c:pt idx="832">
                  <c:v>1949.375</c:v>
                </c:pt>
                <c:pt idx="833">
                  <c:v>1949.4583</c:v>
                </c:pt>
                <c:pt idx="834">
                  <c:v>1949.5417</c:v>
                </c:pt>
                <c:pt idx="835">
                  <c:v>1949.625</c:v>
                </c:pt>
                <c:pt idx="836">
                  <c:v>1949.7083</c:v>
                </c:pt>
                <c:pt idx="837">
                  <c:v>1949.7917</c:v>
                </c:pt>
                <c:pt idx="838">
                  <c:v>1949.875</c:v>
                </c:pt>
                <c:pt idx="839">
                  <c:v>1949.9583</c:v>
                </c:pt>
                <c:pt idx="840">
                  <c:v>1950.0417</c:v>
                </c:pt>
                <c:pt idx="841">
                  <c:v>1950.125</c:v>
                </c:pt>
                <c:pt idx="842">
                  <c:v>1950.2083</c:v>
                </c:pt>
                <c:pt idx="843">
                  <c:v>1950.2917</c:v>
                </c:pt>
                <c:pt idx="844">
                  <c:v>1950.375</c:v>
                </c:pt>
                <c:pt idx="845">
                  <c:v>1950.4583</c:v>
                </c:pt>
                <c:pt idx="846">
                  <c:v>1950.5417</c:v>
                </c:pt>
                <c:pt idx="847">
                  <c:v>1950.625</c:v>
                </c:pt>
                <c:pt idx="848">
                  <c:v>1950.7083</c:v>
                </c:pt>
                <c:pt idx="849">
                  <c:v>1950.7917</c:v>
                </c:pt>
                <c:pt idx="850">
                  <c:v>1950.875</c:v>
                </c:pt>
                <c:pt idx="851">
                  <c:v>1950.9583</c:v>
                </c:pt>
                <c:pt idx="852">
                  <c:v>1951.0417</c:v>
                </c:pt>
                <c:pt idx="853">
                  <c:v>1951.125</c:v>
                </c:pt>
                <c:pt idx="854">
                  <c:v>1951.2083</c:v>
                </c:pt>
                <c:pt idx="855">
                  <c:v>1951.2917</c:v>
                </c:pt>
                <c:pt idx="856">
                  <c:v>1951.375</c:v>
                </c:pt>
                <c:pt idx="857">
                  <c:v>1951.4583</c:v>
                </c:pt>
                <c:pt idx="858">
                  <c:v>1951.5417</c:v>
                </c:pt>
                <c:pt idx="859">
                  <c:v>1951.625</c:v>
                </c:pt>
                <c:pt idx="860">
                  <c:v>1951.7083</c:v>
                </c:pt>
                <c:pt idx="861">
                  <c:v>1951.7917</c:v>
                </c:pt>
                <c:pt idx="862">
                  <c:v>1951.875</c:v>
                </c:pt>
                <c:pt idx="863">
                  <c:v>1951.9583</c:v>
                </c:pt>
                <c:pt idx="864">
                  <c:v>1952.0417</c:v>
                </c:pt>
                <c:pt idx="865">
                  <c:v>1952.125</c:v>
                </c:pt>
                <c:pt idx="866">
                  <c:v>1952.2083</c:v>
                </c:pt>
                <c:pt idx="867">
                  <c:v>1952.2917</c:v>
                </c:pt>
                <c:pt idx="868">
                  <c:v>1952.375</c:v>
                </c:pt>
                <c:pt idx="869">
                  <c:v>1952.4583</c:v>
                </c:pt>
                <c:pt idx="870">
                  <c:v>1952.5417</c:v>
                </c:pt>
                <c:pt idx="871">
                  <c:v>1952.625</c:v>
                </c:pt>
                <c:pt idx="872">
                  <c:v>1952.7083</c:v>
                </c:pt>
                <c:pt idx="873">
                  <c:v>1952.7917</c:v>
                </c:pt>
                <c:pt idx="874">
                  <c:v>1952.875</c:v>
                </c:pt>
                <c:pt idx="875">
                  <c:v>1952.9583</c:v>
                </c:pt>
                <c:pt idx="876">
                  <c:v>1953.0417</c:v>
                </c:pt>
                <c:pt idx="877">
                  <c:v>1953.125</c:v>
                </c:pt>
                <c:pt idx="878">
                  <c:v>1953.2083</c:v>
                </c:pt>
                <c:pt idx="879">
                  <c:v>1953.2917</c:v>
                </c:pt>
                <c:pt idx="880">
                  <c:v>1953.375</c:v>
                </c:pt>
                <c:pt idx="881">
                  <c:v>1953.4583</c:v>
                </c:pt>
                <c:pt idx="882">
                  <c:v>1953.5417</c:v>
                </c:pt>
                <c:pt idx="883">
                  <c:v>1953.625</c:v>
                </c:pt>
                <c:pt idx="884">
                  <c:v>1953.7083</c:v>
                </c:pt>
                <c:pt idx="885">
                  <c:v>1953.7917</c:v>
                </c:pt>
                <c:pt idx="886">
                  <c:v>1953.875</c:v>
                </c:pt>
                <c:pt idx="887">
                  <c:v>1953.9583</c:v>
                </c:pt>
                <c:pt idx="888">
                  <c:v>1954.0417</c:v>
                </c:pt>
                <c:pt idx="889">
                  <c:v>1954.125</c:v>
                </c:pt>
                <c:pt idx="890">
                  <c:v>1954.2083</c:v>
                </c:pt>
                <c:pt idx="891">
                  <c:v>1954.2917</c:v>
                </c:pt>
                <c:pt idx="892">
                  <c:v>1954.375</c:v>
                </c:pt>
                <c:pt idx="893">
                  <c:v>1954.4583</c:v>
                </c:pt>
                <c:pt idx="894">
                  <c:v>1954.5417</c:v>
                </c:pt>
                <c:pt idx="895">
                  <c:v>1954.625</c:v>
                </c:pt>
                <c:pt idx="896">
                  <c:v>1954.7083</c:v>
                </c:pt>
                <c:pt idx="897">
                  <c:v>1954.7917</c:v>
                </c:pt>
                <c:pt idx="898">
                  <c:v>1954.875</c:v>
                </c:pt>
                <c:pt idx="899">
                  <c:v>1954.9583</c:v>
                </c:pt>
                <c:pt idx="900">
                  <c:v>1955.0417</c:v>
                </c:pt>
                <c:pt idx="901">
                  <c:v>1955.125</c:v>
                </c:pt>
                <c:pt idx="902">
                  <c:v>1955.2083</c:v>
                </c:pt>
                <c:pt idx="903">
                  <c:v>1955.2917</c:v>
                </c:pt>
                <c:pt idx="904">
                  <c:v>1955.375</c:v>
                </c:pt>
                <c:pt idx="905">
                  <c:v>1955.4583</c:v>
                </c:pt>
                <c:pt idx="906">
                  <c:v>1955.5417</c:v>
                </c:pt>
                <c:pt idx="907">
                  <c:v>1955.625</c:v>
                </c:pt>
                <c:pt idx="908">
                  <c:v>1955.7083</c:v>
                </c:pt>
                <c:pt idx="909">
                  <c:v>1955.7917</c:v>
                </c:pt>
                <c:pt idx="910">
                  <c:v>1955.875</c:v>
                </c:pt>
                <c:pt idx="911">
                  <c:v>1955.9583</c:v>
                </c:pt>
                <c:pt idx="912">
                  <c:v>1956.0417</c:v>
                </c:pt>
                <c:pt idx="913">
                  <c:v>1956.125</c:v>
                </c:pt>
                <c:pt idx="914">
                  <c:v>1956.2083</c:v>
                </c:pt>
                <c:pt idx="915">
                  <c:v>1956.2917</c:v>
                </c:pt>
                <c:pt idx="916">
                  <c:v>1956.375</c:v>
                </c:pt>
                <c:pt idx="917">
                  <c:v>1956.4583</c:v>
                </c:pt>
                <c:pt idx="918">
                  <c:v>1956.5417</c:v>
                </c:pt>
                <c:pt idx="919">
                  <c:v>1956.625</c:v>
                </c:pt>
                <c:pt idx="920">
                  <c:v>1956.7083</c:v>
                </c:pt>
                <c:pt idx="921">
                  <c:v>1956.7917</c:v>
                </c:pt>
                <c:pt idx="922">
                  <c:v>1956.875</c:v>
                </c:pt>
                <c:pt idx="923">
                  <c:v>1956.9583</c:v>
                </c:pt>
                <c:pt idx="924">
                  <c:v>1957.0417</c:v>
                </c:pt>
                <c:pt idx="925">
                  <c:v>1957.125</c:v>
                </c:pt>
                <c:pt idx="926">
                  <c:v>1957.2083</c:v>
                </c:pt>
                <c:pt idx="927">
                  <c:v>1957.2917</c:v>
                </c:pt>
                <c:pt idx="928">
                  <c:v>1957.375</c:v>
                </c:pt>
                <c:pt idx="929">
                  <c:v>1957.4583</c:v>
                </c:pt>
                <c:pt idx="930">
                  <c:v>1957.5417</c:v>
                </c:pt>
                <c:pt idx="931">
                  <c:v>1957.625</c:v>
                </c:pt>
                <c:pt idx="932">
                  <c:v>1957.7083</c:v>
                </c:pt>
                <c:pt idx="933">
                  <c:v>1957.7917</c:v>
                </c:pt>
                <c:pt idx="934">
                  <c:v>1957.875</c:v>
                </c:pt>
                <c:pt idx="935">
                  <c:v>1957.9583</c:v>
                </c:pt>
                <c:pt idx="936">
                  <c:v>1958.0417</c:v>
                </c:pt>
                <c:pt idx="937">
                  <c:v>1958.125</c:v>
                </c:pt>
                <c:pt idx="938">
                  <c:v>1958.2083</c:v>
                </c:pt>
                <c:pt idx="939">
                  <c:v>1958.2917</c:v>
                </c:pt>
                <c:pt idx="940">
                  <c:v>1958.375</c:v>
                </c:pt>
                <c:pt idx="941">
                  <c:v>1958.4583</c:v>
                </c:pt>
                <c:pt idx="942">
                  <c:v>1958.5417</c:v>
                </c:pt>
                <c:pt idx="943">
                  <c:v>1958.625</c:v>
                </c:pt>
                <c:pt idx="944">
                  <c:v>1958.7083</c:v>
                </c:pt>
                <c:pt idx="945">
                  <c:v>1958.7917</c:v>
                </c:pt>
                <c:pt idx="946">
                  <c:v>1958.875</c:v>
                </c:pt>
                <c:pt idx="947">
                  <c:v>1958.9583</c:v>
                </c:pt>
                <c:pt idx="948">
                  <c:v>1959.0417</c:v>
                </c:pt>
                <c:pt idx="949">
                  <c:v>1959.125</c:v>
                </c:pt>
                <c:pt idx="950">
                  <c:v>1959.2083</c:v>
                </c:pt>
                <c:pt idx="951">
                  <c:v>1959.2917</c:v>
                </c:pt>
                <c:pt idx="952">
                  <c:v>1959.375</c:v>
                </c:pt>
                <c:pt idx="953">
                  <c:v>1959.4583</c:v>
                </c:pt>
                <c:pt idx="954">
                  <c:v>1959.5417</c:v>
                </c:pt>
                <c:pt idx="955">
                  <c:v>1959.625</c:v>
                </c:pt>
                <c:pt idx="956">
                  <c:v>1959.7083</c:v>
                </c:pt>
                <c:pt idx="957">
                  <c:v>1959.7917</c:v>
                </c:pt>
                <c:pt idx="958">
                  <c:v>1959.875</c:v>
                </c:pt>
                <c:pt idx="959">
                  <c:v>1959.9583</c:v>
                </c:pt>
                <c:pt idx="960">
                  <c:v>1960.0417</c:v>
                </c:pt>
                <c:pt idx="961">
                  <c:v>1960.125</c:v>
                </c:pt>
                <c:pt idx="962">
                  <c:v>1960.2083</c:v>
                </c:pt>
                <c:pt idx="963">
                  <c:v>1960.2917</c:v>
                </c:pt>
                <c:pt idx="964">
                  <c:v>1960.375</c:v>
                </c:pt>
                <c:pt idx="965">
                  <c:v>1960.4583</c:v>
                </c:pt>
                <c:pt idx="966">
                  <c:v>1960.5417</c:v>
                </c:pt>
                <c:pt idx="967">
                  <c:v>1960.625</c:v>
                </c:pt>
                <c:pt idx="968">
                  <c:v>1960.7083</c:v>
                </c:pt>
                <c:pt idx="969">
                  <c:v>1960.7917</c:v>
                </c:pt>
                <c:pt idx="970">
                  <c:v>1960.875</c:v>
                </c:pt>
                <c:pt idx="971">
                  <c:v>1960.9583</c:v>
                </c:pt>
                <c:pt idx="972">
                  <c:v>1961.0417</c:v>
                </c:pt>
                <c:pt idx="973">
                  <c:v>1961.125</c:v>
                </c:pt>
                <c:pt idx="974">
                  <c:v>1961.2083</c:v>
                </c:pt>
                <c:pt idx="975">
                  <c:v>1961.2917</c:v>
                </c:pt>
                <c:pt idx="976">
                  <c:v>1961.375</c:v>
                </c:pt>
                <c:pt idx="977">
                  <c:v>1961.4583</c:v>
                </c:pt>
                <c:pt idx="978">
                  <c:v>1961.5417</c:v>
                </c:pt>
                <c:pt idx="979">
                  <c:v>1961.625</c:v>
                </c:pt>
                <c:pt idx="980">
                  <c:v>1961.7083</c:v>
                </c:pt>
                <c:pt idx="981">
                  <c:v>1961.7917</c:v>
                </c:pt>
                <c:pt idx="982">
                  <c:v>1961.875</c:v>
                </c:pt>
                <c:pt idx="983">
                  <c:v>1961.9583</c:v>
                </c:pt>
                <c:pt idx="984">
                  <c:v>1962.0417</c:v>
                </c:pt>
                <c:pt idx="985">
                  <c:v>1962.125</c:v>
                </c:pt>
                <c:pt idx="986">
                  <c:v>1962.2083</c:v>
                </c:pt>
                <c:pt idx="987">
                  <c:v>1962.2917</c:v>
                </c:pt>
                <c:pt idx="988">
                  <c:v>1962.375</c:v>
                </c:pt>
                <c:pt idx="989">
                  <c:v>1962.4583</c:v>
                </c:pt>
                <c:pt idx="990">
                  <c:v>1962.5417</c:v>
                </c:pt>
                <c:pt idx="991">
                  <c:v>1962.625</c:v>
                </c:pt>
                <c:pt idx="992">
                  <c:v>1962.7083</c:v>
                </c:pt>
                <c:pt idx="993">
                  <c:v>1962.7917</c:v>
                </c:pt>
                <c:pt idx="994">
                  <c:v>1962.875</c:v>
                </c:pt>
                <c:pt idx="995">
                  <c:v>1962.9583</c:v>
                </c:pt>
                <c:pt idx="996">
                  <c:v>1963.0417</c:v>
                </c:pt>
                <c:pt idx="997">
                  <c:v>1963.125</c:v>
                </c:pt>
                <c:pt idx="998">
                  <c:v>1963.2083</c:v>
                </c:pt>
                <c:pt idx="999">
                  <c:v>1963.2917</c:v>
                </c:pt>
                <c:pt idx="1000">
                  <c:v>1963.375</c:v>
                </c:pt>
                <c:pt idx="1001">
                  <c:v>1963.4583</c:v>
                </c:pt>
                <c:pt idx="1002">
                  <c:v>1963.5417</c:v>
                </c:pt>
                <c:pt idx="1003">
                  <c:v>1963.625</c:v>
                </c:pt>
                <c:pt idx="1004">
                  <c:v>1963.7083</c:v>
                </c:pt>
                <c:pt idx="1005">
                  <c:v>1963.7917</c:v>
                </c:pt>
                <c:pt idx="1006">
                  <c:v>1963.875</c:v>
                </c:pt>
                <c:pt idx="1007">
                  <c:v>1963.9583</c:v>
                </c:pt>
                <c:pt idx="1008">
                  <c:v>1964.0417</c:v>
                </c:pt>
                <c:pt idx="1009">
                  <c:v>1964.125</c:v>
                </c:pt>
                <c:pt idx="1010">
                  <c:v>1964.2083</c:v>
                </c:pt>
                <c:pt idx="1011">
                  <c:v>1964.2917</c:v>
                </c:pt>
                <c:pt idx="1012">
                  <c:v>1964.375</c:v>
                </c:pt>
                <c:pt idx="1013">
                  <c:v>1964.4583</c:v>
                </c:pt>
                <c:pt idx="1014">
                  <c:v>1964.5417</c:v>
                </c:pt>
                <c:pt idx="1015">
                  <c:v>1964.625</c:v>
                </c:pt>
                <c:pt idx="1016">
                  <c:v>1964.7083</c:v>
                </c:pt>
                <c:pt idx="1017">
                  <c:v>1964.7917</c:v>
                </c:pt>
                <c:pt idx="1018">
                  <c:v>1964.875</c:v>
                </c:pt>
                <c:pt idx="1019">
                  <c:v>1964.9583</c:v>
                </c:pt>
                <c:pt idx="1020">
                  <c:v>1965.0417</c:v>
                </c:pt>
                <c:pt idx="1021">
                  <c:v>1965.125</c:v>
                </c:pt>
                <c:pt idx="1022">
                  <c:v>1965.2083</c:v>
                </c:pt>
                <c:pt idx="1023">
                  <c:v>1965.2917</c:v>
                </c:pt>
                <c:pt idx="1024">
                  <c:v>1965.375</c:v>
                </c:pt>
                <c:pt idx="1025">
                  <c:v>1965.4583</c:v>
                </c:pt>
                <c:pt idx="1026">
                  <c:v>1965.5417</c:v>
                </c:pt>
                <c:pt idx="1027">
                  <c:v>1965.625</c:v>
                </c:pt>
                <c:pt idx="1028">
                  <c:v>1965.7083</c:v>
                </c:pt>
                <c:pt idx="1029">
                  <c:v>1965.7917</c:v>
                </c:pt>
                <c:pt idx="1030">
                  <c:v>1965.875</c:v>
                </c:pt>
                <c:pt idx="1031">
                  <c:v>1965.9583</c:v>
                </c:pt>
                <c:pt idx="1032">
                  <c:v>1966.0417</c:v>
                </c:pt>
                <c:pt idx="1033">
                  <c:v>1966.125</c:v>
                </c:pt>
                <c:pt idx="1034">
                  <c:v>1966.2083</c:v>
                </c:pt>
                <c:pt idx="1035">
                  <c:v>1966.2917</c:v>
                </c:pt>
                <c:pt idx="1036">
                  <c:v>1966.375</c:v>
                </c:pt>
                <c:pt idx="1037">
                  <c:v>1966.4583</c:v>
                </c:pt>
                <c:pt idx="1038">
                  <c:v>1966.5417</c:v>
                </c:pt>
                <c:pt idx="1039">
                  <c:v>1966.625</c:v>
                </c:pt>
                <c:pt idx="1040">
                  <c:v>1966.7083</c:v>
                </c:pt>
                <c:pt idx="1041">
                  <c:v>1966.7917</c:v>
                </c:pt>
                <c:pt idx="1042">
                  <c:v>1966.875</c:v>
                </c:pt>
                <c:pt idx="1043">
                  <c:v>1966.9583</c:v>
                </c:pt>
                <c:pt idx="1044">
                  <c:v>1967.0417</c:v>
                </c:pt>
                <c:pt idx="1045">
                  <c:v>1967.125</c:v>
                </c:pt>
                <c:pt idx="1046">
                  <c:v>1967.2083</c:v>
                </c:pt>
                <c:pt idx="1047">
                  <c:v>1967.2917</c:v>
                </c:pt>
                <c:pt idx="1048">
                  <c:v>1967.375</c:v>
                </c:pt>
                <c:pt idx="1049">
                  <c:v>1967.4583</c:v>
                </c:pt>
                <c:pt idx="1050">
                  <c:v>1967.5417</c:v>
                </c:pt>
                <c:pt idx="1051">
                  <c:v>1967.625</c:v>
                </c:pt>
                <c:pt idx="1052">
                  <c:v>1967.7083</c:v>
                </c:pt>
                <c:pt idx="1053">
                  <c:v>1967.7917</c:v>
                </c:pt>
                <c:pt idx="1054">
                  <c:v>1967.875</c:v>
                </c:pt>
                <c:pt idx="1055">
                  <c:v>1967.9583</c:v>
                </c:pt>
                <c:pt idx="1056">
                  <c:v>1968.0417</c:v>
                </c:pt>
                <c:pt idx="1057">
                  <c:v>1968.125</c:v>
                </c:pt>
                <c:pt idx="1058">
                  <c:v>1968.2083</c:v>
                </c:pt>
                <c:pt idx="1059">
                  <c:v>1968.2917</c:v>
                </c:pt>
                <c:pt idx="1060">
                  <c:v>1968.375</c:v>
                </c:pt>
                <c:pt idx="1061">
                  <c:v>1968.4583</c:v>
                </c:pt>
                <c:pt idx="1062">
                  <c:v>1968.5417</c:v>
                </c:pt>
                <c:pt idx="1063">
                  <c:v>1968.625</c:v>
                </c:pt>
                <c:pt idx="1064">
                  <c:v>1968.7083</c:v>
                </c:pt>
                <c:pt idx="1065">
                  <c:v>1968.7917</c:v>
                </c:pt>
                <c:pt idx="1066">
                  <c:v>1968.875</c:v>
                </c:pt>
                <c:pt idx="1067">
                  <c:v>1968.9583</c:v>
                </c:pt>
                <c:pt idx="1068">
                  <c:v>1969.0417</c:v>
                </c:pt>
                <c:pt idx="1069">
                  <c:v>1969.125</c:v>
                </c:pt>
                <c:pt idx="1070">
                  <c:v>1969.2083</c:v>
                </c:pt>
                <c:pt idx="1071">
                  <c:v>1969.2917</c:v>
                </c:pt>
                <c:pt idx="1072">
                  <c:v>1969.375</c:v>
                </c:pt>
                <c:pt idx="1073">
                  <c:v>1969.4583</c:v>
                </c:pt>
                <c:pt idx="1074">
                  <c:v>1969.5417</c:v>
                </c:pt>
                <c:pt idx="1075">
                  <c:v>1969.625</c:v>
                </c:pt>
                <c:pt idx="1076">
                  <c:v>1969.7083</c:v>
                </c:pt>
                <c:pt idx="1077">
                  <c:v>1969.7917</c:v>
                </c:pt>
                <c:pt idx="1078">
                  <c:v>1969.875</c:v>
                </c:pt>
                <c:pt idx="1079">
                  <c:v>1969.9583</c:v>
                </c:pt>
                <c:pt idx="1080">
                  <c:v>1970.0417</c:v>
                </c:pt>
                <c:pt idx="1081">
                  <c:v>1970.125</c:v>
                </c:pt>
                <c:pt idx="1082">
                  <c:v>1970.2083</c:v>
                </c:pt>
                <c:pt idx="1083">
                  <c:v>1970.2917</c:v>
                </c:pt>
                <c:pt idx="1084">
                  <c:v>1970.375</c:v>
                </c:pt>
                <c:pt idx="1085">
                  <c:v>1970.4583</c:v>
                </c:pt>
                <c:pt idx="1086">
                  <c:v>1970.5417</c:v>
                </c:pt>
                <c:pt idx="1087">
                  <c:v>1970.625</c:v>
                </c:pt>
                <c:pt idx="1088">
                  <c:v>1970.7083</c:v>
                </c:pt>
                <c:pt idx="1089">
                  <c:v>1970.7917</c:v>
                </c:pt>
                <c:pt idx="1090">
                  <c:v>1970.875</c:v>
                </c:pt>
                <c:pt idx="1091">
                  <c:v>1970.9583</c:v>
                </c:pt>
                <c:pt idx="1092">
                  <c:v>1971.0417</c:v>
                </c:pt>
                <c:pt idx="1093">
                  <c:v>1971.125</c:v>
                </c:pt>
                <c:pt idx="1094">
                  <c:v>1971.2083</c:v>
                </c:pt>
                <c:pt idx="1095">
                  <c:v>1971.2917</c:v>
                </c:pt>
                <c:pt idx="1096">
                  <c:v>1971.375</c:v>
                </c:pt>
                <c:pt idx="1097">
                  <c:v>1971.4583</c:v>
                </c:pt>
                <c:pt idx="1098">
                  <c:v>1971.5417</c:v>
                </c:pt>
                <c:pt idx="1099">
                  <c:v>1971.625</c:v>
                </c:pt>
                <c:pt idx="1100">
                  <c:v>1971.7083</c:v>
                </c:pt>
                <c:pt idx="1101">
                  <c:v>1971.7917</c:v>
                </c:pt>
                <c:pt idx="1102">
                  <c:v>1971.875</c:v>
                </c:pt>
                <c:pt idx="1103">
                  <c:v>1971.9583</c:v>
                </c:pt>
                <c:pt idx="1104">
                  <c:v>1972.0417</c:v>
                </c:pt>
                <c:pt idx="1105">
                  <c:v>1972.125</c:v>
                </c:pt>
                <c:pt idx="1106">
                  <c:v>1972.2083</c:v>
                </c:pt>
                <c:pt idx="1107">
                  <c:v>1972.2917</c:v>
                </c:pt>
                <c:pt idx="1108">
                  <c:v>1972.375</c:v>
                </c:pt>
                <c:pt idx="1109">
                  <c:v>1972.4583</c:v>
                </c:pt>
                <c:pt idx="1110">
                  <c:v>1972.5417</c:v>
                </c:pt>
                <c:pt idx="1111">
                  <c:v>1972.625</c:v>
                </c:pt>
                <c:pt idx="1112">
                  <c:v>1972.7083</c:v>
                </c:pt>
                <c:pt idx="1113">
                  <c:v>1972.7917</c:v>
                </c:pt>
                <c:pt idx="1114">
                  <c:v>1972.875</c:v>
                </c:pt>
                <c:pt idx="1115">
                  <c:v>1972.9583</c:v>
                </c:pt>
                <c:pt idx="1116">
                  <c:v>1973.0417</c:v>
                </c:pt>
                <c:pt idx="1117">
                  <c:v>1973.125</c:v>
                </c:pt>
                <c:pt idx="1118">
                  <c:v>1973.2083</c:v>
                </c:pt>
                <c:pt idx="1119">
                  <c:v>1973.2917</c:v>
                </c:pt>
                <c:pt idx="1120">
                  <c:v>1973.375</c:v>
                </c:pt>
                <c:pt idx="1121">
                  <c:v>1973.4583</c:v>
                </c:pt>
                <c:pt idx="1122">
                  <c:v>1973.5417</c:v>
                </c:pt>
                <c:pt idx="1123">
                  <c:v>1973.625</c:v>
                </c:pt>
                <c:pt idx="1124">
                  <c:v>1973.7083</c:v>
                </c:pt>
                <c:pt idx="1125">
                  <c:v>1973.7917</c:v>
                </c:pt>
                <c:pt idx="1126">
                  <c:v>1973.875</c:v>
                </c:pt>
                <c:pt idx="1127">
                  <c:v>1973.9583</c:v>
                </c:pt>
                <c:pt idx="1128">
                  <c:v>1974.0417</c:v>
                </c:pt>
                <c:pt idx="1129">
                  <c:v>1974.125</c:v>
                </c:pt>
                <c:pt idx="1130">
                  <c:v>1974.2083</c:v>
                </c:pt>
                <c:pt idx="1131">
                  <c:v>1974.2917</c:v>
                </c:pt>
                <c:pt idx="1132">
                  <c:v>1974.375</c:v>
                </c:pt>
                <c:pt idx="1133">
                  <c:v>1974.4583</c:v>
                </c:pt>
                <c:pt idx="1134">
                  <c:v>1974.5417</c:v>
                </c:pt>
                <c:pt idx="1135">
                  <c:v>1974.625</c:v>
                </c:pt>
                <c:pt idx="1136">
                  <c:v>1974.7083</c:v>
                </c:pt>
                <c:pt idx="1137">
                  <c:v>1974.7917</c:v>
                </c:pt>
                <c:pt idx="1138">
                  <c:v>1974.875</c:v>
                </c:pt>
                <c:pt idx="1139">
                  <c:v>1974.9583</c:v>
                </c:pt>
                <c:pt idx="1140">
                  <c:v>1975.0417</c:v>
                </c:pt>
                <c:pt idx="1141">
                  <c:v>1975.125</c:v>
                </c:pt>
                <c:pt idx="1142">
                  <c:v>1975.2083</c:v>
                </c:pt>
                <c:pt idx="1143">
                  <c:v>1975.2917</c:v>
                </c:pt>
                <c:pt idx="1144">
                  <c:v>1975.375</c:v>
                </c:pt>
                <c:pt idx="1145">
                  <c:v>1975.4583</c:v>
                </c:pt>
                <c:pt idx="1146">
                  <c:v>1975.5417</c:v>
                </c:pt>
                <c:pt idx="1147">
                  <c:v>1975.625</c:v>
                </c:pt>
                <c:pt idx="1148">
                  <c:v>1975.7083</c:v>
                </c:pt>
                <c:pt idx="1149">
                  <c:v>1975.7917</c:v>
                </c:pt>
                <c:pt idx="1150">
                  <c:v>1975.875</c:v>
                </c:pt>
                <c:pt idx="1151">
                  <c:v>1975.9583</c:v>
                </c:pt>
                <c:pt idx="1152">
                  <c:v>1976.0417</c:v>
                </c:pt>
                <c:pt idx="1153">
                  <c:v>1976.125</c:v>
                </c:pt>
                <c:pt idx="1154">
                  <c:v>1976.2083</c:v>
                </c:pt>
                <c:pt idx="1155">
                  <c:v>1976.2917</c:v>
                </c:pt>
                <c:pt idx="1156">
                  <c:v>1976.375</c:v>
                </c:pt>
                <c:pt idx="1157">
                  <c:v>1976.4583</c:v>
                </c:pt>
                <c:pt idx="1158">
                  <c:v>1976.5417</c:v>
                </c:pt>
                <c:pt idx="1159">
                  <c:v>1976.625</c:v>
                </c:pt>
                <c:pt idx="1160">
                  <c:v>1976.7083</c:v>
                </c:pt>
                <c:pt idx="1161">
                  <c:v>1976.7917</c:v>
                </c:pt>
                <c:pt idx="1162">
                  <c:v>1976.875</c:v>
                </c:pt>
                <c:pt idx="1163">
                  <c:v>1976.9583</c:v>
                </c:pt>
                <c:pt idx="1164">
                  <c:v>1977.0417</c:v>
                </c:pt>
                <c:pt idx="1165">
                  <c:v>1977.125</c:v>
                </c:pt>
                <c:pt idx="1166">
                  <c:v>1977.2083</c:v>
                </c:pt>
                <c:pt idx="1167">
                  <c:v>1977.2917</c:v>
                </c:pt>
                <c:pt idx="1168">
                  <c:v>1977.375</c:v>
                </c:pt>
                <c:pt idx="1169">
                  <c:v>1977.4583</c:v>
                </c:pt>
                <c:pt idx="1170">
                  <c:v>1977.5417</c:v>
                </c:pt>
                <c:pt idx="1171">
                  <c:v>1977.625</c:v>
                </c:pt>
                <c:pt idx="1172">
                  <c:v>1977.7083</c:v>
                </c:pt>
                <c:pt idx="1173">
                  <c:v>1977.7917</c:v>
                </c:pt>
                <c:pt idx="1174">
                  <c:v>1977.875</c:v>
                </c:pt>
                <c:pt idx="1175">
                  <c:v>1977.9583</c:v>
                </c:pt>
                <c:pt idx="1176">
                  <c:v>1978.0417</c:v>
                </c:pt>
                <c:pt idx="1177">
                  <c:v>1978.125</c:v>
                </c:pt>
                <c:pt idx="1178">
                  <c:v>1978.2083</c:v>
                </c:pt>
                <c:pt idx="1179">
                  <c:v>1978.2917</c:v>
                </c:pt>
                <c:pt idx="1180">
                  <c:v>1978.375</c:v>
                </c:pt>
                <c:pt idx="1181">
                  <c:v>1978.4583</c:v>
                </c:pt>
                <c:pt idx="1182">
                  <c:v>1978.5417</c:v>
                </c:pt>
                <c:pt idx="1183">
                  <c:v>1978.625</c:v>
                </c:pt>
                <c:pt idx="1184">
                  <c:v>1978.7083</c:v>
                </c:pt>
                <c:pt idx="1185">
                  <c:v>1978.7917</c:v>
                </c:pt>
                <c:pt idx="1186">
                  <c:v>1978.875</c:v>
                </c:pt>
                <c:pt idx="1187">
                  <c:v>1978.9583</c:v>
                </c:pt>
                <c:pt idx="1188">
                  <c:v>1979.0417</c:v>
                </c:pt>
                <c:pt idx="1189">
                  <c:v>1979.125</c:v>
                </c:pt>
                <c:pt idx="1190">
                  <c:v>1979.2083</c:v>
                </c:pt>
                <c:pt idx="1191">
                  <c:v>1979.2917</c:v>
                </c:pt>
                <c:pt idx="1192">
                  <c:v>1979.375</c:v>
                </c:pt>
                <c:pt idx="1193">
                  <c:v>1979.4583</c:v>
                </c:pt>
                <c:pt idx="1194">
                  <c:v>1979.5417</c:v>
                </c:pt>
                <c:pt idx="1195">
                  <c:v>1979.625</c:v>
                </c:pt>
                <c:pt idx="1196">
                  <c:v>1979.7083</c:v>
                </c:pt>
                <c:pt idx="1197">
                  <c:v>1979.7917</c:v>
                </c:pt>
                <c:pt idx="1198">
                  <c:v>1979.875</c:v>
                </c:pt>
                <c:pt idx="1199">
                  <c:v>1979.9583</c:v>
                </c:pt>
                <c:pt idx="1200">
                  <c:v>1980.0417</c:v>
                </c:pt>
                <c:pt idx="1201">
                  <c:v>1980.125</c:v>
                </c:pt>
                <c:pt idx="1202">
                  <c:v>1980.2083</c:v>
                </c:pt>
                <c:pt idx="1203">
                  <c:v>1980.2917</c:v>
                </c:pt>
                <c:pt idx="1204">
                  <c:v>1980.375</c:v>
                </c:pt>
                <c:pt idx="1205">
                  <c:v>1980.4583</c:v>
                </c:pt>
                <c:pt idx="1206">
                  <c:v>1980.5417</c:v>
                </c:pt>
                <c:pt idx="1207">
                  <c:v>1980.625</c:v>
                </c:pt>
                <c:pt idx="1208">
                  <c:v>1980.7083</c:v>
                </c:pt>
                <c:pt idx="1209">
                  <c:v>1980.7917</c:v>
                </c:pt>
                <c:pt idx="1210">
                  <c:v>1980.875</c:v>
                </c:pt>
                <c:pt idx="1211">
                  <c:v>1980.9583</c:v>
                </c:pt>
                <c:pt idx="1212">
                  <c:v>1981.0417</c:v>
                </c:pt>
                <c:pt idx="1213">
                  <c:v>1981.125</c:v>
                </c:pt>
                <c:pt idx="1214">
                  <c:v>1981.2083</c:v>
                </c:pt>
                <c:pt idx="1215">
                  <c:v>1981.2917</c:v>
                </c:pt>
                <c:pt idx="1216">
                  <c:v>1981.375</c:v>
                </c:pt>
                <c:pt idx="1217">
                  <c:v>1981.4583</c:v>
                </c:pt>
                <c:pt idx="1218">
                  <c:v>1981.5417</c:v>
                </c:pt>
                <c:pt idx="1219">
                  <c:v>1981.625</c:v>
                </c:pt>
                <c:pt idx="1220">
                  <c:v>1981.7083</c:v>
                </c:pt>
                <c:pt idx="1221">
                  <c:v>1981.7917</c:v>
                </c:pt>
                <c:pt idx="1222">
                  <c:v>1981.875</c:v>
                </c:pt>
                <c:pt idx="1223">
                  <c:v>1981.9583</c:v>
                </c:pt>
                <c:pt idx="1224">
                  <c:v>1982.0417</c:v>
                </c:pt>
                <c:pt idx="1225">
                  <c:v>1982.125</c:v>
                </c:pt>
                <c:pt idx="1226">
                  <c:v>1982.2083</c:v>
                </c:pt>
                <c:pt idx="1227">
                  <c:v>1982.2917</c:v>
                </c:pt>
                <c:pt idx="1228">
                  <c:v>1982.375</c:v>
                </c:pt>
                <c:pt idx="1229">
                  <c:v>1982.4583</c:v>
                </c:pt>
                <c:pt idx="1230">
                  <c:v>1982.5417</c:v>
                </c:pt>
                <c:pt idx="1231">
                  <c:v>1982.625</c:v>
                </c:pt>
                <c:pt idx="1232">
                  <c:v>1982.7083</c:v>
                </c:pt>
                <c:pt idx="1233">
                  <c:v>1982.7917</c:v>
                </c:pt>
                <c:pt idx="1234">
                  <c:v>1982.875</c:v>
                </c:pt>
                <c:pt idx="1235">
                  <c:v>1982.9583</c:v>
                </c:pt>
                <c:pt idx="1236">
                  <c:v>1983.0417</c:v>
                </c:pt>
                <c:pt idx="1237">
                  <c:v>1983.125</c:v>
                </c:pt>
                <c:pt idx="1238">
                  <c:v>1983.2083</c:v>
                </c:pt>
                <c:pt idx="1239">
                  <c:v>1983.2917</c:v>
                </c:pt>
                <c:pt idx="1240">
                  <c:v>1983.375</c:v>
                </c:pt>
                <c:pt idx="1241">
                  <c:v>1983.4583</c:v>
                </c:pt>
                <c:pt idx="1242">
                  <c:v>1983.5417</c:v>
                </c:pt>
                <c:pt idx="1243">
                  <c:v>1983.625</c:v>
                </c:pt>
                <c:pt idx="1244">
                  <c:v>1983.7083</c:v>
                </c:pt>
                <c:pt idx="1245">
                  <c:v>1983.7917</c:v>
                </c:pt>
                <c:pt idx="1246">
                  <c:v>1983.875</c:v>
                </c:pt>
                <c:pt idx="1247">
                  <c:v>1983.9583</c:v>
                </c:pt>
                <c:pt idx="1248">
                  <c:v>1984.0417</c:v>
                </c:pt>
                <c:pt idx="1249">
                  <c:v>1984.125</c:v>
                </c:pt>
                <c:pt idx="1250">
                  <c:v>1984.2083</c:v>
                </c:pt>
                <c:pt idx="1251">
                  <c:v>1984.2917</c:v>
                </c:pt>
                <c:pt idx="1252">
                  <c:v>1984.375</c:v>
                </c:pt>
                <c:pt idx="1253">
                  <c:v>1984.4583</c:v>
                </c:pt>
                <c:pt idx="1254">
                  <c:v>1984.5417</c:v>
                </c:pt>
                <c:pt idx="1255">
                  <c:v>1984.625</c:v>
                </c:pt>
                <c:pt idx="1256">
                  <c:v>1984.7083</c:v>
                </c:pt>
                <c:pt idx="1257">
                  <c:v>1984.7917</c:v>
                </c:pt>
                <c:pt idx="1258">
                  <c:v>1984.875</c:v>
                </c:pt>
                <c:pt idx="1259">
                  <c:v>1984.9583</c:v>
                </c:pt>
                <c:pt idx="1260">
                  <c:v>1985.0417</c:v>
                </c:pt>
                <c:pt idx="1261">
                  <c:v>1985.125</c:v>
                </c:pt>
                <c:pt idx="1262">
                  <c:v>1985.2083</c:v>
                </c:pt>
                <c:pt idx="1263">
                  <c:v>1985.2917</c:v>
                </c:pt>
                <c:pt idx="1264">
                  <c:v>1985.375</c:v>
                </c:pt>
                <c:pt idx="1265">
                  <c:v>1985.4583</c:v>
                </c:pt>
                <c:pt idx="1266">
                  <c:v>1985.5417</c:v>
                </c:pt>
                <c:pt idx="1267">
                  <c:v>1985.625</c:v>
                </c:pt>
                <c:pt idx="1268">
                  <c:v>1985.7083</c:v>
                </c:pt>
                <c:pt idx="1269">
                  <c:v>1985.7917</c:v>
                </c:pt>
                <c:pt idx="1270">
                  <c:v>1985.875</c:v>
                </c:pt>
                <c:pt idx="1271">
                  <c:v>1985.9583</c:v>
                </c:pt>
                <c:pt idx="1272">
                  <c:v>1986.0417</c:v>
                </c:pt>
                <c:pt idx="1273">
                  <c:v>1986.125</c:v>
                </c:pt>
                <c:pt idx="1274">
                  <c:v>1986.2083</c:v>
                </c:pt>
                <c:pt idx="1275">
                  <c:v>1986.2917</c:v>
                </c:pt>
                <c:pt idx="1276">
                  <c:v>1986.375</c:v>
                </c:pt>
                <c:pt idx="1277">
                  <c:v>1986.4583</c:v>
                </c:pt>
                <c:pt idx="1278">
                  <c:v>1986.5417</c:v>
                </c:pt>
                <c:pt idx="1279">
                  <c:v>1986.625</c:v>
                </c:pt>
                <c:pt idx="1280">
                  <c:v>1986.7083</c:v>
                </c:pt>
                <c:pt idx="1281">
                  <c:v>1986.7917</c:v>
                </c:pt>
                <c:pt idx="1282">
                  <c:v>1986.875</c:v>
                </c:pt>
                <c:pt idx="1283">
                  <c:v>1986.9583</c:v>
                </c:pt>
                <c:pt idx="1284">
                  <c:v>1987.0417</c:v>
                </c:pt>
                <c:pt idx="1285">
                  <c:v>1987.125</c:v>
                </c:pt>
                <c:pt idx="1286">
                  <c:v>1987.2083</c:v>
                </c:pt>
                <c:pt idx="1287">
                  <c:v>1987.2917</c:v>
                </c:pt>
                <c:pt idx="1288">
                  <c:v>1987.375</c:v>
                </c:pt>
                <c:pt idx="1289">
                  <c:v>1987.4583</c:v>
                </c:pt>
                <c:pt idx="1290">
                  <c:v>1987.5417</c:v>
                </c:pt>
                <c:pt idx="1291">
                  <c:v>1987.625</c:v>
                </c:pt>
                <c:pt idx="1292">
                  <c:v>1987.7083</c:v>
                </c:pt>
                <c:pt idx="1293">
                  <c:v>1987.7917</c:v>
                </c:pt>
                <c:pt idx="1294">
                  <c:v>1987.875</c:v>
                </c:pt>
                <c:pt idx="1295">
                  <c:v>1987.9583</c:v>
                </c:pt>
                <c:pt idx="1296">
                  <c:v>1988.0417</c:v>
                </c:pt>
                <c:pt idx="1297">
                  <c:v>1988.125</c:v>
                </c:pt>
                <c:pt idx="1298">
                  <c:v>1988.2083</c:v>
                </c:pt>
                <c:pt idx="1299">
                  <c:v>1988.2917</c:v>
                </c:pt>
                <c:pt idx="1300">
                  <c:v>1988.375</c:v>
                </c:pt>
                <c:pt idx="1301">
                  <c:v>1988.4583</c:v>
                </c:pt>
                <c:pt idx="1302">
                  <c:v>1988.5417</c:v>
                </c:pt>
                <c:pt idx="1303">
                  <c:v>1988.625</c:v>
                </c:pt>
                <c:pt idx="1304">
                  <c:v>1988.7083</c:v>
                </c:pt>
                <c:pt idx="1305">
                  <c:v>1988.7917</c:v>
                </c:pt>
                <c:pt idx="1306">
                  <c:v>1988.875</c:v>
                </c:pt>
                <c:pt idx="1307">
                  <c:v>1988.9583</c:v>
                </c:pt>
                <c:pt idx="1308">
                  <c:v>1989.0417</c:v>
                </c:pt>
                <c:pt idx="1309">
                  <c:v>1989.125</c:v>
                </c:pt>
                <c:pt idx="1310">
                  <c:v>1989.2083</c:v>
                </c:pt>
                <c:pt idx="1311">
                  <c:v>1989.2917</c:v>
                </c:pt>
                <c:pt idx="1312">
                  <c:v>1989.375</c:v>
                </c:pt>
                <c:pt idx="1313">
                  <c:v>1989.4583</c:v>
                </c:pt>
                <c:pt idx="1314">
                  <c:v>1989.5417</c:v>
                </c:pt>
                <c:pt idx="1315">
                  <c:v>1989.625</c:v>
                </c:pt>
                <c:pt idx="1316">
                  <c:v>1989.7083</c:v>
                </c:pt>
                <c:pt idx="1317">
                  <c:v>1989.7917</c:v>
                </c:pt>
                <c:pt idx="1318">
                  <c:v>1989.875</c:v>
                </c:pt>
                <c:pt idx="1319">
                  <c:v>1989.9583</c:v>
                </c:pt>
                <c:pt idx="1320">
                  <c:v>1990.0417</c:v>
                </c:pt>
                <c:pt idx="1321">
                  <c:v>1990.125</c:v>
                </c:pt>
                <c:pt idx="1322">
                  <c:v>1990.2083</c:v>
                </c:pt>
                <c:pt idx="1323">
                  <c:v>1990.2917</c:v>
                </c:pt>
                <c:pt idx="1324">
                  <c:v>1990.375</c:v>
                </c:pt>
                <c:pt idx="1325">
                  <c:v>1990.4583</c:v>
                </c:pt>
                <c:pt idx="1326">
                  <c:v>1990.5417</c:v>
                </c:pt>
                <c:pt idx="1327">
                  <c:v>1990.625</c:v>
                </c:pt>
                <c:pt idx="1328">
                  <c:v>1990.7083</c:v>
                </c:pt>
                <c:pt idx="1329">
                  <c:v>1990.7917</c:v>
                </c:pt>
                <c:pt idx="1330">
                  <c:v>1990.875</c:v>
                </c:pt>
                <c:pt idx="1331">
                  <c:v>1990.9583</c:v>
                </c:pt>
                <c:pt idx="1332">
                  <c:v>1991.0417</c:v>
                </c:pt>
                <c:pt idx="1333">
                  <c:v>1991.125</c:v>
                </c:pt>
                <c:pt idx="1334">
                  <c:v>1991.2083</c:v>
                </c:pt>
                <c:pt idx="1335">
                  <c:v>1991.2917</c:v>
                </c:pt>
                <c:pt idx="1336">
                  <c:v>1991.375</c:v>
                </c:pt>
                <c:pt idx="1337">
                  <c:v>1991.4583</c:v>
                </c:pt>
                <c:pt idx="1338">
                  <c:v>1991.5417</c:v>
                </c:pt>
                <c:pt idx="1339">
                  <c:v>1991.625</c:v>
                </c:pt>
                <c:pt idx="1340">
                  <c:v>1991.7083</c:v>
                </c:pt>
                <c:pt idx="1341">
                  <c:v>1991.7917</c:v>
                </c:pt>
                <c:pt idx="1342">
                  <c:v>1991.875</c:v>
                </c:pt>
                <c:pt idx="1343">
                  <c:v>1991.9583</c:v>
                </c:pt>
                <c:pt idx="1344">
                  <c:v>1992.0417</c:v>
                </c:pt>
                <c:pt idx="1345">
                  <c:v>1992.125</c:v>
                </c:pt>
                <c:pt idx="1346">
                  <c:v>1992.2083</c:v>
                </c:pt>
                <c:pt idx="1347">
                  <c:v>1992.2917</c:v>
                </c:pt>
                <c:pt idx="1348">
                  <c:v>1992.375</c:v>
                </c:pt>
                <c:pt idx="1349">
                  <c:v>1992.4583</c:v>
                </c:pt>
                <c:pt idx="1350">
                  <c:v>1992.5417</c:v>
                </c:pt>
                <c:pt idx="1351">
                  <c:v>1992.625</c:v>
                </c:pt>
                <c:pt idx="1352">
                  <c:v>1992.7083</c:v>
                </c:pt>
                <c:pt idx="1353">
                  <c:v>1992.7917</c:v>
                </c:pt>
                <c:pt idx="1354">
                  <c:v>1992.875</c:v>
                </c:pt>
                <c:pt idx="1355">
                  <c:v>1992.9583</c:v>
                </c:pt>
                <c:pt idx="1356">
                  <c:v>1993.0417</c:v>
                </c:pt>
                <c:pt idx="1357">
                  <c:v>1993.125</c:v>
                </c:pt>
                <c:pt idx="1358">
                  <c:v>1993.2083</c:v>
                </c:pt>
                <c:pt idx="1359">
                  <c:v>1993.2917</c:v>
                </c:pt>
                <c:pt idx="1360">
                  <c:v>1993.375</c:v>
                </c:pt>
                <c:pt idx="1361">
                  <c:v>1993.4583</c:v>
                </c:pt>
                <c:pt idx="1362">
                  <c:v>1993.5417</c:v>
                </c:pt>
                <c:pt idx="1363">
                  <c:v>1993.625</c:v>
                </c:pt>
                <c:pt idx="1364">
                  <c:v>1993.7083</c:v>
                </c:pt>
                <c:pt idx="1365">
                  <c:v>1993.7917</c:v>
                </c:pt>
                <c:pt idx="1366">
                  <c:v>1993.875</c:v>
                </c:pt>
                <c:pt idx="1367">
                  <c:v>1993.9583</c:v>
                </c:pt>
                <c:pt idx="1368">
                  <c:v>1994.0417</c:v>
                </c:pt>
                <c:pt idx="1369">
                  <c:v>1994.125</c:v>
                </c:pt>
                <c:pt idx="1370">
                  <c:v>1994.2083</c:v>
                </c:pt>
                <c:pt idx="1371">
                  <c:v>1994.2917</c:v>
                </c:pt>
                <c:pt idx="1372">
                  <c:v>1994.375</c:v>
                </c:pt>
                <c:pt idx="1373">
                  <c:v>1994.4583</c:v>
                </c:pt>
                <c:pt idx="1374">
                  <c:v>1994.5417</c:v>
                </c:pt>
                <c:pt idx="1375">
                  <c:v>1994.625</c:v>
                </c:pt>
                <c:pt idx="1376">
                  <c:v>1994.7083</c:v>
                </c:pt>
                <c:pt idx="1377">
                  <c:v>1994.7917</c:v>
                </c:pt>
                <c:pt idx="1378">
                  <c:v>1994.875</c:v>
                </c:pt>
                <c:pt idx="1379">
                  <c:v>1994.9583</c:v>
                </c:pt>
                <c:pt idx="1380">
                  <c:v>1995.0417</c:v>
                </c:pt>
                <c:pt idx="1381">
                  <c:v>1995.125</c:v>
                </c:pt>
                <c:pt idx="1382">
                  <c:v>1995.2083</c:v>
                </c:pt>
                <c:pt idx="1383">
                  <c:v>1995.2917</c:v>
                </c:pt>
                <c:pt idx="1384">
                  <c:v>1995.375</c:v>
                </c:pt>
                <c:pt idx="1385">
                  <c:v>1995.4583</c:v>
                </c:pt>
                <c:pt idx="1386">
                  <c:v>1995.5417</c:v>
                </c:pt>
                <c:pt idx="1387">
                  <c:v>1995.625</c:v>
                </c:pt>
                <c:pt idx="1388">
                  <c:v>1995.7083</c:v>
                </c:pt>
                <c:pt idx="1389">
                  <c:v>1995.7917</c:v>
                </c:pt>
                <c:pt idx="1390">
                  <c:v>1995.875</c:v>
                </c:pt>
                <c:pt idx="1391">
                  <c:v>1995.9583</c:v>
                </c:pt>
                <c:pt idx="1392">
                  <c:v>1996.0417</c:v>
                </c:pt>
                <c:pt idx="1393">
                  <c:v>1996.125</c:v>
                </c:pt>
                <c:pt idx="1394">
                  <c:v>1996.2083</c:v>
                </c:pt>
                <c:pt idx="1395">
                  <c:v>1996.2917</c:v>
                </c:pt>
                <c:pt idx="1396">
                  <c:v>1996.375</c:v>
                </c:pt>
                <c:pt idx="1397">
                  <c:v>1996.4583</c:v>
                </c:pt>
                <c:pt idx="1398">
                  <c:v>1996.5417</c:v>
                </c:pt>
                <c:pt idx="1399">
                  <c:v>1996.625</c:v>
                </c:pt>
                <c:pt idx="1400">
                  <c:v>1996.7083</c:v>
                </c:pt>
                <c:pt idx="1401">
                  <c:v>1996.7917</c:v>
                </c:pt>
                <c:pt idx="1402">
                  <c:v>1996.875</c:v>
                </c:pt>
                <c:pt idx="1403">
                  <c:v>1996.9583</c:v>
                </c:pt>
                <c:pt idx="1404">
                  <c:v>1997.0417</c:v>
                </c:pt>
                <c:pt idx="1405">
                  <c:v>1997.125</c:v>
                </c:pt>
                <c:pt idx="1406">
                  <c:v>1997.2083</c:v>
                </c:pt>
                <c:pt idx="1407">
                  <c:v>1997.2917</c:v>
                </c:pt>
                <c:pt idx="1408">
                  <c:v>1997.375</c:v>
                </c:pt>
                <c:pt idx="1409">
                  <c:v>1997.4583</c:v>
                </c:pt>
                <c:pt idx="1410">
                  <c:v>1997.5417</c:v>
                </c:pt>
                <c:pt idx="1411">
                  <c:v>1997.625</c:v>
                </c:pt>
                <c:pt idx="1412">
                  <c:v>1997.7083</c:v>
                </c:pt>
                <c:pt idx="1413">
                  <c:v>1997.7917</c:v>
                </c:pt>
                <c:pt idx="1414">
                  <c:v>1997.875</c:v>
                </c:pt>
                <c:pt idx="1415">
                  <c:v>1997.9583</c:v>
                </c:pt>
                <c:pt idx="1416">
                  <c:v>1998.0417</c:v>
                </c:pt>
                <c:pt idx="1417">
                  <c:v>1998.125</c:v>
                </c:pt>
                <c:pt idx="1418">
                  <c:v>1998.2083</c:v>
                </c:pt>
                <c:pt idx="1419">
                  <c:v>1998.2917</c:v>
                </c:pt>
                <c:pt idx="1420">
                  <c:v>1998.375</c:v>
                </c:pt>
                <c:pt idx="1421">
                  <c:v>1998.4583</c:v>
                </c:pt>
                <c:pt idx="1422">
                  <c:v>1998.5417</c:v>
                </c:pt>
                <c:pt idx="1423">
                  <c:v>1998.625</c:v>
                </c:pt>
                <c:pt idx="1424">
                  <c:v>1998.7083</c:v>
                </c:pt>
                <c:pt idx="1425">
                  <c:v>1998.7917</c:v>
                </c:pt>
                <c:pt idx="1426">
                  <c:v>1998.875</c:v>
                </c:pt>
                <c:pt idx="1427">
                  <c:v>1998.9583</c:v>
                </c:pt>
                <c:pt idx="1428">
                  <c:v>1999.0417</c:v>
                </c:pt>
                <c:pt idx="1429">
                  <c:v>1999.125</c:v>
                </c:pt>
                <c:pt idx="1430">
                  <c:v>1999.2083</c:v>
                </c:pt>
                <c:pt idx="1431">
                  <c:v>1999.2917</c:v>
                </c:pt>
                <c:pt idx="1432">
                  <c:v>1999.375</c:v>
                </c:pt>
                <c:pt idx="1433">
                  <c:v>1999.4583</c:v>
                </c:pt>
                <c:pt idx="1434">
                  <c:v>1999.5417</c:v>
                </c:pt>
                <c:pt idx="1435">
                  <c:v>1999.625</c:v>
                </c:pt>
                <c:pt idx="1436">
                  <c:v>1999.7083</c:v>
                </c:pt>
                <c:pt idx="1437">
                  <c:v>1999.7917</c:v>
                </c:pt>
                <c:pt idx="1438">
                  <c:v>1999.875</c:v>
                </c:pt>
                <c:pt idx="1439">
                  <c:v>1999.9583</c:v>
                </c:pt>
                <c:pt idx="1440">
                  <c:v>2000.0417</c:v>
                </c:pt>
                <c:pt idx="1441">
                  <c:v>2000.125</c:v>
                </c:pt>
                <c:pt idx="1442">
                  <c:v>2000.2083</c:v>
                </c:pt>
                <c:pt idx="1443">
                  <c:v>2000.2917</c:v>
                </c:pt>
                <c:pt idx="1444">
                  <c:v>2000.375</c:v>
                </c:pt>
                <c:pt idx="1445">
                  <c:v>2000.4583</c:v>
                </c:pt>
                <c:pt idx="1446">
                  <c:v>2000.5417</c:v>
                </c:pt>
                <c:pt idx="1447">
                  <c:v>2000.625</c:v>
                </c:pt>
                <c:pt idx="1448">
                  <c:v>2000.7083</c:v>
                </c:pt>
                <c:pt idx="1449">
                  <c:v>2000.7917</c:v>
                </c:pt>
                <c:pt idx="1450">
                  <c:v>2000.875</c:v>
                </c:pt>
                <c:pt idx="1451">
                  <c:v>2000.9583</c:v>
                </c:pt>
                <c:pt idx="1452">
                  <c:v>2001.0417</c:v>
                </c:pt>
                <c:pt idx="1453">
                  <c:v>2001.125</c:v>
                </c:pt>
                <c:pt idx="1454">
                  <c:v>2001.2083</c:v>
                </c:pt>
                <c:pt idx="1455">
                  <c:v>2001.2917</c:v>
                </c:pt>
                <c:pt idx="1456">
                  <c:v>2001.375</c:v>
                </c:pt>
                <c:pt idx="1457">
                  <c:v>2001.4583</c:v>
                </c:pt>
                <c:pt idx="1458">
                  <c:v>2001.5417</c:v>
                </c:pt>
                <c:pt idx="1459">
                  <c:v>2001.625</c:v>
                </c:pt>
                <c:pt idx="1460">
                  <c:v>2001.7083</c:v>
                </c:pt>
                <c:pt idx="1461">
                  <c:v>2001.7917</c:v>
                </c:pt>
                <c:pt idx="1462">
                  <c:v>2001.875</c:v>
                </c:pt>
                <c:pt idx="1463">
                  <c:v>2001.9583</c:v>
                </c:pt>
                <c:pt idx="1464">
                  <c:v>2002.0417</c:v>
                </c:pt>
                <c:pt idx="1465">
                  <c:v>2002.125</c:v>
                </c:pt>
                <c:pt idx="1466">
                  <c:v>2002.2083</c:v>
                </c:pt>
                <c:pt idx="1467">
                  <c:v>2002.2917</c:v>
                </c:pt>
                <c:pt idx="1468">
                  <c:v>2002.375</c:v>
                </c:pt>
                <c:pt idx="1469">
                  <c:v>2002.4583</c:v>
                </c:pt>
                <c:pt idx="1470">
                  <c:v>2002.5417</c:v>
                </c:pt>
                <c:pt idx="1471">
                  <c:v>2002.625</c:v>
                </c:pt>
                <c:pt idx="1472">
                  <c:v>2002.7083</c:v>
                </c:pt>
                <c:pt idx="1473">
                  <c:v>2002.7917</c:v>
                </c:pt>
                <c:pt idx="1474">
                  <c:v>2002.875</c:v>
                </c:pt>
                <c:pt idx="1475">
                  <c:v>2002.9583</c:v>
                </c:pt>
                <c:pt idx="1476">
                  <c:v>2003.0417</c:v>
                </c:pt>
                <c:pt idx="1477">
                  <c:v>2003.125</c:v>
                </c:pt>
                <c:pt idx="1478">
                  <c:v>2003.2083</c:v>
                </c:pt>
                <c:pt idx="1479">
                  <c:v>2003.2917</c:v>
                </c:pt>
                <c:pt idx="1480">
                  <c:v>2003.375</c:v>
                </c:pt>
                <c:pt idx="1481">
                  <c:v>2003.4583</c:v>
                </c:pt>
                <c:pt idx="1482">
                  <c:v>2003.5417</c:v>
                </c:pt>
                <c:pt idx="1483">
                  <c:v>2003.625</c:v>
                </c:pt>
                <c:pt idx="1484">
                  <c:v>2003.7083</c:v>
                </c:pt>
                <c:pt idx="1485">
                  <c:v>2003.7917</c:v>
                </c:pt>
                <c:pt idx="1486">
                  <c:v>2003.875</c:v>
                </c:pt>
                <c:pt idx="1487">
                  <c:v>2003.9583</c:v>
                </c:pt>
                <c:pt idx="1488">
                  <c:v>2004.0417</c:v>
                </c:pt>
                <c:pt idx="1489">
                  <c:v>2004.125</c:v>
                </c:pt>
                <c:pt idx="1490">
                  <c:v>2004.2083</c:v>
                </c:pt>
                <c:pt idx="1491">
                  <c:v>2004.2917</c:v>
                </c:pt>
                <c:pt idx="1492">
                  <c:v>2004.375</c:v>
                </c:pt>
                <c:pt idx="1493">
                  <c:v>2004.4583</c:v>
                </c:pt>
                <c:pt idx="1494">
                  <c:v>2004.5417</c:v>
                </c:pt>
                <c:pt idx="1495">
                  <c:v>2004.625</c:v>
                </c:pt>
                <c:pt idx="1496">
                  <c:v>2004.7083</c:v>
                </c:pt>
                <c:pt idx="1497">
                  <c:v>2004.7917</c:v>
                </c:pt>
                <c:pt idx="1498">
                  <c:v>2004.875</c:v>
                </c:pt>
                <c:pt idx="1499">
                  <c:v>2004.9583</c:v>
                </c:pt>
                <c:pt idx="1500">
                  <c:v>2005.0417</c:v>
                </c:pt>
                <c:pt idx="1501">
                  <c:v>2005.125</c:v>
                </c:pt>
                <c:pt idx="1502">
                  <c:v>2005.2083</c:v>
                </c:pt>
                <c:pt idx="1503">
                  <c:v>2005.2917</c:v>
                </c:pt>
                <c:pt idx="1504">
                  <c:v>2005.375</c:v>
                </c:pt>
                <c:pt idx="1505">
                  <c:v>2005.4583</c:v>
                </c:pt>
                <c:pt idx="1506">
                  <c:v>2005.5417</c:v>
                </c:pt>
                <c:pt idx="1507">
                  <c:v>2005.625</c:v>
                </c:pt>
                <c:pt idx="1508">
                  <c:v>2005.7083</c:v>
                </c:pt>
                <c:pt idx="1509">
                  <c:v>2005.7917</c:v>
                </c:pt>
                <c:pt idx="1510">
                  <c:v>2005.875</c:v>
                </c:pt>
                <c:pt idx="1511">
                  <c:v>2005.9583</c:v>
                </c:pt>
                <c:pt idx="1512">
                  <c:v>2006.0417</c:v>
                </c:pt>
                <c:pt idx="1513">
                  <c:v>2006.125</c:v>
                </c:pt>
                <c:pt idx="1514">
                  <c:v>2006.2083</c:v>
                </c:pt>
                <c:pt idx="1515">
                  <c:v>2006.2917</c:v>
                </c:pt>
                <c:pt idx="1516">
                  <c:v>2006.375</c:v>
                </c:pt>
                <c:pt idx="1517">
                  <c:v>2006.4583</c:v>
                </c:pt>
                <c:pt idx="1518">
                  <c:v>2006.5417</c:v>
                </c:pt>
                <c:pt idx="1519">
                  <c:v>2006.625</c:v>
                </c:pt>
                <c:pt idx="1520">
                  <c:v>2006.7083</c:v>
                </c:pt>
                <c:pt idx="1521">
                  <c:v>2006.7917</c:v>
                </c:pt>
                <c:pt idx="1522">
                  <c:v>2006.875</c:v>
                </c:pt>
                <c:pt idx="1523">
                  <c:v>2006.9583</c:v>
                </c:pt>
                <c:pt idx="1524">
                  <c:v>2007.0417</c:v>
                </c:pt>
                <c:pt idx="1525">
                  <c:v>2007.125</c:v>
                </c:pt>
                <c:pt idx="1526">
                  <c:v>2007.2083</c:v>
                </c:pt>
                <c:pt idx="1527">
                  <c:v>2007.2917</c:v>
                </c:pt>
                <c:pt idx="1528">
                  <c:v>2007.375</c:v>
                </c:pt>
                <c:pt idx="1529">
                  <c:v>2007.4583</c:v>
                </c:pt>
                <c:pt idx="1530">
                  <c:v>2007.5417</c:v>
                </c:pt>
                <c:pt idx="1531">
                  <c:v>2007.625</c:v>
                </c:pt>
                <c:pt idx="1532">
                  <c:v>2007.7083</c:v>
                </c:pt>
                <c:pt idx="1533">
                  <c:v>2007.7917</c:v>
                </c:pt>
                <c:pt idx="1534">
                  <c:v>2007.875</c:v>
                </c:pt>
                <c:pt idx="1535">
                  <c:v>2007.9583</c:v>
                </c:pt>
                <c:pt idx="1536">
                  <c:v>2008.0417</c:v>
                </c:pt>
                <c:pt idx="1537">
                  <c:v>2008.125</c:v>
                </c:pt>
                <c:pt idx="1538">
                  <c:v>2008.2083</c:v>
                </c:pt>
                <c:pt idx="1539">
                  <c:v>2008.2917</c:v>
                </c:pt>
                <c:pt idx="1540">
                  <c:v>2008.375</c:v>
                </c:pt>
                <c:pt idx="1541">
                  <c:v>2008.4583</c:v>
                </c:pt>
                <c:pt idx="1542">
                  <c:v>2008.5417</c:v>
                </c:pt>
                <c:pt idx="1543">
                  <c:v>2008.625</c:v>
                </c:pt>
                <c:pt idx="1544">
                  <c:v>2008.7083</c:v>
                </c:pt>
                <c:pt idx="1545">
                  <c:v>2008.7917</c:v>
                </c:pt>
                <c:pt idx="1546">
                  <c:v>2008.875</c:v>
                </c:pt>
                <c:pt idx="1547">
                  <c:v>2008.9583</c:v>
                </c:pt>
                <c:pt idx="1548">
                  <c:v>2009.0417</c:v>
                </c:pt>
                <c:pt idx="1549">
                  <c:v>2009.125</c:v>
                </c:pt>
                <c:pt idx="1550">
                  <c:v>2009.2083</c:v>
                </c:pt>
                <c:pt idx="1551">
                  <c:v>2009.2917</c:v>
                </c:pt>
                <c:pt idx="1552">
                  <c:v>2009.375</c:v>
                </c:pt>
                <c:pt idx="1553">
                  <c:v>2009.4583</c:v>
                </c:pt>
                <c:pt idx="1554">
                  <c:v>2009.5417</c:v>
                </c:pt>
                <c:pt idx="1555">
                  <c:v>2009.625</c:v>
                </c:pt>
                <c:pt idx="1556">
                  <c:v>2009.7083</c:v>
                </c:pt>
                <c:pt idx="1557">
                  <c:v>2009.7917</c:v>
                </c:pt>
                <c:pt idx="1558">
                  <c:v>2009.875</c:v>
                </c:pt>
                <c:pt idx="1559">
                  <c:v>2009.9583</c:v>
                </c:pt>
                <c:pt idx="1560">
                  <c:v>2010.0417</c:v>
                </c:pt>
                <c:pt idx="1561">
                  <c:v>2010.125</c:v>
                </c:pt>
                <c:pt idx="1562">
                  <c:v>2010.2083</c:v>
                </c:pt>
                <c:pt idx="1563">
                  <c:v>2010.2917</c:v>
                </c:pt>
                <c:pt idx="1564">
                  <c:v>2010.375</c:v>
                </c:pt>
                <c:pt idx="1565">
                  <c:v>2010.4583</c:v>
                </c:pt>
                <c:pt idx="1566">
                  <c:v>2010.5417</c:v>
                </c:pt>
                <c:pt idx="1567">
                  <c:v>2010.625</c:v>
                </c:pt>
                <c:pt idx="1568">
                  <c:v>2010.7083</c:v>
                </c:pt>
                <c:pt idx="1569">
                  <c:v>2010.7917</c:v>
                </c:pt>
                <c:pt idx="1570">
                  <c:v>2010.875</c:v>
                </c:pt>
                <c:pt idx="1571">
                  <c:v>2010.9583</c:v>
                </c:pt>
                <c:pt idx="1572">
                  <c:v>2011.0417</c:v>
                </c:pt>
                <c:pt idx="1573">
                  <c:v>2011.125</c:v>
                </c:pt>
                <c:pt idx="1574">
                  <c:v>2011.2083</c:v>
                </c:pt>
                <c:pt idx="1575">
                  <c:v>2011.2917</c:v>
                </c:pt>
                <c:pt idx="1576">
                  <c:v>2011.375</c:v>
                </c:pt>
                <c:pt idx="1577">
                  <c:v>2011.4583</c:v>
                </c:pt>
                <c:pt idx="1578">
                  <c:v>2011.5417</c:v>
                </c:pt>
                <c:pt idx="1579">
                  <c:v>2011.625</c:v>
                </c:pt>
                <c:pt idx="1580">
                  <c:v>2011.7083</c:v>
                </c:pt>
                <c:pt idx="1581">
                  <c:v>2011.7917</c:v>
                </c:pt>
                <c:pt idx="1582">
                  <c:v>2011.875</c:v>
                </c:pt>
                <c:pt idx="1583">
                  <c:v>2011.9583</c:v>
                </c:pt>
                <c:pt idx="1584">
                  <c:v>2012.0417</c:v>
                </c:pt>
                <c:pt idx="1585">
                  <c:v>2012.125</c:v>
                </c:pt>
                <c:pt idx="1586">
                  <c:v>2012.2083</c:v>
                </c:pt>
                <c:pt idx="1587">
                  <c:v>2012.2917</c:v>
                </c:pt>
                <c:pt idx="1588">
                  <c:v>2012.375</c:v>
                </c:pt>
                <c:pt idx="1589">
                  <c:v>2012.4583</c:v>
                </c:pt>
                <c:pt idx="1590">
                  <c:v>2012.5417</c:v>
                </c:pt>
                <c:pt idx="1591">
                  <c:v>2012.625</c:v>
                </c:pt>
                <c:pt idx="1592">
                  <c:v>2012.7083</c:v>
                </c:pt>
                <c:pt idx="1593">
                  <c:v>2012.7917</c:v>
                </c:pt>
                <c:pt idx="1594">
                  <c:v>2012.875</c:v>
                </c:pt>
                <c:pt idx="1595">
                  <c:v>2012.9583</c:v>
                </c:pt>
                <c:pt idx="1596">
                  <c:v>2013.0417</c:v>
                </c:pt>
                <c:pt idx="1597">
                  <c:v>2013.125</c:v>
                </c:pt>
                <c:pt idx="1598">
                  <c:v>2013.2083</c:v>
                </c:pt>
                <c:pt idx="1599">
                  <c:v>2013.2917</c:v>
                </c:pt>
                <c:pt idx="1600">
                  <c:v>2013.375</c:v>
                </c:pt>
                <c:pt idx="1601">
                  <c:v>2013.4583</c:v>
                </c:pt>
                <c:pt idx="1602">
                  <c:v>2013.5417</c:v>
                </c:pt>
                <c:pt idx="1603">
                  <c:v>2013.625</c:v>
                </c:pt>
                <c:pt idx="1604">
                  <c:v>2013.7083</c:v>
                </c:pt>
                <c:pt idx="1605">
                  <c:v>2013.7917</c:v>
                </c:pt>
                <c:pt idx="1606">
                  <c:v>2013.875</c:v>
                </c:pt>
                <c:pt idx="1607">
                  <c:v>2013.9583</c:v>
                </c:pt>
                <c:pt idx="1608">
                  <c:v>2014.0417</c:v>
                </c:pt>
                <c:pt idx="1609">
                  <c:v>2014.125</c:v>
                </c:pt>
                <c:pt idx="1610">
                  <c:v>2014.2083</c:v>
                </c:pt>
                <c:pt idx="1611">
                  <c:v>2014.2917</c:v>
                </c:pt>
                <c:pt idx="1612">
                  <c:v>2014.375</c:v>
                </c:pt>
                <c:pt idx="1613">
                  <c:v>2014.4583</c:v>
                </c:pt>
                <c:pt idx="1614">
                  <c:v>2014.5417</c:v>
                </c:pt>
                <c:pt idx="1615">
                  <c:v>2014.625</c:v>
                </c:pt>
                <c:pt idx="1616">
                  <c:v>2014.7083</c:v>
                </c:pt>
                <c:pt idx="1617">
                  <c:v>2014.7917</c:v>
                </c:pt>
                <c:pt idx="1618">
                  <c:v>2014.875</c:v>
                </c:pt>
                <c:pt idx="1619">
                  <c:v>2014.9583</c:v>
                </c:pt>
                <c:pt idx="1620">
                  <c:v>2015.0417</c:v>
                </c:pt>
                <c:pt idx="1621">
                  <c:v>2015.125</c:v>
                </c:pt>
                <c:pt idx="1622">
                  <c:v>2015.2083</c:v>
                </c:pt>
                <c:pt idx="1623">
                  <c:v>2015.2917</c:v>
                </c:pt>
                <c:pt idx="1624">
                  <c:v>2015.375</c:v>
                </c:pt>
                <c:pt idx="1625">
                  <c:v>2015.4583</c:v>
                </c:pt>
                <c:pt idx="1626">
                  <c:v>2015.5417</c:v>
                </c:pt>
                <c:pt idx="1627">
                  <c:v>2015.625</c:v>
                </c:pt>
                <c:pt idx="1628">
                  <c:v>2015.7083</c:v>
                </c:pt>
                <c:pt idx="1629">
                  <c:v>2015.7917</c:v>
                </c:pt>
                <c:pt idx="1630">
                  <c:v>2015.875</c:v>
                </c:pt>
                <c:pt idx="1631">
                  <c:v>2015.9583</c:v>
                </c:pt>
                <c:pt idx="1632">
                  <c:v>2016.0417</c:v>
                </c:pt>
                <c:pt idx="1633">
                  <c:v>2016.125</c:v>
                </c:pt>
                <c:pt idx="1634">
                  <c:v>2016.2083</c:v>
                </c:pt>
                <c:pt idx="1635">
                  <c:v>2016.2917</c:v>
                </c:pt>
                <c:pt idx="1636">
                  <c:v>2016.375</c:v>
                </c:pt>
                <c:pt idx="1637">
                  <c:v>2016.4583</c:v>
                </c:pt>
                <c:pt idx="1638">
                  <c:v>2016.5417</c:v>
                </c:pt>
                <c:pt idx="1639">
                  <c:v>2016.625</c:v>
                </c:pt>
                <c:pt idx="1640">
                  <c:v>2016.7083</c:v>
                </c:pt>
                <c:pt idx="1641">
                  <c:v>2016.7917</c:v>
                </c:pt>
                <c:pt idx="1642">
                  <c:v>2016.875</c:v>
                </c:pt>
                <c:pt idx="1643">
                  <c:v>2016.9583</c:v>
                </c:pt>
                <c:pt idx="1644">
                  <c:v>2017.0417</c:v>
                </c:pt>
                <c:pt idx="1645">
                  <c:v>2017.125</c:v>
                </c:pt>
                <c:pt idx="1646">
                  <c:v>2017.2083</c:v>
                </c:pt>
                <c:pt idx="1647">
                  <c:v>2017.2917</c:v>
                </c:pt>
                <c:pt idx="1648">
                  <c:v>2017.375</c:v>
                </c:pt>
                <c:pt idx="1649">
                  <c:v>2017.4583</c:v>
                </c:pt>
                <c:pt idx="1650">
                  <c:v>2017.5417</c:v>
                </c:pt>
                <c:pt idx="1651">
                  <c:v>2017.625</c:v>
                </c:pt>
                <c:pt idx="1652">
                  <c:v>2017.7083</c:v>
                </c:pt>
                <c:pt idx="1653">
                  <c:v>2017.7917</c:v>
                </c:pt>
                <c:pt idx="1654">
                  <c:v>2017.875</c:v>
                </c:pt>
                <c:pt idx="1655">
                  <c:v>2017.9583</c:v>
                </c:pt>
                <c:pt idx="1656">
                  <c:v>2018.0417</c:v>
                </c:pt>
                <c:pt idx="1657">
                  <c:v>2018.125</c:v>
                </c:pt>
                <c:pt idx="1658">
                  <c:v>2018.2083</c:v>
                </c:pt>
                <c:pt idx="1659">
                  <c:v>2018.2917</c:v>
                </c:pt>
                <c:pt idx="1660">
                  <c:v>2018.375</c:v>
                </c:pt>
                <c:pt idx="1661">
                  <c:v>2018.4583</c:v>
                </c:pt>
                <c:pt idx="1662">
                  <c:v>2018.5417</c:v>
                </c:pt>
                <c:pt idx="1663">
                  <c:v>2018.625</c:v>
                </c:pt>
                <c:pt idx="1664">
                  <c:v>2018.7083</c:v>
                </c:pt>
                <c:pt idx="1665">
                  <c:v>2018.7917</c:v>
                </c:pt>
                <c:pt idx="1666">
                  <c:v>2018.875</c:v>
                </c:pt>
                <c:pt idx="1667">
                  <c:v>2018.9583</c:v>
                </c:pt>
                <c:pt idx="1668">
                  <c:v>2019.0417</c:v>
                </c:pt>
                <c:pt idx="1669">
                  <c:v>2019.125</c:v>
                </c:pt>
                <c:pt idx="1670">
                  <c:v>2019.2083</c:v>
                </c:pt>
                <c:pt idx="1671">
                  <c:v>2019.2917</c:v>
                </c:pt>
                <c:pt idx="1672">
                  <c:v>2019.375</c:v>
                </c:pt>
                <c:pt idx="1673">
                  <c:v>2019.4583</c:v>
                </c:pt>
                <c:pt idx="1674">
                  <c:v>2019.5417</c:v>
                </c:pt>
                <c:pt idx="1675">
                  <c:v>2019.625</c:v>
                </c:pt>
                <c:pt idx="1676">
                  <c:v>2019.7083</c:v>
                </c:pt>
                <c:pt idx="1677">
                  <c:v>2019.7917</c:v>
                </c:pt>
                <c:pt idx="1678">
                  <c:v>2019.875</c:v>
                </c:pt>
                <c:pt idx="1679">
                  <c:v>2019.9583</c:v>
                </c:pt>
                <c:pt idx="1680">
                  <c:v>2020.0417</c:v>
                </c:pt>
                <c:pt idx="1681">
                  <c:v>2020.125</c:v>
                </c:pt>
                <c:pt idx="1682">
                  <c:v>2020.2083</c:v>
                </c:pt>
                <c:pt idx="1683">
                  <c:v>2020.2917</c:v>
                </c:pt>
                <c:pt idx="1684">
                  <c:v>2020.375</c:v>
                </c:pt>
                <c:pt idx="1685">
                  <c:v>2020.4583</c:v>
                </c:pt>
                <c:pt idx="1686">
                  <c:v>2020.5417</c:v>
                </c:pt>
                <c:pt idx="1687">
                  <c:v>2020.625</c:v>
                </c:pt>
                <c:pt idx="1688">
                  <c:v>2020.7083</c:v>
                </c:pt>
                <c:pt idx="1689">
                  <c:v>2020.7917</c:v>
                </c:pt>
                <c:pt idx="1690">
                  <c:v>2020.875</c:v>
                </c:pt>
                <c:pt idx="1691">
                  <c:v>2020.9583</c:v>
                </c:pt>
                <c:pt idx="1692">
                  <c:v>2021.0417</c:v>
                </c:pt>
                <c:pt idx="1693">
                  <c:v>2021.125</c:v>
                </c:pt>
                <c:pt idx="1694">
                  <c:v>2021.2083</c:v>
                </c:pt>
                <c:pt idx="1695">
                  <c:v>2021.2917</c:v>
                </c:pt>
                <c:pt idx="1696">
                  <c:v>2021.375</c:v>
                </c:pt>
                <c:pt idx="1697">
                  <c:v>2021.4583</c:v>
                </c:pt>
                <c:pt idx="1698">
                  <c:v>2021.5417</c:v>
                </c:pt>
                <c:pt idx="1699">
                  <c:v>2021.625</c:v>
                </c:pt>
                <c:pt idx="1700">
                  <c:v>2021.7083</c:v>
                </c:pt>
                <c:pt idx="1701">
                  <c:v>2021.7917</c:v>
                </c:pt>
                <c:pt idx="1702">
                  <c:v>2021.875</c:v>
                </c:pt>
                <c:pt idx="1703">
                  <c:v>2021.9583</c:v>
                </c:pt>
                <c:pt idx="1704">
                  <c:v>2022.0417</c:v>
                </c:pt>
                <c:pt idx="1705">
                  <c:v>2022.125</c:v>
                </c:pt>
                <c:pt idx="1706">
                  <c:v>2022.2083</c:v>
                </c:pt>
                <c:pt idx="1707">
                  <c:v>2022.2917</c:v>
                </c:pt>
                <c:pt idx="1708">
                  <c:v>2022.375</c:v>
                </c:pt>
                <c:pt idx="1709">
                  <c:v>2022.4583</c:v>
                </c:pt>
                <c:pt idx="1710">
                  <c:v>2022.5417</c:v>
                </c:pt>
                <c:pt idx="1711">
                  <c:v>2022.625</c:v>
                </c:pt>
                <c:pt idx="1712">
                  <c:v>2022.7083</c:v>
                </c:pt>
                <c:pt idx="1713">
                  <c:v>2022.7917</c:v>
                </c:pt>
                <c:pt idx="1714">
                  <c:v>2022.875</c:v>
                </c:pt>
                <c:pt idx="1715">
                  <c:v>2022.9583</c:v>
                </c:pt>
                <c:pt idx="1716">
                  <c:v>2023.0417</c:v>
                </c:pt>
                <c:pt idx="1717">
                  <c:v>2023.125</c:v>
                </c:pt>
                <c:pt idx="1718">
                  <c:v>2023.2083</c:v>
                </c:pt>
                <c:pt idx="1719">
                  <c:v>2023.2917</c:v>
                </c:pt>
                <c:pt idx="1720">
                  <c:v>2023.375</c:v>
                </c:pt>
                <c:pt idx="1721">
                  <c:v>2023.4583</c:v>
                </c:pt>
                <c:pt idx="1722">
                  <c:v>2023.5417</c:v>
                </c:pt>
                <c:pt idx="1723">
                  <c:v>2023.625</c:v>
                </c:pt>
                <c:pt idx="1724">
                  <c:v>2023.7083</c:v>
                </c:pt>
                <c:pt idx="1725">
                  <c:v>2023.7917</c:v>
                </c:pt>
                <c:pt idx="1726">
                  <c:v>2023.875</c:v>
                </c:pt>
                <c:pt idx="1727">
                  <c:v>2023.9583</c:v>
                </c:pt>
                <c:pt idx="1728">
                  <c:v>2024.0417</c:v>
                </c:pt>
                <c:pt idx="1729">
                  <c:v>2024.125</c:v>
                </c:pt>
                <c:pt idx="1730">
                  <c:v>2024.2083</c:v>
                </c:pt>
              </c:numCache>
            </c:numRef>
          </c:xVal>
          <c:yVal>
            <c:numRef>
              <c:f>Sheet1!$D$2:$D$1733</c:f>
              <c:numCache>
                <c:formatCode>General</c:formatCode>
                <c:ptCount val="1732"/>
                <c:pt idx="0">
                  <c:v>-0.43692799999999998</c:v>
                </c:pt>
                <c:pt idx="1">
                  <c:v>-0.46153846199999998</c:v>
                </c:pt>
                <c:pt idx="2">
                  <c:v>-0.75220100000000001</c:v>
                </c:pt>
                <c:pt idx="3">
                  <c:v>0.50465800000000005</c:v>
                </c:pt>
                <c:pt idx="4">
                  <c:v>0.35098999999999997</c:v>
                </c:pt>
                <c:pt idx="5">
                  <c:v>0.41116399999999997</c:v>
                </c:pt>
                <c:pt idx="6">
                  <c:v>0.42057</c:v>
                </c:pt>
                <c:pt idx="7">
                  <c:v>0.38689799999999996</c:v>
                </c:pt>
                <c:pt idx="8">
                  <c:v>0.70860800000000002</c:v>
                </c:pt>
                <c:pt idx="9">
                  <c:v>0.66108599999999995</c:v>
                </c:pt>
                <c:pt idx="10">
                  <c:v>0.73971799999999999</c:v>
                </c:pt>
                <c:pt idx="11">
                  <c:v>0.71680999999999995</c:v>
                </c:pt>
                <c:pt idx="12">
                  <c:v>0.82159400000000005</c:v>
                </c:pt>
                <c:pt idx="13">
                  <c:v>1.0048380000000001</c:v>
                </c:pt>
                <c:pt idx="14">
                  <c:v>1.058848</c:v>
                </c:pt>
                <c:pt idx="15">
                  <c:v>1.314398</c:v>
                </c:pt>
                <c:pt idx="16">
                  <c:v>1.4037919999999999</c:v>
                </c:pt>
                <c:pt idx="17">
                  <c:v>1.431646</c:v>
                </c:pt>
                <c:pt idx="18">
                  <c:v>1.01027</c:v>
                </c:pt>
                <c:pt idx="19">
                  <c:v>0.72119800000000001</c:v>
                </c:pt>
                <c:pt idx="20">
                  <c:v>0.34289400000000003</c:v>
                </c:pt>
                <c:pt idx="21">
                  <c:v>0.11382199999999999</c:v>
                </c:pt>
                <c:pt idx="22">
                  <c:v>0.15398000000000001</c:v>
                </c:pt>
                <c:pt idx="23">
                  <c:v>0.134134</c:v>
                </c:pt>
                <c:pt idx="24">
                  <c:v>0.117366</c:v>
                </c:pt>
                <c:pt idx="25">
                  <c:v>0.23290400000000003</c:v>
                </c:pt>
                <c:pt idx="26">
                  <c:v>0.174592</c:v>
                </c:pt>
                <c:pt idx="27">
                  <c:v>0.194744</c:v>
                </c:pt>
                <c:pt idx="28">
                  <c:v>1.6434000000000001E-2</c:v>
                </c:pt>
                <c:pt idx="29">
                  <c:v>-0.555728</c:v>
                </c:pt>
                <c:pt idx="30">
                  <c:v>-0.69250200000000006</c:v>
                </c:pt>
                <c:pt idx="31">
                  <c:v>-0.77389399999999997</c:v>
                </c:pt>
                <c:pt idx="32">
                  <c:v>-0.93990399999999996</c:v>
                </c:pt>
                <c:pt idx="33">
                  <c:v>-1.3028360000000001</c:v>
                </c:pt>
                <c:pt idx="34">
                  <c:v>-1.401154</c:v>
                </c:pt>
                <c:pt idx="35">
                  <c:v>-1.6779359999999999</c:v>
                </c:pt>
                <c:pt idx="36">
                  <c:v>-1.6454880000000001</c:v>
                </c:pt>
                <c:pt idx="37">
                  <c:v>-1.57304</c:v>
                </c:pt>
                <c:pt idx="38">
                  <c:v>-1.579056</c:v>
                </c:pt>
                <c:pt idx="39">
                  <c:v>-1.5358420000000002</c:v>
                </c:pt>
                <c:pt idx="40">
                  <c:v>-1.5464740000000001</c:v>
                </c:pt>
                <c:pt idx="41">
                  <c:v>-1.680186</c:v>
                </c:pt>
                <c:pt idx="42">
                  <c:v>-1.29236</c:v>
                </c:pt>
                <c:pt idx="43">
                  <c:v>-0.83068799999999998</c:v>
                </c:pt>
                <c:pt idx="44">
                  <c:v>-0.49825000000000003</c:v>
                </c:pt>
                <c:pt idx="45">
                  <c:v>5.1112000000000005E-2</c:v>
                </c:pt>
                <c:pt idx="46">
                  <c:v>0.269704</c:v>
                </c:pt>
                <c:pt idx="47">
                  <c:v>0.16675399999999999</c:v>
                </c:pt>
                <c:pt idx="48">
                  <c:v>0.20380400000000001</c:v>
                </c:pt>
                <c:pt idx="49">
                  <c:v>0.39316200000000001</c:v>
                </c:pt>
                <c:pt idx="50">
                  <c:v>0.40405400000000002</c:v>
                </c:pt>
                <c:pt idx="51">
                  <c:v>0.41956400000000005</c:v>
                </c:pt>
                <c:pt idx="52">
                  <c:v>0.16583999999999999</c:v>
                </c:pt>
                <c:pt idx="53">
                  <c:v>1.2114E-2</c:v>
                </c:pt>
                <c:pt idx="54">
                  <c:v>0.17992799999999998</c:v>
                </c:pt>
                <c:pt idx="55">
                  <c:v>0.21235600000000002</c:v>
                </c:pt>
                <c:pt idx="56">
                  <c:v>-0.33829799999999999</c:v>
                </c:pt>
                <c:pt idx="57">
                  <c:v>-0.62587199999999998</c:v>
                </c:pt>
                <c:pt idx="58">
                  <c:v>-0.91806399999999999</c:v>
                </c:pt>
                <c:pt idx="59">
                  <c:v>-0.85948800000000003</c:v>
                </c:pt>
                <c:pt idx="60">
                  <c:v>-0.77783600000000008</c:v>
                </c:pt>
                <c:pt idx="61">
                  <c:v>-0.60541400000000001</c:v>
                </c:pt>
                <c:pt idx="62">
                  <c:v>-0.60992000000000002</c:v>
                </c:pt>
                <c:pt idx="63">
                  <c:v>-0.568272</c:v>
                </c:pt>
                <c:pt idx="64">
                  <c:v>-0.55123800000000001</c:v>
                </c:pt>
                <c:pt idx="65">
                  <c:v>-0.32036200000000004</c:v>
                </c:pt>
                <c:pt idx="66">
                  <c:v>-0.37563999999999997</c:v>
                </c:pt>
                <c:pt idx="67">
                  <c:v>-0.61399599999999999</c:v>
                </c:pt>
                <c:pt idx="68">
                  <c:v>-0.62466200000000005</c:v>
                </c:pt>
                <c:pt idx="69">
                  <c:v>-0.73532600000000004</c:v>
                </c:pt>
                <c:pt idx="70">
                  <c:v>-0.91676199999999997</c:v>
                </c:pt>
                <c:pt idx="71">
                  <c:v>-1.0658920000000001</c:v>
                </c:pt>
                <c:pt idx="72">
                  <c:v>-1.1196380000000001</c:v>
                </c:pt>
                <c:pt idx="73">
                  <c:v>-1.0256940000000001</c:v>
                </c:pt>
                <c:pt idx="74">
                  <c:v>-0.896366</c:v>
                </c:pt>
                <c:pt idx="75">
                  <c:v>-0.85011399999999993</c:v>
                </c:pt>
                <c:pt idx="76">
                  <c:v>-0.85463399999999989</c:v>
                </c:pt>
                <c:pt idx="77">
                  <c:v>-1.0037720000000001</c:v>
                </c:pt>
                <c:pt idx="78">
                  <c:v>-1.3467560000000001</c:v>
                </c:pt>
                <c:pt idx="79">
                  <c:v>-1.3497399999999999</c:v>
                </c:pt>
                <c:pt idx="80">
                  <c:v>-1.6250340000000001</c:v>
                </c:pt>
                <c:pt idx="81">
                  <c:v>-1.9249440000000002</c:v>
                </c:pt>
                <c:pt idx="82">
                  <c:v>-1.577162</c:v>
                </c:pt>
                <c:pt idx="83">
                  <c:v>-1.215538</c:v>
                </c:pt>
                <c:pt idx="84">
                  <c:v>-1.0708360000000001</c:v>
                </c:pt>
                <c:pt idx="85">
                  <c:v>-0.83844200000000002</c:v>
                </c:pt>
                <c:pt idx="86">
                  <c:v>-0.68912800000000007</c:v>
                </c:pt>
                <c:pt idx="87">
                  <c:v>-0.70443</c:v>
                </c:pt>
                <c:pt idx="88">
                  <c:v>-0.70742400000000005</c:v>
                </c:pt>
                <c:pt idx="89">
                  <c:v>-0.73657399999999995</c:v>
                </c:pt>
                <c:pt idx="90">
                  <c:v>-0.60110999999999992</c:v>
                </c:pt>
                <c:pt idx="91">
                  <c:v>-0.1918</c:v>
                </c:pt>
                <c:pt idx="92">
                  <c:v>-0.13326199999999999</c:v>
                </c:pt>
                <c:pt idx="93">
                  <c:v>0.27296799999999999</c:v>
                </c:pt>
                <c:pt idx="94">
                  <c:v>0.40535200000000005</c:v>
                </c:pt>
                <c:pt idx="95">
                  <c:v>0.20696200000000001</c:v>
                </c:pt>
                <c:pt idx="96">
                  <c:v>0.22242000000000001</c:v>
                </c:pt>
                <c:pt idx="97">
                  <c:v>0.208646</c:v>
                </c:pt>
                <c:pt idx="98">
                  <c:v>0.22564000000000001</c:v>
                </c:pt>
                <c:pt idx="99">
                  <c:v>0.20263200000000001</c:v>
                </c:pt>
                <c:pt idx="100">
                  <c:v>-3.4222000000000002E-2</c:v>
                </c:pt>
                <c:pt idx="101">
                  <c:v>-0.12646399999999999</c:v>
                </c:pt>
                <c:pt idx="102">
                  <c:v>-0.35562800000000006</c:v>
                </c:pt>
                <c:pt idx="103">
                  <c:v>-0.28325400000000001</c:v>
                </c:pt>
                <c:pt idx="104">
                  <c:v>-0.57242400000000004</c:v>
                </c:pt>
                <c:pt idx="105">
                  <c:v>-0.27082200000000001</c:v>
                </c:pt>
                <c:pt idx="106">
                  <c:v>-0.33999000000000001</c:v>
                </c:pt>
                <c:pt idx="107">
                  <c:v>-0.224546</c:v>
                </c:pt>
                <c:pt idx="108">
                  <c:v>-0.18756399999999998</c:v>
                </c:pt>
                <c:pt idx="109">
                  <c:v>-0.155198</c:v>
                </c:pt>
                <c:pt idx="110">
                  <c:v>7.9360000000000003E-3</c:v>
                </c:pt>
                <c:pt idx="111">
                  <c:v>5.7222000000000002E-2</c:v>
                </c:pt>
                <c:pt idx="112">
                  <c:v>0.112662</c:v>
                </c:pt>
                <c:pt idx="113">
                  <c:v>0.33271600000000001</c:v>
                </c:pt>
                <c:pt idx="114">
                  <c:v>0.16353799999999999</c:v>
                </c:pt>
                <c:pt idx="115">
                  <c:v>0.13128200000000001</c:v>
                </c:pt>
                <c:pt idx="116">
                  <c:v>-4.7131999999999993E-2</c:v>
                </c:pt>
                <c:pt idx="117">
                  <c:v>3.6880000000000003E-3</c:v>
                </c:pt>
                <c:pt idx="118">
                  <c:v>-0.445494</c:v>
                </c:pt>
                <c:pt idx="119">
                  <c:v>-0.42852600000000002</c:v>
                </c:pt>
                <c:pt idx="120">
                  <c:v>-0.50848000000000004</c:v>
                </c:pt>
                <c:pt idx="121">
                  <c:v>-0.22074200000000002</c:v>
                </c:pt>
                <c:pt idx="122">
                  <c:v>-7.1470000000000006E-2</c:v>
                </c:pt>
                <c:pt idx="123">
                  <c:v>-0.10680999999999999</c:v>
                </c:pt>
                <c:pt idx="124">
                  <c:v>-0.19446200000000002</c:v>
                </c:pt>
                <c:pt idx="125">
                  <c:v>-0.10519199999999999</c:v>
                </c:pt>
                <c:pt idx="126">
                  <c:v>4.078E-3</c:v>
                </c:pt>
                <c:pt idx="127">
                  <c:v>3.7961999999999996E-2</c:v>
                </c:pt>
                <c:pt idx="128">
                  <c:v>0.18568999999999999</c:v>
                </c:pt>
                <c:pt idx="129">
                  <c:v>2.7264E-2</c:v>
                </c:pt>
                <c:pt idx="130">
                  <c:v>0.11960800000000001</c:v>
                </c:pt>
                <c:pt idx="131">
                  <c:v>0.201178</c:v>
                </c:pt>
                <c:pt idx="132">
                  <c:v>0.11351800000000001</c:v>
                </c:pt>
                <c:pt idx="133">
                  <c:v>0.15354999999999999</c:v>
                </c:pt>
                <c:pt idx="134">
                  <c:v>8.2810000000000009E-2</c:v>
                </c:pt>
                <c:pt idx="135">
                  <c:v>2.2837999999999997E-2</c:v>
                </c:pt>
                <c:pt idx="136">
                  <c:v>3.5173999999999997E-2</c:v>
                </c:pt>
                <c:pt idx="137">
                  <c:v>3.9813999999999995E-2</c:v>
                </c:pt>
                <c:pt idx="138">
                  <c:v>-0.25708200000000003</c:v>
                </c:pt>
                <c:pt idx="139">
                  <c:v>-0.60628799999999994</c:v>
                </c:pt>
                <c:pt idx="140">
                  <c:v>-0.55242000000000002</c:v>
                </c:pt>
                <c:pt idx="141">
                  <c:v>-0.36932000000000004</c:v>
                </c:pt>
                <c:pt idx="142">
                  <c:v>-0.38314599999999999</c:v>
                </c:pt>
                <c:pt idx="143">
                  <c:v>-0.493896</c:v>
                </c:pt>
                <c:pt idx="144">
                  <c:v>-0.37849200000000005</c:v>
                </c:pt>
                <c:pt idx="145">
                  <c:v>-0.23847399999999999</c:v>
                </c:pt>
                <c:pt idx="146">
                  <c:v>-2.3075999999999999E-2</c:v>
                </c:pt>
                <c:pt idx="147">
                  <c:v>3.6940000000000001E-2</c:v>
                </c:pt>
                <c:pt idx="148">
                  <c:v>4.3108000000000007E-2</c:v>
                </c:pt>
                <c:pt idx="149">
                  <c:v>-0.103034</c:v>
                </c:pt>
                <c:pt idx="150">
                  <c:v>-0.40917399999999998</c:v>
                </c:pt>
                <c:pt idx="151">
                  <c:v>-0.29070200000000002</c:v>
                </c:pt>
                <c:pt idx="152">
                  <c:v>-0.21376999999999999</c:v>
                </c:pt>
                <c:pt idx="153">
                  <c:v>-0.28760799999999997</c:v>
                </c:pt>
                <c:pt idx="154">
                  <c:v>-0.39837000000000006</c:v>
                </c:pt>
                <c:pt idx="155">
                  <c:v>-0.23221</c:v>
                </c:pt>
                <c:pt idx="156">
                  <c:v>-0.14143600000000001</c:v>
                </c:pt>
                <c:pt idx="157">
                  <c:v>-0.109124</c:v>
                </c:pt>
                <c:pt idx="158">
                  <c:v>-0.12912200000000001</c:v>
                </c:pt>
                <c:pt idx="159">
                  <c:v>-0.16296600000000003</c:v>
                </c:pt>
                <c:pt idx="160">
                  <c:v>-7.5274000000000008E-2</c:v>
                </c:pt>
                <c:pt idx="161">
                  <c:v>6.9339999999999999E-2</c:v>
                </c:pt>
                <c:pt idx="162">
                  <c:v>0.36164600000000002</c:v>
                </c:pt>
                <c:pt idx="163">
                  <c:v>0.56318199999999996</c:v>
                </c:pt>
                <c:pt idx="164">
                  <c:v>0.303178</c:v>
                </c:pt>
                <c:pt idx="165">
                  <c:v>0.40317199999999997</c:v>
                </c:pt>
                <c:pt idx="166">
                  <c:v>0.54470600000000002</c:v>
                </c:pt>
                <c:pt idx="167">
                  <c:v>0.38469599999999998</c:v>
                </c:pt>
                <c:pt idx="168">
                  <c:v>0.32468800000000003</c:v>
                </c:pt>
                <c:pt idx="169">
                  <c:v>0.35698799999999997</c:v>
                </c:pt>
                <c:pt idx="170">
                  <c:v>0.30774400000000002</c:v>
                </c:pt>
                <c:pt idx="171">
                  <c:v>0.346194</c:v>
                </c:pt>
                <c:pt idx="172">
                  <c:v>0.393874</c:v>
                </c:pt>
                <c:pt idx="173">
                  <c:v>0.22924399999999998</c:v>
                </c:pt>
                <c:pt idx="174">
                  <c:v>-8.000199999999999E-2</c:v>
                </c:pt>
                <c:pt idx="175">
                  <c:v>-0.33078800000000003</c:v>
                </c:pt>
                <c:pt idx="176">
                  <c:v>-8.4651999999999991E-2</c:v>
                </c:pt>
                <c:pt idx="177">
                  <c:v>9.5327999999999996E-2</c:v>
                </c:pt>
                <c:pt idx="178">
                  <c:v>-0.12315200000000001</c:v>
                </c:pt>
                <c:pt idx="179">
                  <c:v>-0.20317399999999999</c:v>
                </c:pt>
                <c:pt idx="180">
                  <c:v>-0.20473400000000003</c:v>
                </c:pt>
                <c:pt idx="181">
                  <c:v>-0.18167999999999998</c:v>
                </c:pt>
                <c:pt idx="182">
                  <c:v>-0.138628</c:v>
                </c:pt>
                <c:pt idx="183">
                  <c:v>-9.7116000000000008E-2</c:v>
                </c:pt>
                <c:pt idx="184">
                  <c:v>5.3628000000000002E-2</c:v>
                </c:pt>
                <c:pt idx="185">
                  <c:v>-2.1786E-2</c:v>
                </c:pt>
                <c:pt idx="186">
                  <c:v>2.4340000000000001E-2</c:v>
                </c:pt>
                <c:pt idx="187">
                  <c:v>0.17354</c:v>
                </c:pt>
                <c:pt idx="188">
                  <c:v>6.1200000000000004E-2</c:v>
                </c:pt>
                <c:pt idx="189">
                  <c:v>-3.8831999999999998E-2</c:v>
                </c:pt>
                <c:pt idx="190">
                  <c:v>-2.5017999999999999E-2</c:v>
                </c:pt>
                <c:pt idx="191">
                  <c:v>2.8791999999999998E-2</c:v>
                </c:pt>
                <c:pt idx="192">
                  <c:v>0.13183400000000001</c:v>
                </c:pt>
                <c:pt idx="193">
                  <c:v>0.313336</c:v>
                </c:pt>
                <c:pt idx="194">
                  <c:v>0.57637399999999994</c:v>
                </c:pt>
                <c:pt idx="195">
                  <c:v>0.61941200000000007</c:v>
                </c:pt>
                <c:pt idx="196">
                  <c:v>0.52706399999999998</c:v>
                </c:pt>
                <c:pt idx="197">
                  <c:v>0.20856000000000002</c:v>
                </c:pt>
                <c:pt idx="198">
                  <c:v>9.3133999999999995E-2</c:v>
                </c:pt>
                <c:pt idx="199">
                  <c:v>-0.17152400000000001</c:v>
                </c:pt>
                <c:pt idx="200">
                  <c:v>-0.32695599999999997</c:v>
                </c:pt>
                <c:pt idx="201">
                  <c:v>-0.43315399999999998</c:v>
                </c:pt>
                <c:pt idx="202">
                  <c:v>-0.64704800000000007</c:v>
                </c:pt>
                <c:pt idx="203">
                  <c:v>-0.66555800000000009</c:v>
                </c:pt>
                <c:pt idx="204">
                  <c:v>-0.56714599999999993</c:v>
                </c:pt>
                <c:pt idx="205">
                  <c:v>-0.66565799999999997</c:v>
                </c:pt>
                <c:pt idx="206">
                  <c:v>-0.53955599999999992</c:v>
                </c:pt>
                <c:pt idx="207">
                  <c:v>-0.72576200000000002</c:v>
                </c:pt>
                <c:pt idx="208">
                  <c:v>-0.80273799999999995</c:v>
                </c:pt>
                <c:pt idx="209">
                  <c:v>-0.7012560000000001</c:v>
                </c:pt>
                <c:pt idx="210">
                  <c:v>-0.83823599999999998</c:v>
                </c:pt>
                <c:pt idx="211">
                  <c:v>-0.94136799999999998</c:v>
                </c:pt>
                <c:pt idx="212">
                  <c:v>-0.75373599999999996</c:v>
                </c:pt>
                <c:pt idx="213">
                  <c:v>-0.34917999999999999</c:v>
                </c:pt>
                <c:pt idx="214">
                  <c:v>8.3068000000000003E-2</c:v>
                </c:pt>
                <c:pt idx="215">
                  <c:v>0.20146600000000001</c:v>
                </c:pt>
                <c:pt idx="216">
                  <c:v>0.176788</c:v>
                </c:pt>
                <c:pt idx="217">
                  <c:v>0.12903399999999998</c:v>
                </c:pt>
                <c:pt idx="218">
                  <c:v>0.42281199999999997</c:v>
                </c:pt>
                <c:pt idx="219">
                  <c:v>0.34582400000000002</c:v>
                </c:pt>
                <c:pt idx="220">
                  <c:v>0.53806399999999999</c:v>
                </c:pt>
                <c:pt idx="221">
                  <c:v>0.52722599999999997</c:v>
                </c:pt>
                <c:pt idx="222">
                  <c:v>0.36100199999999999</c:v>
                </c:pt>
                <c:pt idx="223">
                  <c:v>0.59785600000000005</c:v>
                </c:pt>
                <c:pt idx="224">
                  <c:v>0.93162800000000001</c:v>
                </c:pt>
                <c:pt idx="225">
                  <c:v>1.0700180000000001</c:v>
                </c:pt>
                <c:pt idx="226">
                  <c:v>0.84686600000000001</c:v>
                </c:pt>
                <c:pt idx="227">
                  <c:v>0.75756000000000001</c:v>
                </c:pt>
                <c:pt idx="228">
                  <c:v>0.82363799999999998</c:v>
                </c:pt>
                <c:pt idx="229">
                  <c:v>1.0389459999999999</c:v>
                </c:pt>
                <c:pt idx="230">
                  <c:v>1.115788</c:v>
                </c:pt>
                <c:pt idx="231">
                  <c:v>1.0818620000000001</c:v>
                </c:pt>
                <c:pt idx="232">
                  <c:v>1.1556279999999999</c:v>
                </c:pt>
                <c:pt idx="233">
                  <c:v>1.106314</c:v>
                </c:pt>
                <c:pt idx="234">
                  <c:v>1.3785400000000001</c:v>
                </c:pt>
                <c:pt idx="235">
                  <c:v>1.7799940000000001</c:v>
                </c:pt>
                <c:pt idx="236">
                  <c:v>1.6522139999999998</c:v>
                </c:pt>
                <c:pt idx="237">
                  <c:v>1.2967439999999999</c:v>
                </c:pt>
                <c:pt idx="238">
                  <c:v>1.11358</c:v>
                </c:pt>
                <c:pt idx="239">
                  <c:v>0.83041200000000004</c:v>
                </c:pt>
                <c:pt idx="240">
                  <c:v>0.78417000000000003</c:v>
                </c:pt>
                <c:pt idx="241">
                  <c:v>0.70561800000000008</c:v>
                </c:pt>
                <c:pt idx="242">
                  <c:v>0.63936999999999999</c:v>
                </c:pt>
                <c:pt idx="243">
                  <c:v>0.67004599999999992</c:v>
                </c:pt>
                <c:pt idx="244">
                  <c:v>0.50995199999999996</c:v>
                </c:pt>
                <c:pt idx="245">
                  <c:v>0.48985599999999996</c:v>
                </c:pt>
                <c:pt idx="246">
                  <c:v>0.35899000000000003</c:v>
                </c:pt>
                <c:pt idx="247">
                  <c:v>3.5079999999999998E-3</c:v>
                </c:pt>
                <c:pt idx="248">
                  <c:v>-0.456592</c:v>
                </c:pt>
                <c:pt idx="249">
                  <c:v>-0.352078</c:v>
                </c:pt>
                <c:pt idx="250">
                  <c:v>-0.39217799999999997</c:v>
                </c:pt>
                <c:pt idx="251">
                  <c:v>-0.50612800000000002</c:v>
                </c:pt>
                <c:pt idx="252">
                  <c:v>-0.53853799999999996</c:v>
                </c:pt>
                <c:pt idx="253">
                  <c:v>-0.64787400000000006</c:v>
                </c:pt>
                <c:pt idx="254">
                  <c:v>-0.67567400000000011</c:v>
                </c:pt>
                <c:pt idx="255">
                  <c:v>-0.75731800000000005</c:v>
                </c:pt>
                <c:pt idx="256">
                  <c:v>-0.84511799999999992</c:v>
                </c:pt>
                <c:pt idx="257">
                  <c:v>-1.011382</c:v>
                </c:pt>
                <c:pt idx="258">
                  <c:v>-1.1499540000000001</c:v>
                </c:pt>
                <c:pt idx="259">
                  <c:v>-1.002372</c:v>
                </c:pt>
                <c:pt idx="260">
                  <c:v>-0.81633200000000006</c:v>
                </c:pt>
                <c:pt idx="261">
                  <c:v>-0.68721399999999999</c:v>
                </c:pt>
                <c:pt idx="262">
                  <c:v>-0.75040600000000002</c:v>
                </c:pt>
                <c:pt idx="263">
                  <c:v>-0.76129199999999997</c:v>
                </c:pt>
                <c:pt idx="264">
                  <c:v>-0.67986999999999997</c:v>
                </c:pt>
                <c:pt idx="265">
                  <c:v>-0.45844999999999997</c:v>
                </c:pt>
                <c:pt idx="266">
                  <c:v>-0.25241800000000003</c:v>
                </c:pt>
                <c:pt idx="267">
                  <c:v>-1.4076E-2</c:v>
                </c:pt>
                <c:pt idx="268">
                  <c:v>9.5033999999999993E-2</c:v>
                </c:pt>
                <c:pt idx="269">
                  <c:v>4.2602000000000001E-2</c:v>
                </c:pt>
                <c:pt idx="270">
                  <c:v>0.10093999999999999</c:v>
                </c:pt>
                <c:pt idx="271">
                  <c:v>-9.4567999999999999E-2</c:v>
                </c:pt>
                <c:pt idx="272">
                  <c:v>-0.33931199999999995</c:v>
                </c:pt>
                <c:pt idx="273">
                  <c:v>-0.31174600000000002</c:v>
                </c:pt>
                <c:pt idx="274">
                  <c:v>-0.193412</c:v>
                </c:pt>
                <c:pt idx="275">
                  <c:v>0.21876400000000001</c:v>
                </c:pt>
                <c:pt idx="276">
                  <c:v>0.42325000000000002</c:v>
                </c:pt>
                <c:pt idx="277">
                  <c:v>0.54003999999999996</c:v>
                </c:pt>
                <c:pt idx="278">
                  <c:v>0.66759800000000002</c:v>
                </c:pt>
                <c:pt idx="279">
                  <c:v>0.75823400000000007</c:v>
                </c:pt>
                <c:pt idx="280">
                  <c:v>0.84733000000000003</c:v>
                </c:pt>
                <c:pt idx="281">
                  <c:v>0.81950000000000001</c:v>
                </c:pt>
                <c:pt idx="282">
                  <c:v>1.065518</c:v>
                </c:pt>
                <c:pt idx="283">
                  <c:v>1.071534</c:v>
                </c:pt>
                <c:pt idx="284">
                  <c:v>0.93908400000000003</c:v>
                </c:pt>
                <c:pt idx="285">
                  <c:v>0.97278999999999993</c:v>
                </c:pt>
                <c:pt idx="286">
                  <c:v>0.59880200000000006</c:v>
                </c:pt>
                <c:pt idx="287">
                  <c:v>0.247888</c:v>
                </c:pt>
                <c:pt idx="288">
                  <c:v>-0.144562</c:v>
                </c:pt>
                <c:pt idx="289">
                  <c:v>-0.18470800000000001</c:v>
                </c:pt>
                <c:pt idx="290">
                  <c:v>7.4519999999999994E-3</c:v>
                </c:pt>
                <c:pt idx="291">
                  <c:v>2.4228E-2</c:v>
                </c:pt>
                <c:pt idx="292">
                  <c:v>-0.18668999999999999</c:v>
                </c:pt>
                <c:pt idx="293">
                  <c:v>-0.46222600000000003</c:v>
                </c:pt>
                <c:pt idx="294">
                  <c:v>-0.49776000000000004</c:v>
                </c:pt>
                <c:pt idx="295">
                  <c:v>-0.45329799999999998</c:v>
                </c:pt>
                <c:pt idx="296">
                  <c:v>-0.33191400000000004</c:v>
                </c:pt>
                <c:pt idx="297">
                  <c:v>0.112548</c:v>
                </c:pt>
                <c:pt idx="298">
                  <c:v>-0.116838</c:v>
                </c:pt>
                <c:pt idx="299">
                  <c:v>7.3773999999999992E-2</c:v>
                </c:pt>
                <c:pt idx="300">
                  <c:v>0.29361599999999999</c:v>
                </c:pt>
                <c:pt idx="301">
                  <c:v>0.336534</c:v>
                </c:pt>
                <c:pt idx="302">
                  <c:v>0.53022000000000002</c:v>
                </c:pt>
                <c:pt idx="303">
                  <c:v>0.52851999999999999</c:v>
                </c:pt>
                <c:pt idx="304">
                  <c:v>0.625282</c:v>
                </c:pt>
                <c:pt idx="305">
                  <c:v>0.80665400000000009</c:v>
                </c:pt>
                <c:pt idx="306">
                  <c:v>0.78033600000000003</c:v>
                </c:pt>
                <c:pt idx="307">
                  <c:v>0.87248000000000003</c:v>
                </c:pt>
                <c:pt idx="308">
                  <c:v>0.64461799999999991</c:v>
                </c:pt>
                <c:pt idx="309">
                  <c:v>0.59060400000000002</c:v>
                </c:pt>
                <c:pt idx="310">
                  <c:v>0.59812799999999999</c:v>
                </c:pt>
                <c:pt idx="311">
                  <c:v>0.81641800000000009</c:v>
                </c:pt>
                <c:pt idx="312">
                  <c:v>0.73163200000000006</c:v>
                </c:pt>
                <c:pt idx="313">
                  <c:v>0.87761399999999989</c:v>
                </c:pt>
                <c:pt idx="314">
                  <c:v>1.0574379999999999</c:v>
                </c:pt>
                <c:pt idx="315">
                  <c:v>1.09111</c:v>
                </c:pt>
                <c:pt idx="316">
                  <c:v>1.087858</c:v>
                </c:pt>
                <c:pt idx="317">
                  <c:v>0.72614199999999995</c:v>
                </c:pt>
                <c:pt idx="318">
                  <c:v>0.35365600000000003</c:v>
                </c:pt>
                <c:pt idx="319">
                  <c:v>0.518092</c:v>
                </c:pt>
                <c:pt idx="320">
                  <c:v>0.33329599999999998</c:v>
                </c:pt>
                <c:pt idx="321">
                  <c:v>0.142344</c:v>
                </c:pt>
                <c:pt idx="322">
                  <c:v>0.14677799999999999</c:v>
                </c:pt>
                <c:pt idx="323">
                  <c:v>-4.1100000000000005E-2</c:v>
                </c:pt>
                <c:pt idx="324">
                  <c:v>3.2562000000000001E-2</c:v>
                </c:pt>
                <c:pt idx="325">
                  <c:v>7.3916000000000009E-2</c:v>
                </c:pt>
                <c:pt idx="326">
                  <c:v>0.15526400000000001</c:v>
                </c:pt>
                <c:pt idx="327">
                  <c:v>0.23661599999999999</c:v>
                </c:pt>
                <c:pt idx="328">
                  <c:v>0.29950399999999999</c:v>
                </c:pt>
                <c:pt idx="329">
                  <c:v>0.117772</c:v>
                </c:pt>
                <c:pt idx="330">
                  <c:v>-3.0110000000000001E-2</c:v>
                </c:pt>
                <c:pt idx="331">
                  <c:v>4.6620000000000002E-2</c:v>
                </c:pt>
                <c:pt idx="332">
                  <c:v>-0.293576</c:v>
                </c:pt>
                <c:pt idx="333">
                  <c:v>-7.6848E-2</c:v>
                </c:pt>
                <c:pt idx="334">
                  <c:v>-0.133966</c:v>
                </c:pt>
                <c:pt idx="335">
                  <c:v>-0.395704</c:v>
                </c:pt>
                <c:pt idx="336">
                  <c:v>-0.44821</c:v>
                </c:pt>
                <c:pt idx="337">
                  <c:v>-0.494562</c:v>
                </c:pt>
                <c:pt idx="338">
                  <c:v>-0.40245600000000004</c:v>
                </c:pt>
                <c:pt idx="339">
                  <c:v>-0.474966</c:v>
                </c:pt>
                <c:pt idx="340">
                  <c:v>-0.64593800000000001</c:v>
                </c:pt>
                <c:pt idx="341">
                  <c:v>-0.976912</c:v>
                </c:pt>
                <c:pt idx="342">
                  <c:v>-1.2740400000000001</c:v>
                </c:pt>
                <c:pt idx="343">
                  <c:v>-0.96962999999999999</c:v>
                </c:pt>
                <c:pt idx="344">
                  <c:v>-1.0959940000000001</c:v>
                </c:pt>
                <c:pt idx="345">
                  <c:v>-0.85774000000000006</c:v>
                </c:pt>
                <c:pt idx="346">
                  <c:v>-1.2502580000000001</c:v>
                </c:pt>
                <c:pt idx="347">
                  <c:v>-1.1597</c:v>
                </c:pt>
                <c:pt idx="348">
                  <c:v>-1.067604</c:v>
                </c:pt>
                <c:pt idx="349">
                  <c:v>-0.92320199999999997</c:v>
                </c:pt>
                <c:pt idx="350">
                  <c:v>-0.76495599999999997</c:v>
                </c:pt>
                <c:pt idx="351">
                  <c:v>-0.52978599999999998</c:v>
                </c:pt>
                <c:pt idx="352">
                  <c:v>-0.51615600000000006</c:v>
                </c:pt>
                <c:pt idx="353">
                  <c:v>-0.65022199999999997</c:v>
                </c:pt>
                <c:pt idx="354">
                  <c:v>-0.35505600000000004</c:v>
                </c:pt>
                <c:pt idx="355">
                  <c:v>-0.18604399999999999</c:v>
                </c:pt>
                <c:pt idx="356">
                  <c:v>-8.6267999999999997E-2</c:v>
                </c:pt>
                <c:pt idx="357">
                  <c:v>0.111972</c:v>
                </c:pt>
                <c:pt idx="358">
                  <c:v>-2.6712E-2</c:v>
                </c:pt>
                <c:pt idx="359">
                  <c:v>9.1523999999999994E-2</c:v>
                </c:pt>
                <c:pt idx="360">
                  <c:v>0.280528</c:v>
                </c:pt>
                <c:pt idx="361">
                  <c:v>0.41876399999999997</c:v>
                </c:pt>
                <c:pt idx="362">
                  <c:v>0.53392000000000006</c:v>
                </c:pt>
                <c:pt idx="363">
                  <c:v>0.48907600000000001</c:v>
                </c:pt>
                <c:pt idx="364">
                  <c:v>0.28422999999999998</c:v>
                </c:pt>
                <c:pt idx="365">
                  <c:v>0.213228</c:v>
                </c:pt>
                <c:pt idx="366">
                  <c:v>0.17453399999999999</c:v>
                </c:pt>
                <c:pt idx="367">
                  <c:v>-0.27493000000000001</c:v>
                </c:pt>
                <c:pt idx="368">
                  <c:v>-0.176704</c:v>
                </c:pt>
                <c:pt idx="369">
                  <c:v>-0.26001600000000002</c:v>
                </c:pt>
                <c:pt idx="370">
                  <c:v>-0.118714</c:v>
                </c:pt>
                <c:pt idx="371">
                  <c:v>-5.28E-2</c:v>
                </c:pt>
                <c:pt idx="372">
                  <c:v>8.6961999999999998E-2</c:v>
                </c:pt>
                <c:pt idx="373">
                  <c:v>-2.4048E-2</c:v>
                </c:pt>
                <c:pt idx="374">
                  <c:v>0.12647800000000001</c:v>
                </c:pt>
                <c:pt idx="375">
                  <c:v>7.5465999999999991E-2</c:v>
                </c:pt>
                <c:pt idx="376">
                  <c:v>0.24291599999999999</c:v>
                </c:pt>
                <c:pt idx="377">
                  <c:v>0.17497800000000002</c:v>
                </c:pt>
                <c:pt idx="378">
                  <c:v>0.102424</c:v>
                </c:pt>
                <c:pt idx="379">
                  <c:v>7.9100000000000004E-2</c:v>
                </c:pt>
                <c:pt idx="380">
                  <c:v>0.152696</c:v>
                </c:pt>
                <c:pt idx="381">
                  <c:v>0.104756</c:v>
                </c:pt>
                <c:pt idx="382">
                  <c:v>-7.2417999999999996E-2</c:v>
                </c:pt>
                <c:pt idx="383">
                  <c:v>-0.16036400000000001</c:v>
                </c:pt>
                <c:pt idx="384">
                  <c:v>-0.10522999999999999</c:v>
                </c:pt>
                <c:pt idx="385">
                  <c:v>-4.2408000000000001E-2</c:v>
                </c:pt>
                <c:pt idx="386">
                  <c:v>4.1199999999999999E-4</c:v>
                </c:pt>
                <c:pt idx="387">
                  <c:v>-3.8303999999999998E-2</c:v>
                </c:pt>
                <c:pt idx="388">
                  <c:v>0.14605399999999999</c:v>
                </c:pt>
                <c:pt idx="389">
                  <c:v>-0.12189800000000001</c:v>
                </c:pt>
                <c:pt idx="390">
                  <c:v>-0.10677199999999999</c:v>
                </c:pt>
                <c:pt idx="391">
                  <c:v>2.2198000000000002E-2</c:v>
                </c:pt>
                <c:pt idx="392">
                  <c:v>0.23885799999999999</c:v>
                </c:pt>
                <c:pt idx="393">
                  <c:v>0.30013400000000001</c:v>
                </c:pt>
                <c:pt idx="394">
                  <c:v>0.35987000000000002</c:v>
                </c:pt>
                <c:pt idx="395">
                  <c:v>0.59498800000000007</c:v>
                </c:pt>
                <c:pt idx="396">
                  <c:v>0.48549199999999998</c:v>
                </c:pt>
                <c:pt idx="397">
                  <c:v>0.50830200000000003</c:v>
                </c:pt>
                <c:pt idx="398">
                  <c:v>0.62649200000000005</c:v>
                </c:pt>
                <c:pt idx="399">
                  <c:v>0.89852999999999994</c:v>
                </c:pt>
                <c:pt idx="400">
                  <c:v>0.81979800000000003</c:v>
                </c:pt>
                <c:pt idx="401">
                  <c:v>0.44414000000000003</c:v>
                </c:pt>
                <c:pt idx="402">
                  <c:v>0.53309800000000007</c:v>
                </c:pt>
                <c:pt idx="403">
                  <c:v>1.0897479999999999</c:v>
                </c:pt>
                <c:pt idx="404">
                  <c:v>1.1663939999999999</c:v>
                </c:pt>
                <c:pt idx="405">
                  <c:v>1.2276560000000001</c:v>
                </c:pt>
                <c:pt idx="406">
                  <c:v>1.3550720000000001</c:v>
                </c:pt>
                <c:pt idx="407">
                  <c:v>1.2670980000000001</c:v>
                </c:pt>
                <c:pt idx="408">
                  <c:v>1.2945120000000001</c:v>
                </c:pt>
                <c:pt idx="409">
                  <c:v>1.4480779999999998</c:v>
                </c:pt>
                <c:pt idx="410">
                  <c:v>1.480102</c:v>
                </c:pt>
                <c:pt idx="411">
                  <c:v>1.3721260000000002</c:v>
                </c:pt>
                <c:pt idx="412">
                  <c:v>1.2210720000000002</c:v>
                </c:pt>
                <c:pt idx="413">
                  <c:v>1.4161699999999999</c:v>
                </c:pt>
                <c:pt idx="414">
                  <c:v>1.205114</c:v>
                </c:pt>
                <c:pt idx="415">
                  <c:v>1.080212</c:v>
                </c:pt>
                <c:pt idx="416">
                  <c:v>0.52146000000000003</c:v>
                </c:pt>
                <c:pt idx="417">
                  <c:v>0.170402</c:v>
                </c:pt>
                <c:pt idx="418">
                  <c:v>-2.3736E-2</c:v>
                </c:pt>
                <c:pt idx="419">
                  <c:v>-0.16249199999999997</c:v>
                </c:pt>
                <c:pt idx="420">
                  <c:v>-0.15970800000000002</c:v>
                </c:pt>
                <c:pt idx="421">
                  <c:v>-0.20461600000000002</c:v>
                </c:pt>
                <c:pt idx="422">
                  <c:v>-0.25106800000000001</c:v>
                </c:pt>
                <c:pt idx="423">
                  <c:v>-0.12521000000000002</c:v>
                </c:pt>
                <c:pt idx="424">
                  <c:v>-5.6277999999999995E-2</c:v>
                </c:pt>
                <c:pt idx="425">
                  <c:v>-0.16119399999999998</c:v>
                </c:pt>
                <c:pt idx="426">
                  <c:v>-0.52149400000000001</c:v>
                </c:pt>
                <c:pt idx="427">
                  <c:v>-0.19871800000000001</c:v>
                </c:pt>
                <c:pt idx="428">
                  <c:v>-8.9789999999999995E-2</c:v>
                </c:pt>
                <c:pt idx="429">
                  <c:v>3.6060000000000002E-2</c:v>
                </c:pt>
                <c:pt idx="430">
                  <c:v>6.4986000000000002E-2</c:v>
                </c:pt>
                <c:pt idx="431">
                  <c:v>2.4677999999999999E-2</c:v>
                </c:pt>
                <c:pt idx="432">
                  <c:v>4.8987999999999997E-2</c:v>
                </c:pt>
                <c:pt idx="433">
                  <c:v>0.11021800000000001</c:v>
                </c:pt>
                <c:pt idx="434">
                  <c:v>0.12529199999999999</c:v>
                </c:pt>
                <c:pt idx="435">
                  <c:v>0.329598</c:v>
                </c:pt>
                <c:pt idx="436">
                  <c:v>0.25236199999999998</c:v>
                </c:pt>
                <c:pt idx="437">
                  <c:v>7.5125999999999998E-2</c:v>
                </c:pt>
                <c:pt idx="438">
                  <c:v>-6.7259999999999993E-3</c:v>
                </c:pt>
                <c:pt idx="439">
                  <c:v>8.9882000000000004E-2</c:v>
                </c:pt>
                <c:pt idx="440">
                  <c:v>0.13264200000000001</c:v>
                </c:pt>
                <c:pt idx="441">
                  <c:v>-0.18767600000000001</c:v>
                </c:pt>
                <c:pt idx="442">
                  <c:v>-0.46183999999999997</c:v>
                </c:pt>
                <c:pt idx="443">
                  <c:v>-0.41908400000000001</c:v>
                </c:pt>
                <c:pt idx="444">
                  <c:v>-0.40555799999999997</c:v>
                </c:pt>
                <c:pt idx="445">
                  <c:v>-0.45972600000000002</c:v>
                </c:pt>
                <c:pt idx="446">
                  <c:v>-0.401588</c:v>
                </c:pt>
                <c:pt idx="447">
                  <c:v>-0.58960400000000002</c:v>
                </c:pt>
                <c:pt idx="448">
                  <c:v>-0.81454400000000005</c:v>
                </c:pt>
                <c:pt idx="449">
                  <c:v>-0.933334</c:v>
                </c:pt>
                <c:pt idx="450">
                  <c:v>-0.91981399999999991</c:v>
                </c:pt>
                <c:pt idx="451">
                  <c:v>-0.49706600000000001</c:v>
                </c:pt>
                <c:pt idx="452">
                  <c:v>-0.41585800000000001</c:v>
                </c:pt>
                <c:pt idx="453">
                  <c:v>-0.55465000000000009</c:v>
                </c:pt>
                <c:pt idx="454">
                  <c:v>-0.43036600000000003</c:v>
                </c:pt>
                <c:pt idx="455">
                  <c:v>-0.39070199999999999</c:v>
                </c:pt>
                <c:pt idx="456">
                  <c:v>-0.58795799999999998</c:v>
                </c:pt>
                <c:pt idx="457">
                  <c:v>-0.45906199999999997</c:v>
                </c:pt>
                <c:pt idx="458">
                  <c:v>-0.21940000000000001</c:v>
                </c:pt>
                <c:pt idx="459">
                  <c:v>-0.139738</c:v>
                </c:pt>
                <c:pt idx="460">
                  <c:v>-3.5459999999999998E-2</c:v>
                </c:pt>
                <c:pt idx="461">
                  <c:v>0.114968</c:v>
                </c:pt>
                <c:pt idx="462">
                  <c:v>1.0012E-2</c:v>
                </c:pt>
                <c:pt idx="463">
                  <c:v>-0.11033</c:v>
                </c:pt>
                <c:pt idx="464">
                  <c:v>-0.604522</c:v>
                </c:pt>
                <c:pt idx="465">
                  <c:v>-0.78178799999999993</c:v>
                </c:pt>
                <c:pt idx="466">
                  <c:v>-0.97905600000000004</c:v>
                </c:pt>
                <c:pt idx="467">
                  <c:v>-0.98863600000000007</c:v>
                </c:pt>
                <c:pt idx="468">
                  <c:v>-1.0505200000000001</c:v>
                </c:pt>
                <c:pt idx="469">
                  <c:v>-0.69548399999999999</c:v>
                </c:pt>
                <c:pt idx="470">
                  <c:v>-0.61737399999999998</c:v>
                </c:pt>
                <c:pt idx="471">
                  <c:v>-0.49310999999999999</c:v>
                </c:pt>
                <c:pt idx="472">
                  <c:v>-0.56115400000000004</c:v>
                </c:pt>
                <c:pt idx="473">
                  <c:v>-0.33073999999999998</c:v>
                </c:pt>
                <c:pt idx="474">
                  <c:v>-0.66340199999999994</c:v>
                </c:pt>
                <c:pt idx="475">
                  <c:v>-0.59145000000000003</c:v>
                </c:pt>
                <c:pt idx="476">
                  <c:v>-0.59026999999999996</c:v>
                </c:pt>
                <c:pt idx="477">
                  <c:v>-0.50447399999999998</c:v>
                </c:pt>
                <c:pt idx="478">
                  <c:v>-0.36175400000000002</c:v>
                </c:pt>
                <c:pt idx="479">
                  <c:v>-0.21596399999999999</c:v>
                </c:pt>
                <c:pt idx="480">
                  <c:v>-5.4786000000000001E-2</c:v>
                </c:pt>
                <c:pt idx="481">
                  <c:v>0.19408400000000001</c:v>
                </c:pt>
                <c:pt idx="482">
                  <c:v>0.158334</c:v>
                </c:pt>
                <c:pt idx="483">
                  <c:v>0.26258400000000004</c:v>
                </c:pt>
                <c:pt idx="484">
                  <c:v>7.145E-2</c:v>
                </c:pt>
                <c:pt idx="485">
                  <c:v>-0.19507200000000002</c:v>
                </c:pt>
                <c:pt idx="486">
                  <c:v>-0.82467200000000007</c:v>
                </c:pt>
                <c:pt idx="487">
                  <c:v>-0.96042400000000006</c:v>
                </c:pt>
                <c:pt idx="488">
                  <c:v>-0.980796</c:v>
                </c:pt>
                <c:pt idx="489">
                  <c:v>-0.82732200000000011</c:v>
                </c:pt>
                <c:pt idx="490">
                  <c:v>-0.90307800000000005</c:v>
                </c:pt>
                <c:pt idx="491">
                  <c:v>-0.84653</c:v>
                </c:pt>
                <c:pt idx="492">
                  <c:v>-0.8853660000000001</c:v>
                </c:pt>
                <c:pt idx="493">
                  <c:v>-0.8272799999999999</c:v>
                </c:pt>
                <c:pt idx="494">
                  <c:v>-0.73227399999999998</c:v>
                </c:pt>
                <c:pt idx="495">
                  <c:v>-0.654192</c:v>
                </c:pt>
                <c:pt idx="496">
                  <c:v>-0.74534000000000011</c:v>
                </c:pt>
                <c:pt idx="497">
                  <c:v>-0.64264399999999999</c:v>
                </c:pt>
                <c:pt idx="498">
                  <c:v>-0.28148800000000002</c:v>
                </c:pt>
                <c:pt idx="499">
                  <c:v>-8.0332000000000015E-2</c:v>
                </c:pt>
                <c:pt idx="500">
                  <c:v>0.49928199999999995</c:v>
                </c:pt>
                <c:pt idx="501">
                  <c:v>0.30043600000000004</c:v>
                </c:pt>
                <c:pt idx="502">
                  <c:v>0.31543599999999999</c:v>
                </c:pt>
                <c:pt idx="503">
                  <c:v>0.34581600000000001</c:v>
                </c:pt>
                <c:pt idx="504">
                  <c:v>0.20388999999999999</c:v>
                </c:pt>
                <c:pt idx="505">
                  <c:v>0.47888399999999998</c:v>
                </c:pt>
                <c:pt idx="506">
                  <c:v>0.59079999999999999</c:v>
                </c:pt>
                <c:pt idx="507">
                  <c:v>0.59040799999999993</c:v>
                </c:pt>
                <c:pt idx="508">
                  <c:v>0.57616999999999996</c:v>
                </c:pt>
                <c:pt idx="509">
                  <c:v>0.50654399999999999</c:v>
                </c:pt>
                <c:pt idx="510">
                  <c:v>0.36614800000000003</c:v>
                </c:pt>
                <c:pt idx="511">
                  <c:v>0.362676</c:v>
                </c:pt>
                <c:pt idx="512">
                  <c:v>0.54227599999999998</c:v>
                </c:pt>
                <c:pt idx="513">
                  <c:v>0.392648</c:v>
                </c:pt>
                <c:pt idx="514">
                  <c:v>0.33994000000000002</c:v>
                </c:pt>
                <c:pt idx="515">
                  <c:v>-3.5399999999999997E-3</c:v>
                </c:pt>
                <c:pt idx="516">
                  <c:v>-2.3940000000000003E-2</c:v>
                </c:pt>
                <c:pt idx="517">
                  <c:v>0.20796399999999998</c:v>
                </c:pt>
                <c:pt idx="518">
                  <c:v>0.21832799999999999</c:v>
                </c:pt>
                <c:pt idx="519">
                  <c:v>0.25330799999999998</c:v>
                </c:pt>
                <c:pt idx="520">
                  <c:v>0.25905400000000001</c:v>
                </c:pt>
                <c:pt idx="521">
                  <c:v>0.34787599999999996</c:v>
                </c:pt>
                <c:pt idx="522">
                  <c:v>0.450544</c:v>
                </c:pt>
                <c:pt idx="523">
                  <c:v>0.60090399999999999</c:v>
                </c:pt>
                <c:pt idx="524">
                  <c:v>0.34818399999999999</c:v>
                </c:pt>
                <c:pt idx="525">
                  <c:v>0.40777200000000002</c:v>
                </c:pt>
                <c:pt idx="526">
                  <c:v>0.17659</c:v>
                </c:pt>
                <c:pt idx="527">
                  <c:v>0.46694200000000002</c:v>
                </c:pt>
                <c:pt idx="528">
                  <c:v>0.62806600000000001</c:v>
                </c:pt>
                <c:pt idx="529">
                  <c:v>0.77688000000000001</c:v>
                </c:pt>
                <c:pt idx="530">
                  <c:v>0.8333839999999999</c:v>
                </c:pt>
                <c:pt idx="531">
                  <c:v>0.78065799999999996</c:v>
                </c:pt>
                <c:pt idx="532">
                  <c:v>0.52485399999999993</c:v>
                </c:pt>
                <c:pt idx="533">
                  <c:v>0.35827599999999998</c:v>
                </c:pt>
                <c:pt idx="534">
                  <c:v>0.15323999999999999</c:v>
                </c:pt>
                <c:pt idx="535">
                  <c:v>-0.20410599999999998</c:v>
                </c:pt>
                <c:pt idx="536">
                  <c:v>-0.31838</c:v>
                </c:pt>
                <c:pt idx="537">
                  <c:v>-0.11419</c:v>
                </c:pt>
                <c:pt idx="538">
                  <c:v>-0.23153799999999999</c:v>
                </c:pt>
                <c:pt idx="539">
                  <c:v>-0.205814</c:v>
                </c:pt>
                <c:pt idx="540">
                  <c:v>-0.346244</c:v>
                </c:pt>
                <c:pt idx="541">
                  <c:v>-0.11436600000000001</c:v>
                </c:pt>
                <c:pt idx="542">
                  <c:v>-0.120952</c:v>
                </c:pt>
                <c:pt idx="543">
                  <c:v>-0.13522999999999999</c:v>
                </c:pt>
                <c:pt idx="544">
                  <c:v>-1.2587999999999998E-2</c:v>
                </c:pt>
                <c:pt idx="545">
                  <c:v>0.26390000000000002</c:v>
                </c:pt>
                <c:pt idx="546">
                  <c:v>0.42654000000000003</c:v>
                </c:pt>
                <c:pt idx="547">
                  <c:v>0.51841199999999998</c:v>
                </c:pt>
                <c:pt idx="548">
                  <c:v>0.70412600000000003</c:v>
                </c:pt>
                <c:pt idx="549">
                  <c:v>0.54214799999999996</c:v>
                </c:pt>
                <c:pt idx="550">
                  <c:v>0.42017000000000004</c:v>
                </c:pt>
                <c:pt idx="551">
                  <c:v>0.48280400000000001</c:v>
                </c:pt>
                <c:pt idx="552">
                  <c:v>0.494668</c:v>
                </c:pt>
                <c:pt idx="553">
                  <c:v>0.70038</c:v>
                </c:pt>
                <c:pt idx="554">
                  <c:v>0.67377799999999999</c:v>
                </c:pt>
                <c:pt idx="555">
                  <c:v>0.8010259999999999</c:v>
                </c:pt>
                <c:pt idx="556">
                  <c:v>0.83904000000000001</c:v>
                </c:pt>
                <c:pt idx="557">
                  <c:v>0.74166600000000005</c:v>
                </c:pt>
                <c:pt idx="558">
                  <c:v>0.50583199999999995</c:v>
                </c:pt>
                <c:pt idx="559">
                  <c:v>0.423844</c:v>
                </c:pt>
                <c:pt idx="560">
                  <c:v>0.34338999999999997</c:v>
                </c:pt>
                <c:pt idx="561">
                  <c:v>0.26601600000000003</c:v>
                </c:pt>
                <c:pt idx="562">
                  <c:v>0.26863799999999999</c:v>
                </c:pt>
                <c:pt idx="563">
                  <c:v>0.246642</c:v>
                </c:pt>
                <c:pt idx="564">
                  <c:v>0.42926400000000003</c:v>
                </c:pt>
                <c:pt idx="565">
                  <c:v>0.66572999999999993</c:v>
                </c:pt>
                <c:pt idx="566">
                  <c:v>0.77757799999999999</c:v>
                </c:pt>
                <c:pt idx="567">
                  <c:v>0.85096400000000005</c:v>
                </c:pt>
                <c:pt idx="568">
                  <c:v>0.81819599999999992</c:v>
                </c:pt>
                <c:pt idx="569">
                  <c:v>0.69619399999999998</c:v>
                </c:pt>
                <c:pt idx="570">
                  <c:v>0.84188599999999991</c:v>
                </c:pt>
                <c:pt idx="571">
                  <c:v>0.82603599999999999</c:v>
                </c:pt>
                <c:pt idx="572">
                  <c:v>0.48557</c:v>
                </c:pt>
                <c:pt idx="573">
                  <c:v>0.38202599999999998</c:v>
                </c:pt>
                <c:pt idx="574">
                  <c:v>9.079000000000001E-2</c:v>
                </c:pt>
                <c:pt idx="575">
                  <c:v>8.8782E-2</c:v>
                </c:pt>
                <c:pt idx="576">
                  <c:v>3.7541999999999999E-2</c:v>
                </c:pt>
                <c:pt idx="577">
                  <c:v>-5.2157999999999996E-2</c:v>
                </c:pt>
                <c:pt idx="578">
                  <c:v>4.4290000000000003E-2</c:v>
                </c:pt>
                <c:pt idx="579">
                  <c:v>0.18843199999999999</c:v>
                </c:pt>
                <c:pt idx="580">
                  <c:v>0.25719000000000003</c:v>
                </c:pt>
                <c:pt idx="581">
                  <c:v>0.32902000000000003</c:v>
                </c:pt>
                <c:pt idx="582">
                  <c:v>0.317774</c:v>
                </c:pt>
                <c:pt idx="583">
                  <c:v>0.25268200000000002</c:v>
                </c:pt>
                <c:pt idx="584">
                  <c:v>0.24143200000000001</c:v>
                </c:pt>
                <c:pt idx="585">
                  <c:v>0.22248999999999999</c:v>
                </c:pt>
                <c:pt idx="586">
                  <c:v>0.14662600000000001</c:v>
                </c:pt>
                <c:pt idx="587">
                  <c:v>0.48460199999999998</c:v>
                </c:pt>
                <c:pt idx="588">
                  <c:v>0.54565799999999998</c:v>
                </c:pt>
                <c:pt idx="589">
                  <c:v>0.68825199999999997</c:v>
                </c:pt>
                <c:pt idx="590">
                  <c:v>0.77391799999999999</c:v>
                </c:pt>
                <c:pt idx="591">
                  <c:v>0.60727799999999998</c:v>
                </c:pt>
                <c:pt idx="592">
                  <c:v>0.50063599999999997</c:v>
                </c:pt>
                <c:pt idx="593">
                  <c:v>0.48475999999999997</c:v>
                </c:pt>
                <c:pt idx="594">
                  <c:v>0.37042400000000003</c:v>
                </c:pt>
                <c:pt idx="595">
                  <c:v>0.19300999999999999</c:v>
                </c:pt>
                <c:pt idx="596">
                  <c:v>-1.0562E-2</c:v>
                </c:pt>
                <c:pt idx="597">
                  <c:v>-8.1823999999999994E-2</c:v>
                </c:pt>
                <c:pt idx="598">
                  <c:v>-2.3180000000000002E-3</c:v>
                </c:pt>
                <c:pt idx="599">
                  <c:v>0.115646</c:v>
                </c:pt>
                <c:pt idx="600">
                  <c:v>-1.7158E-2</c:v>
                </c:pt>
                <c:pt idx="601">
                  <c:v>-7.4577999999999992E-2</c:v>
                </c:pt>
                <c:pt idx="602">
                  <c:v>3.382E-3</c:v>
                </c:pt>
                <c:pt idx="603">
                  <c:v>7.4960000000000001E-3</c:v>
                </c:pt>
                <c:pt idx="604">
                  <c:v>-3.6082000000000003E-2</c:v>
                </c:pt>
                <c:pt idx="605">
                  <c:v>-0.23350799999999999</c:v>
                </c:pt>
                <c:pt idx="606">
                  <c:v>-0.18785799999999997</c:v>
                </c:pt>
                <c:pt idx="607">
                  <c:v>-0.26990200000000003</c:v>
                </c:pt>
                <c:pt idx="608">
                  <c:v>-0.15656400000000001</c:v>
                </c:pt>
                <c:pt idx="609">
                  <c:v>-0.36322399999999999</c:v>
                </c:pt>
                <c:pt idx="610">
                  <c:v>-0.303732</c:v>
                </c:pt>
                <c:pt idx="611">
                  <c:v>-0.188858</c:v>
                </c:pt>
                <c:pt idx="612">
                  <c:v>-0.160138</c:v>
                </c:pt>
                <c:pt idx="613">
                  <c:v>8.5819999999999994E-3</c:v>
                </c:pt>
                <c:pt idx="614">
                  <c:v>0.26191400000000004</c:v>
                </c:pt>
                <c:pt idx="615">
                  <c:v>0.28601599999999999</c:v>
                </c:pt>
                <c:pt idx="616">
                  <c:v>0.391654</c:v>
                </c:pt>
                <c:pt idx="617">
                  <c:v>0.55728999999999995</c:v>
                </c:pt>
                <c:pt idx="618">
                  <c:v>0.59061999999999992</c:v>
                </c:pt>
                <c:pt idx="619">
                  <c:v>0.31779399999999997</c:v>
                </c:pt>
                <c:pt idx="620">
                  <c:v>0.41881000000000002</c:v>
                </c:pt>
                <c:pt idx="621">
                  <c:v>0.68444400000000005</c:v>
                </c:pt>
                <c:pt idx="622">
                  <c:v>0.82084599999999996</c:v>
                </c:pt>
                <c:pt idx="623">
                  <c:v>0.85262799999999994</c:v>
                </c:pt>
                <c:pt idx="624">
                  <c:v>0.92133600000000004</c:v>
                </c:pt>
                <c:pt idx="625">
                  <c:v>1.039272</c:v>
                </c:pt>
                <c:pt idx="626">
                  <c:v>1.164898</c:v>
                </c:pt>
                <c:pt idx="627">
                  <c:v>1.2074480000000001</c:v>
                </c:pt>
                <c:pt idx="628">
                  <c:v>1.143842</c:v>
                </c:pt>
                <c:pt idx="629">
                  <c:v>1.120234</c:v>
                </c:pt>
                <c:pt idx="630">
                  <c:v>0.85816400000000004</c:v>
                </c:pt>
                <c:pt idx="631">
                  <c:v>0.79455600000000004</c:v>
                </c:pt>
                <c:pt idx="632">
                  <c:v>0.73094399999999993</c:v>
                </c:pt>
                <c:pt idx="633">
                  <c:v>0.73194800000000004</c:v>
                </c:pt>
                <c:pt idx="634">
                  <c:v>0.18526000000000001</c:v>
                </c:pt>
                <c:pt idx="635">
                  <c:v>0.40779799999999999</c:v>
                </c:pt>
                <c:pt idx="636">
                  <c:v>0.39341399999999999</c:v>
                </c:pt>
                <c:pt idx="637">
                  <c:v>0.371338</c:v>
                </c:pt>
                <c:pt idx="638">
                  <c:v>0.37541200000000002</c:v>
                </c:pt>
                <c:pt idx="639">
                  <c:v>0.508718</c:v>
                </c:pt>
                <c:pt idx="640">
                  <c:v>0.48509799999999997</c:v>
                </c:pt>
                <c:pt idx="641">
                  <c:v>0.270706</c:v>
                </c:pt>
                <c:pt idx="642">
                  <c:v>7.9394000000000006E-2</c:v>
                </c:pt>
                <c:pt idx="643">
                  <c:v>3.4234000000000001E-2</c:v>
                </c:pt>
                <c:pt idx="644">
                  <c:v>-0.20323799999999997</c:v>
                </c:pt>
                <c:pt idx="645">
                  <c:v>-9.3016000000000001E-2</c:v>
                </c:pt>
                <c:pt idx="646">
                  <c:v>-0.15972</c:v>
                </c:pt>
                <c:pt idx="647">
                  <c:v>-0.23257999999999998</c:v>
                </c:pt>
                <c:pt idx="648">
                  <c:v>-0.45620600000000006</c:v>
                </c:pt>
                <c:pt idx="649">
                  <c:v>-0.38906599999999997</c:v>
                </c:pt>
                <c:pt idx="650">
                  <c:v>-0.237314</c:v>
                </c:pt>
                <c:pt idx="651">
                  <c:v>-0.13786799999999999</c:v>
                </c:pt>
                <c:pt idx="652">
                  <c:v>-0.41688600000000003</c:v>
                </c:pt>
                <c:pt idx="653">
                  <c:v>-0.54205999999999999</c:v>
                </c:pt>
                <c:pt idx="654">
                  <c:v>-0.27954000000000001</c:v>
                </c:pt>
                <c:pt idx="655">
                  <c:v>-0.39702199999999999</c:v>
                </c:pt>
                <c:pt idx="656">
                  <c:v>-0.50835399999999997</c:v>
                </c:pt>
                <c:pt idx="657">
                  <c:v>-0.23045400000000002</c:v>
                </c:pt>
                <c:pt idx="658">
                  <c:v>-0.28947600000000001</c:v>
                </c:pt>
                <c:pt idx="659">
                  <c:v>-0.25312000000000001</c:v>
                </c:pt>
                <c:pt idx="660">
                  <c:v>-4.9067999999999994E-2</c:v>
                </c:pt>
                <c:pt idx="661">
                  <c:v>1.1360000000000001E-3</c:v>
                </c:pt>
                <c:pt idx="662">
                  <c:v>0.13749</c:v>
                </c:pt>
                <c:pt idx="663">
                  <c:v>0.23076799999999997</c:v>
                </c:pt>
                <c:pt idx="664">
                  <c:v>4.8659999999999995E-2</c:v>
                </c:pt>
                <c:pt idx="665">
                  <c:v>0.16808800000000002</c:v>
                </c:pt>
                <c:pt idx="666">
                  <c:v>0.14751600000000001</c:v>
                </c:pt>
                <c:pt idx="667">
                  <c:v>3.4636E-2</c:v>
                </c:pt>
                <c:pt idx="668">
                  <c:v>6.0213999999999997E-2</c:v>
                </c:pt>
                <c:pt idx="669">
                  <c:v>0.42117800000000005</c:v>
                </c:pt>
                <c:pt idx="670">
                  <c:v>0.24521799999999999</c:v>
                </c:pt>
                <c:pt idx="671">
                  <c:v>0.27540799999999999</c:v>
                </c:pt>
                <c:pt idx="672">
                  <c:v>0.187138</c:v>
                </c:pt>
                <c:pt idx="673">
                  <c:v>0.27117400000000003</c:v>
                </c:pt>
                <c:pt idx="674">
                  <c:v>0.30443799999999999</c:v>
                </c:pt>
                <c:pt idx="675">
                  <c:v>0.20385600000000001</c:v>
                </c:pt>
                <c:pt idx="676">
                  <c:v>0.10173600000000001</c:v>
                </c:pt>
                <c:pt idx="677">
                  <c:v>0.20268799999999998</c:v>
                </c:pt>
                <c:pt idx="678">
                  <c:v>0.137488</c:v>
                </c:pt>
                <c:pt idx="679">
                  <c:v>5.0747999999999995E-2</c:v>
                </c:pt>
                <c:pt idx="680">
                  <c:v>2.862E-2</c:v>
                </c:pt>
                <c:pt idx="681">
                  <c:v>-0.22889199999999998</c:v>
                </c:pt>
                <c:pt idx="682">
                  <c:v>-0.49871200000000004</c:v>
                </c:pt>
                <c:pt idx="683">
                  <c:v>-0.43469000000000002</c:v>
                </c:pt>
                <c:pt idx="684">
                  <c:v>-0.60604999999999998</c:v>
                </c:pt>
                <c:pt idx="685">
                  <c:v>-0.61587400000000003</c:v>
                </c:pt>
                <c:pt idx="686">
                  <c:v>-0.42877799999999999</c:v>
                </c:pt>
                <c:pt idx="687">
                  <c:v>-0.30321799999999999</c:v>
                </c:pt>
                <c:pt idx="688">
                  <c:v>-0.30073800000000001</c:v>
                </c:pt>
                <c:pt idx="689">
                  <c:v>-0.39672199999999996</c:v>
                </c:pt>
                <c:pt idx="690">
                  <c:v>-0.41731999999999997</c:v>
                </c:pt>
                <c:pt idx="691">
                  <c:v>-0.41330399999999995</c:v>
                </c:pt>
                <c:pt idx="692">
                  <c:v>-0.42006199999999999</c:v>
                </c:pt>
                <c:pt idx="693">
                  <c:v>-0.32989400000000002</c:v>
                </c:pt>
                <c:pt idx="694">
                  <c:v>4.335E-2</c:v>
                </c:pt>
                <c:pt idx="695">
                  <c:v>0.53197400000000006</c:v>
                </c:pt>
                <c:pt idx="696">
                  <c:v>0.668292</c:v>
                </c:pt>
                <c:pt idx="697">
                  <c:v>0.85999399999999993</c:v>
                </c:pt>
                <c:pt idx="698">
                  <c:v>1.0670759999999999</c:v>
                </c:pt>
                <c:pt idx="699">
                  <c:v>0.94800600000000002</c:v>
                </c:pt>
                <c:pt idx="700">
                  <c:v>0.90124199999999999</c:v>
                </c:pt>
                <c:pt idx="701">
                  <c:v>0.76524400000000004</c:v>
                </c:pt>
                <c:pt idx="702">
                  <c:v>0.7415560000000001</c:v>
                </c:pt>
                <c:pt idx="703">
                  <c:v>0.60555799999999993</c:v>
                </c:pt>
                <c:pt idx="704">
                  <c:v>0.40801799999999999</c:v>
                </c:pt>
                <c:pt idx="705">
                  <c:v>0.43817200000000001</c:v>
                </c:pt>
                <c:pt idx="706">
                  <c:v>0.42063200000000001</c:v>
                </c:pt>
                <c:pt idx="707">
                  <c:v>0.18309</c:v>
                </c:pt>
                <c:pt idx="708">
                  <c:v>-0.26983599999999996</c:v>
                </c:pt>
                <c:pt idx="709">
                  <c:v>-0.29968800000000001</c:v>
                </c:pt>
                <c:pt idx="710">
                  <c:v>-0.28338799999999997</c:v>
                </c:pt>
                <c:pt idx="711">
                  <c:v>-0.396318</c:v>
                </c:pt>
                <c:pt idx="712">
                  <c:v>-0.47078600000000004</c:v>
                </c:pt>
                <c:pt idx="713">
                  <c:v>-0.57756799999999997</c:v>
                </c:pt>
                <c:pt idx="714">
                  <c:v>-0.95973200000000003</c:v>
                </c:pt>
                <c:pt idx="715">
                  <c:v>-1.0803579999999999</c:v>
                </c:pt>
                <c:pt idx="716">
                  <c:v>-1.0240659999999999</c:v>
                </c:pt>
                <c:pt idx="717">
                  <c:v>-1.1400779999999999</c:v>
                </c:pt>
                <c:pt idx="718">
                  <c:v>-1.2468619999999999</c:v>
                </c:pt>
                <c:pt idx="719">
                  <c:v>-1.515188</c:v>
                </c:pt>
                <c:pt idx="720">
                  <c:v>-1.5019739999999999</c:v>
                </c:pt>
                <c:pt idx="721">
                  <c:v>-1.4702999999999999</c:v>
                </c:pt>
                <c:pt idx="722">
                  <c:v>-1.4709379999999999</c:v>
                </c:pt>
                <c:pt idx="723">
                  <c:v>-1.350034</c:v>
                </c:pt>
                <c:pt idx="724">
                  <c:v>-1.133748</c:v>
                </c:pt>
                <c:pt idx="725">
                  <c:v>-1.04362</c:v>
                </c:pt>
                <c:pt idx="726">
                  <c:v>-1.1857960000000001</c:v>
                </c:pt>
                <c:pt idx="727">
                  <c:v>-0.70797600000000005</c:v>
                </c:pt>
                <c:pt idx="728">
                  <c:v>-0.60246600000000006</c:v>
                </c:pt>
                <c:pt idx="729">
                  <c:v>-0.70926199999999995</c:v>
                </c:pt>
                <c:pt idx="730">
                  <c:v>-0.53452</c:v>
                </c:pt>
                <c:pt idx="731">
                  <c:v>-0.57362999999999997</c:v>
                </c:pt>
                <c:pt idx="732">
                  <c:v>-0.50350600000000001</c:v>
                </c:pt>
                <c:pt idx="733">
                  <c:v>-0.45646000000000003</c:v>
                </c:pt>
                <c:pt idx="734">
                  <c:v>-0.31095800000000001</c:v>
                </c:pt>
                <c:pt idx="735">
                  <c:v>-0.33776000000000006</c:v>
                </c:pt>
                <c:pt idx="736">
                  <c:v>-0.30148800000000003</c:v>
                </c:pt>
                <c:pt idx="737">
                  <c:v>-0.445218</c:v>
                </c:pt>
                <c:pt idx="738">
                  <c:v>-0.63971800000000001</c:v>
                </c:pt>
                <c:pt idx="739">
                  <c:v>-0.40498600000000001</c:v>
                </c:pt>
                <c:pt idx="740">
                  <c:v>-0.45333599999999996</c:v>
                </c:pt>
                <c:pt idx="741">
                  <c:v>-0.70476200000000011</c:v>
                </c:pt>
                <c:pt idx="742">
                  <c:v>-0.87926400000000005</c:v>
                </c:pt>
                <c:pt idx="743">
                  <c:v>-1.0414639999999999</c:v>
                </c:pt>
                <c:pt idx="744">
                  <c:v>-0.99289199999999989</c:v>
                </c:pt>
                <c:pt idx="745">
                  <c:v>-0.85970600000000008</c:v>
                </c:pt>
                <c:pt idx="746">
                  <c:v>-0.65575599999999989</c:v>
                </c:pt>
                <c:pt idx="747">
                  <c:v>-0.72564800000000007</c:v>
                </c:pt>
                <c:pt idx="748">
                  <c:v>-0.68323599999999995</c:v>
                </c:pt>
                <c:pt idx="749">
                  <c:v>-0.7346720000000001</c:v>
                </c:pt>
                <c:pt idx="750">
                  <c:v>-0.72303200000000001</c:v>
                </c:pt>
                <c:pt idx="751">
                  <c:v>-0.53754400000000002</c:v>
                </c:pt>
                <c:pt idx="752">
                  <c:v>-0.56129200000000001</c:v>
                </c:pt>
                <c:pt idx="753">
                  <c:v>-0.61273200000000005</c:v>
                </c:pt>
                <c:pt idx="754">
                  <c:v>-0.16878599999999999</c:v>
                </c:pt>
                <c:pt idx="755">
                  <c:v>0.15823200000000001</c:v>
                </c:pt>
                <c:pt idx="756">
                  <c:v>0.443712</c:v>
                </c:pt>
                <c:pt idx="757">
                  <c:v>0.63842199999999993</c:v>
                </c:pt>
                <c:pt idx="758">
                  <c:v>0.78082200000000002</c:v>
                </c:pt>
                <c:pt idx="759">
                  <c:v>0.83091399999999993</c:v>
                </c:pt>
                <c:pt idx="760">
                  <c:v>0.90254599999999996</c:v>
                </c:pt>
                <c:pt idx="761">
                  <c:v>0.940326</c:v>
                </c:pt>
                <c:pt idx="762">
                  <c:v>0.63964599999999994</c:v>
                </c:pt>
                <c:pt idx="763">
                  <c:v>0.38511800000000002</c:v>
                </c:pt>
                <c:pt idx="764">
                  <c:v>0.33366399999999996</c:v>
                </c:pt>
                <c:pt idx="765">
                  <c:v>0.48836599999999997</c:v>
                </c:pt>
                <c:pt idx="766">
                  <c:v>0.70460599999999995</c:v>
                </c:pt>
                <c:pt idx="767">
                  <c:v>0.50391800000000009</c:v>
                </c:pt>
                <c:pt idx="768">
                  <c:v>0.52938399999999997</c:v>
                </c:pt>
                <c:pt idx="769">
                  <c:v>0.57484999999999997</c:v>
                </c:pt>
                <c:pt idx="770">
                  <c:v>0.54646600000000001</c:v>
                </c:pt>
                <c:pt idx="771">
                  <c:v>0.419624</c:v>
                </c:pt>
                <c:pt idx="772">
                  <c:v>0.19123999999999999</c:v>
                </c:pt>
                <c:pt idx="773">
                  <c:v>0.23823799999999998</c:v>
                </c:pt>
                <c:pt idx="774">
                  <c:v>0.257544</c:v>
                </c:pt>
                <c:pt idx="775">
                  <c:v>0.40608</c:v>
                </c:pt>
                <c:pt idx="776">
                  <c:v>0.44845999999999997</c:v>
                </c:pt>
                <c:pt idx="777">
                  <c:v>0.20007000000000003</c:v>
                </c:pt>
                <c:pt idx="778">
                  <c:v>-1.2936000000000001E-2</c:v>
                </c:pt>
                <c:pt idx="779">
                  <c:v>-6.4406000000000005E-2</c:v>
                </c:pt>
                <c:pt idx="780">
                  <c:v>8.7399999999999995E-3</c:v>
                </c:pt>
                <c:pt idx="781">
                  <c:v>5.5731999999999997E-2</c:v>
                </c:pt>
                <c:pt idx="782">
                  <c:v>0.17194999999999999</c:v>
                </c:pt>
                <c:pt idx="783">
                  <c:v>0.32355400000000001</c:v>
                </c:pt>
                <c:pt idx="784">
                  <c:v>0.37361800000000001</c:v>
                </c:pt>
                <c:pt idx="785">
                  <c:v>0.50829400000000002</c:v>
                </c:pt>
                <c:pt idx="786">
                  <c:v>0.48758800000000002</c:v>
                </c:pt>
                <c:pt idx="787">
                  <c:v>0.517648</c:v>
                </c:pt>
                <c:pt idx="788">
                  <c:v>0.59847600000000001</c:v>
                </c:pt>
                <c:pt idx="789">
                  <c:v>0.85622600000000004</c:v>
                </c:pt>
                <c:pt idx="790">
                  <c:v>0.90782200000000002</c:v>
                </c:pt>
                <c:pt idx="791">
                  <c:v>0.97941599999999995</c:v>
                </c:pt>
                <c:pt idx="792">
                  <c:v>0.87254799999999999</c:v>
                </c:pt>
                <c:pt idx="793">
                  <c:v>0.88721800000000006</c:v>
                </c:pt>
                <c:pt idx="794">
                  <c:v>0.84650000000000003</c:v>
                </c:pt>
                <c:pt idx="795">
                  <c:v>0.79962800000000001</c:v>
                </c:pt>
                <c:pt idx="796">
                  <c:v>0.648142</c:v>
                </c:pt>
                <c:pt idx="797">
                  <c:v>0.68587999999999993</c:v>
                </c:pt>
                <c:pt idx="798">
                  <c:v>0.30208400000000002</c:v>
                </c:pt>
                <c:pt idx="799">
                  <c:v>-0.169408</c:v>
                </c:pt>
                <c:pt idx="800">
                  <c:v>-0.71167199999999997</c:v>
                </c:pt>
                <c:pt idx="801">
                  <c:v>-1.1431640000000001</c:v>
                </c:pt>
                <c:pt idx="802">
                  <c:v>-1.6023500000000002</c:v>
                </c:pt>
                <c:pt idx="803">
                  <c:v>-1.601542</c:v>
                </c:pt>
                <c:pt idx="804">
                  <c:v>-1.8145760000000002</c:v>
                </c:pt>
                <c:pt idx="805">
                  <c:v>-1.9076120000000001</c:v>
                </c:pt>
                <c:pt idx="806">
                  <c:v>-1.9868060000000001</c:v>
                </c:pt>
                <c:pt idx="807">
                  <c:v>-2.0106139999999999</c:v>
                </c:pt>
                <c:pt idx="808">
                  <c:v>-2.257498</c:v>
                </c:pt>
                <c:pt idx="809">
                  <c:v>-2.2720799999999999</c:v>
                </c:pt>
                <c:pt idx="810">
                  <c:v>-2.4020459999999999</c:v>
                </c:pt>
                <c:pt idx="811">
                  <c:v>-1.9535499999999999</c:v>
                </c:pt>
                <c:pt idx="812">
                  <c:v>-1.5281340000000001</c:v>
                </c:pt>
                <c:pt idx="813">
                  <c:v>-1.1442559999999999</c:v>
                </c:pt>
                <c:pt idx="814">
                  <c:v>-0.96960999999999997</c:v>
                </c:pt>
                <c:pt idx="815">
                  <c:v>-0.7949679999999999</c:v>
                </c:pt>
                <c:pt idx="816">
                  <c:v>-0.63417000000000001</c:v>
                </c:pt>
                <c:pt idx="817">
                  <c:v>-0.36875799999999997</c:v>
                </c:pt>
                <c:pt idx="818">
                  <c:v>-0.115658</c:v>
                </c:pt>
                <c:pt idx="819">
                  <c:v>8.5136000000000003E-2</c:v>
                </c:pt>
                <c:pt idx="820">
                  <c:v>0.227468</c:v>
                </c:pt>
                <c:pt idx="821">
                  <c:v>0.56364199999999998</c:v>
                </c:pt>
                <c:pt idx="822">
                  <c:v>0.63520200000000004</c:v>
                </c:pt>
                <c:pt idx="823">
                  <c:v>0.61599199999999998</c:v>
                </c:pt>
                <c:pt idx="824">
                  <c:v>0.44293199999999999</c:v>
                </c:pt>
                <c:pt idx="825">
                  <c:v>0.50987199999999999</c:v>
                </c:pt>
                <c:pt idx="826">
                  <c:v>0.68912000000000007</c:v>
                </c:pt>
                <c:pt idx="827">
                  <c:v>0.91451800000000005</c:v>
                </c:pt>
                <c:pt idx="828">
                  <c:v>1.122994</c:v>
                </c:pt>
                <c:pt idx="829">
                  <c:v>1.365316</c:v>
                </c:pt>
                <c:pt idx="830">
                  <c:v>1.2599420000000001</c:v>
                </c:pt>
                <c:pt idx="831">
                  <c:v>1.3314920000000001</c:v>
                </c:pt>
                <c:pt idx="832">
                  <c:v>1.152272</c:v>
                </c:pt>
                <c:pt idx="833">
                  <c:v>0.84227799999999997</c:v>
                </c:pt>
                <c:pt idx="834">
                  <c:v>0.70920799999999995</c:v>
                </c:pt>
                <c:pt idx="835">
                  <c:v>0.69459999999999988</c:v>
                </c:pt>
                <c:pt idx="836">
                  <c:v>0.84921800000000003</c:v>
                </c:pt>
                <c:pt idx="837">
                  <c:v>0.8838379999999999</c:v>
                </c:pt>
                <c:pt idx="838">
                  <c:v>0.73845799999999995</c:v>
                </c:pt>
                <c:pt idx="839">
                  <c:v>0.62384200000000001</c:v>
                </c:pt>
                <c:pt idx="840">
                  <c:v>0.52768999999999999</c:v>
                </c:pt>
                <c:pt idx="841">
                  <c:v>0.50845999999999991</c:v>
                </c:pt>
                <c:pt idx="842">
                  <c:v>0.47230200000000006</c:v>
                </c:pt>
                <c:pt idx="843">
                  <c:v>0.56383800000000006</c:v>
                </c:pt>
                <c:pt idx="844">
                  <c:v>0.36768000000000001</c:v>
                </c:pt>
                <c:pt idx="845">
                  <c:v>0.66536600000000012</c:v>
                </c:pt>
                <c:pt idx="846">
                  <c:v>0.87536000000000003</c:v>
                </c:pt>
                <c:pt idx="847">
                  <c:v>0.79458399999999996</c:v>
                </c:pt>
                <c:pt idx="848">
                  <c:v>0.67072799999999999</c:v>
                </c:pt>
                <c:pt idx="849">
                  <c:v>0.21610399999999999</c:v>
                </c:pt>
                <c:pt idx="850">
                  <c:v>1.6864000000000001E-2</c:v>
                </c:pt>
                <c:pt idx="851">
                  <c:v>-9.7766000000000006E-2</c:v>
                </c:pt>
                <c:pt idx="852">
                  <c:v>-0.14316200000000001</c:v>
                </c:pt>
                <c:pt idx="853">
                  <c:v>-0.17163799999999999</c:v>
                </c:pt>
                <c:pt idx="854">
                  <c:v>-9.7040000000000001E-2</c:v>
                </c:pt>
                <c:pt idx="855">
                  <c:v>-0.27321000000000001</c:v>
                </c:pt>
                <c:pt idx="856">
                  <c:v>-0.30015000000000003</c:v>
                </c:pt>
                <c:pt idx="857">
                  <c:v>-0.52093999999999996</c:v>
                </c:pt>
                <c:pt idx="858">
                  <c:v>-1.0263420000000001</c:v>
                </c:pt>
                <c:pt idx="859">
                  <c:v>-1.0579019999999999</c:v>
                </c:pt>
                <c:pt idx="860">
                  <c:v>-0.87715599999999994</c:v>
                </c:pt>
                <c:pt idx="861">
                  <c:v>-0.75641000000000003</c:v>
                </c:pt>
                <c:pt idx="862">
                  <c:v>-0.47720199999999996</c:v>
                </c:pt>
                <c:pt idx="863">
                  <c:v>-0.42415199999999997</c:v>
                </c:pt>
                <c:pt idx="864">
                  <c:v>-0.30341000000000001</c:v>
                </c:pt>
                <c:pt idx="865">
                  <c:v>-6.5743999999999997E-2</c:v>
                </c:pt>
                <c:pt idx="866">
                  <c:v>0.10422599999999999</c:v>
                </c:pt>
                <c:pt idx="867">
                  <c:v>1.4196E-2</c:v>
                </c:pt>
                <c:pt idx="868">
                  <c:v>0.17339599999999999</c:v>
                </c:pt>
                <c:pt idx="869">
                  <c:v>0.32336199999999998</c:v>
                </c:pt>
                <c:pt idx="870">
                  <c:v>0.67332999999999998</c:v>
                </c:pt>
                <c:pt idx="871">
                  <c:v>0.85714200000000007</c:v>
                </c:pt>
                <c:pt idx="872">
                  <c:v>0.72710400000000008</c:v>
                </c:pt>
                <c:pt idx="873">
                  <c:v>0.677068</c:v>
                </c:pt>
                <c:pt idx="874">
                  <c:v>0.45779999999999998</c:v>
                </c:pt>
                <c:pt idx="875">
                  <c:v>0.48776000000000003</c:v>
                </c:pt>
                <c:pt idx="876">
                  <c:v>0.62541200000000008</c:v>
                </c:pt>
                <c:pt idx="877">
                  <c:v>0.63537199999999994</c:v>
                </c:pt>
                <c:pt idx="878">
                  <c:v>0.39301999999999998</c:v>
                </c:pt>
                <c:pt idx="879">
                  <c:v>0.47528399999999998</c:v>
                </c:pt>
                <c:pt idx="880">
                  <c:v>0.64062600000000003</c:v>
                </c:pt>
                <c:pt idx="881">
                  <c:v>0.59519199999999994</c:v>
                </c:pt>
                <c:pt idx="882">
                  <c:v>0.17129999999999998</c:v>
                </c:pt>
                <c:pt idx="883">
                  <c:v>7.4080000000000005E-3</c:v>
                </c:pt>
                <c:pt idx="884">
                  <c:v>0.154278</c:v>
                </c:pt>
                <c:pt idx="885">
                  <c:v>-0.20654</c:v>
                </c:pt>
                <c:pt idx="886">
                  <c:v>-0.75966800000000001</c:v>
                </c:pt>
                <c:pt idx="887">
                  <c:v>-0.80818400000000001</c:v>
                </c:pt>
                <c:pt idx="888">
                  <c:v>-1.0166979999999999</c:v>
                </c:pt>
                <c:pt idx="889">
                  <c:v>-1.2221359999999999</c:v>
                </c:pt>
                <c:pt idx="890">
                  <c:v>-1.1321939999999999</c:v>
                </c:pt>
                <c:pt idx="891">
                  <c:v>-0.97917399999999999</c:v>
                </c:pt>
                <c:pt idx="892">
                  <c:v>-1.1307700000000001</c:v>
                </c:pt>
                <c:pt idx="893">
                  <c:v>-1.3839080000000001</c:v>
                </c:pt>
                <c:pt idx="894">
                  <c:v>-1.3878139999999999</c:v>
                </c:pt>
                <c:pt idx="895">
                  <c:v>-1.1717219999999999</c:v>
                </c:pt>
                <c:pt idx="896">
                  <c:v>-1.240248</c:v>
                </c:pt>
                <c:pt idx="897">
                  <c:v>-1.268772</c:v>
                </c:pt>
                <c:pt idx="898">
                  <c:v>-0.96345200000000009</c:v>
                </c:pt>
                <c:pt idx="899">
                  <c:v>-0.559674</c:v>
                </c:pt>
                <c:pt idx="900">
                  <c:v>-0.34973999999999994</c:v>
                </c:pt>
                <c:pt idx="901">
                  <c:v>-6.4423999999999995E-2</c:v>
                </c:pt>
                <c:pt idx="902">
                  <c:v>0.27473600000000004</c:v>
                </c:pt>
                <c:pt idx="903">
                  <c:v>0.241588</c:v>
                </c:pt>
                <c:pt idx="904">
                  <c:v>0.14843999999999999</c:v>
                </c:pt>
                <c:pt idx="905">
                  <c:v>0.246058</c:v>
                </c:pt>
                <c:pt idx="906">
                  <c:v>0.38675400000000004</c:v>
                </c:pt>
                <c:pt idx="907">
                  <c:v>0.590526</c:v>
                </c:pt>
                <c:pt idx="908">
                  <c:v>0.77121600000000001</c:v>
                </c:pt>
                <c:pt idx="909">
                  <c:v>0.89652399999999999</c:v>
                </c:pt>
                <c:pt idx="910">
                  <c:v>0.71721599999999996</c:v>
                </c:pt>
                <c:pt idx="911">
                  <c:v>0.78713399999999989</c:v>
                </c:pt>
                <c:pt idx="912">
                  <c:v>0.74320800000000009</c:v>
                </c:pt>
                <c:pt idx="913">
                  <c:v>0.74543400000000004</c:v>
                </c:pt>
                <c:pt idx="914">
                  <c:v>0.76919399999999993</c:v>
                </c:pt>
                <c:pt idx="915">
                  <c:v>0.80064999999999997</c:v>
                </c:pt>
                <c:pt idx="916">
                  <c:v>0.77210400000000012</c:v>
                </c:pt>
                <c:pt idx="917">
                  <c:v>0.99739999999999995</c:v>
                </c:pt>
                <c:pt idx="918">
                  <c:v>0.86269800000000008</c:v>
                </c:pt>
                <c:pt idx="919">
                  <c:v>0.90337800000000001</c:v>
                </c:pt>
                <c:pt idx="920">
                  <c:v>0.50867200000000001</c:v>
                </c:pt>
                <c:pt idx="921">
                  <c:v>0.43396600000000002</c:v>
                </c:pt>
                <c:pt idx="922">
                  <c:v>0.25002800000000003</c:v>
                </c:pt>
                <c:pt idx="923">
                  <c:v>0.34301000000000004</c:v>
                </c:pt>
                <c:pt idx="924">
                  <c:v>0.33906999999999998</c:v>
                </c:pt>
                <c:pt idx="925">
                  <c:v>0.31512799999999996</c:v>
                </c:pt>
                <c:pt idx="926">
                  <c:v>0.38195400000000002</c:v>
                </c:pt>
                <c:pt idx="927">
                  <c:v>0.38108600000000004</c:v>
                </c:pt>
                <c:pt idx="928">
                  <c:v>0.41406599999999999</c:v>
                </c:pt>
                <c:pt idx="929">
                  <c:v>0.54088599999999998</c:v>
                </c:pt>
                <c:pt idx="930">
                  <c:v>0.49232399999999998</c:v>
                </c:pt>
                <c:pt idx="931">
                  <c:v>0.64222399999999991</c:v>
                </c:pt>
                <c:pt idx="932">
                  <c:v>0.54134799999999994</c:v>
                </c:pt>
                <c:pt idx="933">
                  <c:v>0.83585999999999994</c:v>
                </c:pt>
                <c:pt idx="934">
                  <c:v>0.88114000000000003</c:v>
                </c:pt>
                <c:pt idx="935">
                  <c:v>0.82026200000000005</c:v>
                </c:pt>
                <c:pt idx="936">
                  <c:v>0.88092399999999993</c:v>
                </c:pt>
                <c:pt idx="937">
                  <c:v>0.96004599999999995</c:v>
                </c:pt>
                <c:pt idx="938">
                  <c:v>1.09301</c:v>
                </c:pt>
                <c:pt idx="939">
                  <c:v>1.155208</c:v>
                </c:pt>
                <c:pt idx="940">
                  <c:v>1.077404</c:v>
                </c:pt>
                <c:pt idx="941">
                  <c:v>0.99036400000000002</c:v>
                </c:pt>
                <c:pt idx="942">
                  <c:v>0.77717400000000003</c:v>
                </c:pt>
                <c:pt idx="943">
                  <c:v>0.64398200000000005</c:v>
                </c:pt>
                <c:pt idx="944">
                  <c:v>0.55386200000000008</c:v>
                </c:pt>
                <c:pt idx="945">
                  <c:v>0.39759</c:v>
                </c:pt>
                <c:pt idx="946">
                  <c:v>0.12900999999999999</c:v>
                </c:pt>
                <c:pt idx="947">
                  <c:v>-4.8804E-2</c:v>
                </c:pt>
                <c:pt idx="948">
                  <c:v>-4.8155999999999997E-2</c:v>
                </c:pt>
                <c:pt idx="949">
                  <c:v>-6.1353999999999999E-2</c:v>
                </c:pt>
                <c:pt idx="950">
                  <c:v>2.2366E-2</c:v>
                </c:pt>
                <c:pt idx="951">
                  <c:v>3.9933999999999997E-2</c:v>
                </c:pt>
                <c:pt idx="952">
                  <c:v>3.2885999999999999E-2</c:v>
                </c:pt>
                <c:pt idx="953">
                  <c:v>-7.5705999999999996E-2</c:v>
                </c:pt>
                <c:pt idx="954">
                  <c:v>-0.37506400000000001</c:v>
                </c:pt>
                <c:pt idx="955">
                  <c:v>-0.68365399999999998</c:v>
                </c:pt>
                <c:pt idx="956">
                  <c:v>-0.74763199999999996</c:v>
                </c:pt>
                <c:pt idx="957">
                  <c:v>-1.1269940000000001</c:v>
                </c:pt>
                <c:pt idx="958">
                  <c:v>-1.2848200000000001</c:v>
                </c:pt>
                <c:pt idx="959">
                  <c:v>-1.498032</c:v>
                </c:pt>
                <c:pt idx="960">
                  <c:v>-1.5712440000000001</c:v>
                </c:pt>
                <c:pt idx="961">
                  <c:v>-1.4536859999999998</c:v>
                </c:pt>
                <c:pt idx="962">
                  <c:v>-1.397672</c:v>
                </c:pt>
                <c:pt idx="963">
                  <c:v>-1.270888</c:v>
                </c:pt>
                <c:pt idx="964">
                  <c:v>-1.11795</c:v>
                </c:pt>
                <c:pt idx="965">
                  <c:v>-1.197322</c:v>
                </c:pt>
                <c:pt idx="966">
                  <c:v>-1.262848</c:v>
                </c:pt>
                <c:pt idx="967">
                  <c:v>-0.99299000000000004</c:v>
                </c:pt>
                <c:pt idx="968">
                  <c:v>-0.92005999999999999</c:v>
                </c:pt>
                <c:pt idx="969">
                  <c:v>-1.0348200000000001</c:v>
                </c:pt>
                <c:pt idx="970">
                  <c:v>-0.60650399999999993</c:v>
                </c:pt>
                <c:pt idx="971">
                  <c:v>-0.18896199999999999</c:v>
                </c:pt>
                <c:pt idx="972">
                  <c:v>0.23166</c:v>
                </c:pt>
                <c:pt idx="973">
                  <c:v>0.496896</c:v>
                </c:pt>
                <c:pt idx="974">
                  <c:v>0.83597200000000005</c:v>
                </c:pt>
                <c:pt idx="975">
                  <c:v>1.03813</c:v>
                </c:pt>
                <c:pt idx="976">
                  <c:v>1.0433620000000001</c:v>
                </c:pt>
                <c:pt idx="977">
                  <c:v>0.70089800000000002</c:v>
                </c:pt>
                <c:pt idx="978">
                  <c:v>0.6753579999999999</c:v>
                </c:pt>
                <c:pt idx="979">
                  <c:v>0.894432</c:v>
                </c:pt>
                <c:pt idx="980">
                  <c:v>0.88581199999999993</c:v>
                </c:pt>
                <c:pt idx="981">
                  <c:v>1.391038</c:v>
                </c:pt>
                <c:pt idx="982">
                  <c:v>1.436264</c:v>
                </c:pt>
                <c:pt idx="983">
                  <c:v>1.233792</c:v>
                </c:pt>
                <c:pt idx="984">
                  <c:v>1.0051699999999999</c:v>
                </c:pt>
                <c:pt idx="985">
                  <c:v>0.89346800000000004</c:v>
                </c:pt>
                <c:pt idx="986">
                  <c:v>0.918686</c:v>
                </c:pt>
                <c:pt idx="987">
                  <c:v>0.69467400000000001</c:v>
                </c:pt>
                <c:pt idx="988">
                  <c:v>0.69527799999999995</c:v>
                </c:pt>
                <c:pt idx="989">
                  <c:v>0.50202999999999998</c:v>
                </c:pt>
                <c:pt idx="990">
                  <c:v>0.59647799999999995</c:v>
                </c:pt>
                <c:pt idx="991">
                  <c:v>0.58477000000000001</c:v>
                </c:pt>
                <c:pt idx="992">
                  <c:v>0.56075000000000008</c:v>
                </c:pt>
                <c:pt idx="993">
                  <c:v>0.46134799999999998</c:v>
                </c:pt>
                <c:pt idx="994">
                  <c:v>2.3481999999999999E-2</c:v>
                </c:pt>
                <c:pt idx="995">
                  <c:v>-0.21438600000000002</c:v>
                </c:pt>
                <c:pt idx="996">
                  <c:v>-0.31379200000000002</c:v>
                </c:pt>
                <c:pt idx="997">
                  <c:v>-0.397814</c:v>
                </c:pt>
                <c:pt idx="998">
                  <c:v>-0.42030200000000001</c:v>
                </c:pt>
                <c:pt idx="999">
                  <c:v>-0.59509599999999996</c:v>
                </c:pt>
                <c:pt idx="1000">
                  <c:v>-0.72527600000000003</c:v>
                </c:pt>
                <c:pt idx="1001">
                  <c:v>-1.007768</c:v>
                </c:pt>
                <c:pt idx="1002">
                  <c:v>-0.96718000000000004</c:v>
                </c:pt>
                <c:pt idx="1003">
                  <c:v>-0.9358240000000001</c:v>
                </c:pt>
                <c:pt idx="1004">
                  <c:v>-0.99370400000000003</c:v>
                </c:pt>
                <c:pt idx="1005">
                  <c:v>-0.77619600000000011</c:v>
                </c:pt>
                <c:pt idx="1006">
                  <c:v>-0.94484399999999991</c:v>
                </c:pt>
                <c:pt idx="1007">
                  <c:v>-1.0088820000000001</c:v>
                </c:pt>
                <c:pt idx="1008">
                  <c:v>-0.75753200000000009</c:v>
                </c:pt>
                <c:pt idx="1009">
                  <c:v>-0.57695200000000002</c:v>
                </c:pt>
                <c:pt idx="1010">
                  <c:v>-0.33022199999999996</c:v>
                </c:pt>
                <c:pt idx="1011">
                  <c:v>-0.231184</c:v>
                </c:pt>
                <c:pt idx="1012">
                  <c:v>-0.13214600000000001</c:v>
                </c:pt>
                <c:pt idx="1013">
                  <c:v>-1.9266000000000002E-2</c:v>
                </c:pt>
                <c:pt idx="1014">
                  <c:v>-2.3199999999999997E-4</c:v>
                </c:pt>
                <c:pt idx="1015">
                  <c:v>1.8799999999999999E-3</c:v>
                </c:pt>
                <c:pt idx="1016">
                  <c:v>-3.4476E-2</c:v>
                </c:pt>
                <c:pt idx="1017">
                  <c:v>0.19994199999999998</c:v>
                </c:pt>
                <c:pt idx="1018">
                  <c:v>-9.3336000000000002E-2</c:v>
                </c:pt>
                <c:pt idx="1019">
                  <c:v>4.2613999999999999E-2</c:v>
                </c:pt>
                <c:pt idx="1020">
                  <c:v>0.18933599999999998</c:v>
                </c:pt>
                <c:pt idx="1021">
                  <c:v>0.15451599999999999</c:v>
                </c:pt>
                <c:pt idx="1022">
                  <c:v>0.32738599999999995</c:v>
                </c:pt>
                <c:pt idx="1023">
                  <c:v>0.30025800000000002</c:v>
                </c:pt>
                <c:pt idx="1024">
                  <c:v>0.23928199999999999</c:v>
                </c:pt>
                <c:pt idx="1025">
                  <c:v>8.2916000000000004E-2</c:v>
                </c:pt>
                <c:pt idx="1026">
                  <c:v>0.15578400000000001</c:v>
                </c:pt>
                <c:pt idx="1027">
                  <c:v>3.3265999999999997E-2</c:v>
                </c:pt>
                <c:pt idx="1028">
                  <c:v>-6.3102000000000005E-2</c:v>
                </c:pt>
                <c:pt idx="1029">
                  <c:v>-0.16408200000000001</c:v>
                </c:pt>
                <c:pt idx="1030">
                  <c:v>-0.37737399999999999</c:v>
                </c:pt>
                <c:pt idx="1031">
                  <c:v>-0.23066800000000001</c:v>
                </c:pt>
                <c:pt idx="1032">
                  <c:v>-0.30549999999999999</c:v>
                </c:pt>
                <c:pt idx="1033">
                  <c:v>-0.13109999999999999</c:v>
                </c:pt>
                <c:pt idx="1034">
                  <c:v>0.11867800000000001</c:v>
                </c:pt>
                <c:pt idx="1035">
                  <c:v>9.307399999999999E-2</c:v>
                </c:pt>
                <c:pt idx="1036">
                  <c:v>0.165932</c:v>
                </c:pt>
                <c:pt idx="1037">
                  <c:v>0.24185999999999999</c:v>
                </c:pt>
                <c:pt idx="1038">
                  <c:v>0.17163799999999999</c:v>
                </c:pt>
                <c:pt idx="1039">
                  <c:v>-4.7815999999999997E-2</c:v>
                </c:pt>
                <c:pt idx="1040">
                  <c:v>9.7339999999999996E-2</c:v>
                </c:pt>
                <c:pt idx="1041">
                  <c:v>-3.7502000000000001E-2</c:v>
                </c:pt>
                <c:pt idx="1042">
                  <c:v>0.20304200000000003</c:v>
                </c:pt>
                <c:pt idx="1043">
                  <c:v>0.31127199999999999</c:v>
                </c:pt>
                <c:pt idx="1044">
                  <c:v>0.25335000000000002</c:v>
                </c:pt>
                <c:pt idx="1045">
                  <c:v>0.41388800000000003</c:v>
                </c:pt>
                <c:pt idx="1046">
                  <c:v>0.48980800000000002</c:v>
                </c:pt>
                <c:pt idx="1047">
                  <c:v>0.43803600000000004</c:v>
                </c:pt>
                <c:pt idx="1048">
                  <c:v>0.43703400000000003</c:v>
                </c:pt>
                <c:pt idx="1049">
                  <c:v>0.27602599999999999</c:v>
                </c:pt>
                <c:pt idx="1050">
                  <c:v>0.238098</c:v>
                </c:pt>
                <c:pt idx="1051">
                  <c:v>0.61863000000000001</c:v>
                </c:pt>
                <c:pt idx="1052">
                  <c:v>0.93608000000000002</c:v>
                </c:pt>
                <c:pt idx="1053">
                  <c:v>1.015072</c:v>
                </c:pt>
                <c:pt idx="1054">
                  <c:v>1.201754</c:v>
                </c:pt>
                <c:pt idx="1055">
                  <c:v>1.1099699999999999</c:v>
                </c:pt>
                <c:pt idx="1056">
                  <c:v>1.00742</c:v>
                </c:pt>
                <c:pt idx="1057">
                  <c:v>0.86332999999999993</c:v>
                </c:pt>
                <c:pt idx="1058">
                  <c:v>0.95462000000000002</c:v>
                </c:pt>
                <c:pt idx="1059">
                  <c:v>0.81822000000000006</c:v>
                </c:pt>
                <c:pt idx="1060">
                  <c:v>0.64797199999999999</c:v>
                </c:pt>
                <c:pt idx="1061">
                  <c:v>0.51771999999999996</c:v>
                </c:pt>
                <c:pt idx="1062">
                  <c:v>0.67362600000000006</c:v>
                </c:pt>
                <c:pt idx="1063">
                  <c:v>0.44799</c:v>
                </c:pt>
                <c:pt idx="1064">
                  <c:v>-0.13611200000000001</c:v>
                </c:pt>
                <c:pt idx="1065">
                  <c:v>-0.40021000000000001</c:v>
                </c:pt>
                <c:pt idx="1066">
                  <c:v>-0.83661799999999997</c:v>
                </c:pt>
                <c:pt idx="1067">
                  <c:v>-1.0191840000000001</c:v>
                </c:pt>
                <c:pt idx="1068">
                  <c:v>-1.1232880000000001</c:v>
                </c:pt>
                <c:pt idx="1069">
                  <c:v>-1.11816</c:v>
                </c:pt>
                <c:pt idx="1070">
                  <c:v>-0.91303799999999991</c:v>
                </c:pt>
                <c:pt idx="1071">
                  <c:v>-1.047914</c:v>
                </c:pt>
                <c:pt idx="1072">
                  <c:v>-1.0027900000000001</c:v>
                </c:pt>
                <c:pt idx="1073">
                  <c:v>-0.89766999999999997</c:v>
                </c:pt>
                <c:pt idx="1074">
                  <c:v>-0.654088</c:v>
                </c:pt>
                <c:pt idx="1075">
                  <c:v>-0.77358199999999999</c:v>
                </c:pt>
                <c:pt idx="1076">
                  <c:v>-0.87923599999999991</c:v>
                </c:pt>
                <c:pt idx="1077">
                  <c:v>-0.74027199999999993</c:v>
                </c:pt>
                <c:pt idx="1078">
                  <c:v>-0.96284599999999998</c:v>
                </c:pt>
                <c:pt idx="1079">
                  <c:v>-0.65004200000000001</c:v>
                </c:pt>
                <c:pt idx="1080">
                  <c:v>-0.45262000000000002</c:v>
                </c:pt>
                <c:pt idx="1081">
                  <c:v>-0.356738</c:v>
                </c:pt>
                <c:pt idx="1082">
                  <c:v>-0.26085799999999998</c:v>
                </c:pt>
                <c:pt idx="1083">
                  <c:v>-0.26036199999999998</c:v>
                </c:pt>
                <c:pt idx="1084">
                  <c:v>-0.13833000000000001</c:v>
                </c:pt>
                <c:pt idx="1085">
                  <c:v>-0.131686</c:v>
                </c:pt>
                <c:pt idx="1086">
                  <c:v>5.4960000000000002E-2</c:v>
                </c:pt>
                <c:pt idx="1087">
                  <c:v>3.6989999999999995E-2</c:v>
                </c:pt>
                <c:pt idx="1088">
                  <c:v>-6.2522000000000008E-2</c:v>
                </c:pt>
                <c:pt idx="1089">
                  <c:v>0.32719799999999999</c:v>
                </c:pt>
                <c:pt idx="1090">
                  <c:v>0.50460799999999995</c:v>
                </c:pt>
                <c:pt idx="1091">
                  <c:v>0.7143219999999999</c:v>
                </c:pt>
                <c:pt idx="1092">
                  <c:v>0.62865400000000005</c:v>
                </c:pt>
                <c:pt idx="1093">
                  <c:v>0.57067800000000002</c:v>
                </c:pt>
                <c:pt idx="1094">
                  <c:v>0.674234</c:v>
                </c:pt>
                <c:pt idx="1095">
                  <c:v>0.56086999999999998</c:v>
                </c:pt>
                <c:pt idx="1096">
                  <c:v>0.56135199999999996</c:v>
                </c:pt>
                <c:pt idx="1097">
                  <c:v>0.46798200000000001</c:v>
                </c:pt>
                <c:pt idx="1098">
                  <c:v>0.59461599999999992</c:v>
                </c:pt>
                <c:pt idx="1099">
                  <c:v>0.60124600000000006</c:v>
                </c:pt>
                <c:pt idx="1100">
                  <c:v>0.22479600000000002</c:v>
                </c:pt>
                <c:pt idx="1101">
                  <c:v>-5.6265999999999997E-2</c:v>
                </c:pt>
                <c:pt idx="1102">
                  <c:v>-0.621946</c:v>
                </c:pt>
                <c:pt idx="1103">
                  <c:v>-0.67070600000000002</c:v>
                </c:pt>
                <c:pt idx="1104">
                  <c:v>-0.73023399999999994</c:v>
                </c:pt>
                <c:pt idx="1105">
                  <c:v>-0.66361000000000003</c:v>
                </c:pt>
                <c:pt idx="1106">
                  <c:v>-0.67083599999999999</c:v>
                </c:pt>
                <c:pt idx="1107">
                  <c:v>-0.73344399999999998</c:v>
                </c:pt>
                <c:pt idx="1108">
                  <c:v>-0.59605200000000003</c:v>
                </c:pt>
                <c:pt idx="1109">
                  <c:v>-0.65405199999999997</c:v>
                </c:pt>
                <c:pt idx="1110">
                  <c:v>-0.56281599999999998</c:v>
                </c:pt>
                <c:pt idx="1111">
                  <c:v>-0.78389200000000003</c:v>
                </c:pt>
                <c:pt idx="1112">
                  <c:v>-1.2295860000000001</c:v>
                </c:pt>
                <c:pt idx="1113">
                  <c:v>-1.06297</c:v>
                </c:pt>
                <c:pt idx="1114">
                  <c:v>-0.70712399999999997</c:v>
                </c:pt>
                <c:pt idx="1115">
                  <c:v>-0.22820599999999999</c:v>
                </c:pt>
                <c:pt idx="1116">
                  <c:v>-0.24005600000000002</c:v>
                </c:pt>
                <c:pt idx="1117">
                  <c:v>-0.131906</c:v>
                </c:pt>
                <c:pt idx="1118">
                  <c:v>-6.8379999999999995E-3</c:v>
                </c:pt>
                <c:pt idx="1119">
                  <c:v>6.9001999999999994E-2</c:v>
                </c:pt>
                <c:pt idx="1120">
                  <c:v>9.0996000000000007E-2</c:v>
                </c:pt>
                <c:pt idx="1121">
                  <c:v>-5.1631999999999997E-2</c:v>
                </c:pt>
                <c:pt idx="1122">
                  <c:v>2.1128000000000001E-2</c:v>
                </c:pt>
                <c:pt idx="1123">
                  <c:v>0.124654</c:v>
                </c:pt>
                <c:pt idx="1124">
                  <c:v>0.140486</c:v>
                </c:pt>
                <c:pt idx="1125">
                  <c:v>0.35170400000000002</c:v>
                </c:pt>
                <c:pt idx="1126">
                  <c:v>5.0612000000000004E-2</c:v>
                </c:pt>
                <c:pt idx="1127">
                  <c:v>-0.122792</c:v>
                </c:pt>
                <c:pt idx="1128">
                  <c:v>-0.35003799999999996</c:v>
                </c:pt>
                <c:pt idx="1129">
                  <c:v>-0.20036400000000001</c:v>
                </c:pt>
                <c:pt idx="1130">
                  <c:v>9.6998000000000001E-2</c:v>
                </c:pt>
                <c:pt idx="1131">
                  <c:v>0.16359400000000002</c:v>
                </c:pt>
                <c:pt idx="1132">
                  <c:v>3.3264000000000002E-2</c:v>
                </c:pt>
                <c:pt idx="1133">
                  <c:v>0.19985399999999998</c:v>
                </c:pt>
                <c:pt idx="1134">
                  <c:v>0.25106200000000001</c:v>
                </c:pt>
                <c:pt idx="1135">
                  <c:v>0.41611400000000004</c:v>
                </c:pt>
                <c:pt idx="1136">
                  <c:v>0.50424000000000002</c:v>
                </c:pt>
                <c:pt idx="1137">
                  <c:v>0.59390399999999999</c:v>
                </c:pt>
                <c:pt idx="1138">
                  <c:v>0.63895400000000002</c:v>
                </c:pt>
                <c:pt idx="1139">
                  <c:v>0.79938399999999998</c:v>
                </c:pt>
                <c:pt idx="1140">
                  <c:v>0.889046</c:v>
                </c:pt>
                <c:pt idx="1141">
                  <c:v>1.0971680000000001</c:v>
                </c:pt>
                <c:pt idx="1142">
                  <c:v>1.0437479999999999</c:v>
                </c:pt>
                <c:pt idx="1143">
                  <c:v>0.79956000000000005</c:v>
                </c:pt>
                <c:pt idx="1144">
                  <c:v>0.53075600000000001</c:v>
                </c:pt>
                <c:pt idx="1145">
                  <c:v>0.73887000000000003</c:v>
                </c:pt>
                <c:pt idx="1146">
                  <c:v>0.31468000000000002</c:v>
                </c:pt>
                <c:pt idx="1147">
                  <c:v>0.205872</c:v>
                </c:pt>
                <c:pt idx="1148">
                  <c:v>0.32936799999999999</c:v>
                </c:pt>
                <c:pt idx="1149">
                  <c:v>-0.18098</c:v>
                </c:pt>
                <c:pt idx="1150">
                  <c:v>-0.42055999999999999</c:v>
                </c:pt>
                <c:pt idx="1151">
                  <c:v>-0.55091199999999996</c:v>
                </c:pt>
                <c:pt idx="1152">
                  <c:v>-0.53664800000000001</c:v>
                </c:pt>
                <c:pt idx="1153">
                  <c:v>-0.47777000000000003</c:v>
                </c:pt>
                <c:pt idx="1154">
                  <c:v>-0.50197400000000003</c:v>
                </c:pt>
                <c:pt idx="1155">
                  <c:v>-0.48309800000000003</c:v>
                </c:pt>
                <c:pt idx="1156">
                  <c:v>-0.59037799999999996</c:v>
                </c:pt>
                <c:pt idx="1157">
                  <c:v>-0.81458399999999997</c:v>
                </c:pt>
                <c:pt idx="1158">
                  <c:v>-1.2034039999999999</c:v>
                </c:pt>
                <c:pt idx="1159">
                  <c:v>-0.91683999999999999</c:v>
                </c:pt>
                <c:pt idx="1160">
                  <c:v>-1.033358</c:v>
                </c:pt>
                <c:pt idx="1161">
                  <c:v>-1.5883340000000001</c:v>
                </c:pt>
                <c:pt idx="1162">
                  <c:v>-1.5048500000000002</c:v>
                </c:pt>
                <c:pt idx="1163">
                  <c:v>-1.3952180000000001</c:v>
                </c:pt>
                <c:pt idx="1164">
                  <c:v>-1.4055819999999999</c:v>
                </c:pt>
                <c:pt idx="1165">
                  <c:v>-1.3344100000000001</c:v>
                </c:pt>
                <c:pt idx="1166">
                  <c:v>-1.1755500000000001</c:v>
                </c:pt>
                <c:pt idx="1167">
                  <c:v>-1.192072</c:v>
                </c:pt>
                <c:pt idx="1168">
                  <c:v>-1.2562880000000001</c:v>
                </c:pt>
                <c:pt idx="1169">
                  <c:v>-1.2205079999999999</c:v>
                </c:pt>
                <c:pt idx="1170">
                  <c:v>-0.84934200000000004</c:v>
                </c:pt>
                <c:pt idx="1171">
                  <c:v>-0.65817599999999998</c:v>
                </c:pt>
                <c:pt idx="1172">
                  <c:v>-0.80547600000000008</c:v>
                </c:pt>
                <c:pt idx="1173">
                  <c:v>-0.866622</c:v>
                </c:pt>
                <c:pt idx="1174">
                  <c:v>-0.85084400000000004</c:v>
                </c:pt>
                <c:pt idx="1175">
                  <c:v>-0.84737799999999996</c:v>
                </c:pt>
                <c:pt idx="1176">
                  <c:v>-1.0162179999999998</c:v>
                </c:pt>
                <c:pt idx="1177">
                  <c:v>-1.0727519999999999</c:v>
                </c:pt>
                <c:pt idx="1178">
                  <c:v>-1.0046740000000001</c:v>
                </c:pt>
                <c:pt idx="1179">
                  <c:v>-1.095056</c:v>
                </c:pt>
                <c:pt idx="1180">
                  <c:v>-0.75620799999999999</c:v>
                </c:pt>
                <c:pt idx="1181">
                  <c:v>-0.57890399999999997</c:v>
                </c:pt>
                <c:pt idx="1182">
                  <c:v>-0.41082799999999997</c:v>
                </c:pt>
                <c:pt idx="1183">
                  <c:v>-0.25659799999999999</c:v>
                </c:pt>
                <c:pt idx="1184">
                  <c:v>-0.31006600000000001</c:v>
                </c:pt>
                <c:pt idx="1185">
                  <c:v>-0.26661000000000001</c:v>
                </c:pt>
                <c:pt idx="1186">
                  <c:v>-0.17238399999999998</c:v>
                </c:pt>
                <c:pt idx="1187">
                  <c:v>-0.26739400000000002</c:v>
                </c:pt>
                <c:pt idx="1188">
                  <c:v>-0.28701599999999999</c:v>
                </c:pt>
                <c:pt idx="1189">
                  <c:v>-0.132794</c:v>
                </c:pt>
                <c:pt idx="1190">
                  <c:v>0.22450000000000001</c:v>
                </c:pt>
                <c:pt idx="1191">
                  <c:v>0.34333599999999997</c:v>
                </c:pt>
                <c:pt idx="1192">
                  <c:v>0.46370800000000001</c:v>
                </c:pt>
                <c:pt idx="1193">
                  <c:v>0.174846</c:v>
                </c:pt>
                <c:pt idx="1194">
                  <c:v>-0.24170800000000001</c:v>
                </c:pt>
                <c:pt idx="1195">
                  <c:v>-0.25672200000000001</c:v>
                </c:pt>
                <c:pt idx="1196">
                  <c:v>-0.62712800000000002</c:v>
                </c:pt>
                <c:pt idx="1197">
                  <c:v>-0.76522199999999996</c:v>
                </c:pt>
                <c:pt idx="1198">
                  <c:v>-1.0479340000000001</c:v>
                </c:pt>
                <c:pt idx="1199">
                  <c:v>-0.99987999999999999</c:v>
                </c:pt>
                <c:pt idx="1200">
                  <c:v>-0.92413200000000006</c:v>
                </c:pt>
                <c:pt idx="1201">
                  <c:v>-0.79607600000000001</c:v>
                </c:pt>
                <c:pt idx="1202">
                  <c:v>-0.63264200000000004</c:v>
                </c:pt>
                <c:pt idx="1203">
                  <c:v>-0.87689800000000007</c:v>
                </c:pt>
                <c:pt idx="1204">
                  <c:v>-0.95961600000000002</c:v>
                </c:pt>
                <c:pt idx="1205">
                  <c:v>-0.94233800000000001</c:v>
                </c:pt>
                <c:pt idx="1206">
                  <c:v>-0.87890400000000002</c:v>
                </c:pt>
                <c:pt idx="1207">
                  <c:v>-0.54316399999999998</c:v>
                </c:pt>
                <c:pt idx="1208">
                  <c:v>-0.43204399999999998</c:v>
                </c:pt>
                <c:pt idx="1209">
                  <c:v>2.3694000000000003E-2</c:v>
                </c:pt>
                <c:pt idx="1210">
                  <c:v>0.17943200000000001</c:v>
                </c:pt>
                <c:pt idx="1211">
                  <c:v>0.293626</c:v>
                </c:pt>
                <c:pt idx="1212">
                  <c:v>0.32782200000000006</c:v>
                </c:pt>
                <c:pt idx="1213">
                  <c:v>0.56816999999999995</c:v>
                </c:pt>
                <c:pt idx="1214">
                  <c:v>0.71313000000000004</c:v>
                </c:pt>
                <c:pt idx="1215">
                  <c:v>0.87193799999999999</c:v>
                </c:pt>
                <c:pt idx="1216">
                  <c:v>0.95074600000000009</c:v>
                </c:pt>
                <c:pt idx="1217">
                  <c:v>0.86031599999999997</c:v>
                </c:pt>
                <c:pt idx="1218">
                  <c:v>0.90373599999999998</c:v>
                </c:pt>
                <c:pt idx="1219">
                  <c:v>1.264078</c:v>
                </c:pt>
                <c:pt idx="1220">
                  <c:v>1.1982619999999999</c:v>
                </c:pt>
                <c:pt idx="1221">
                  <c:v>0.90937200000000007</c:v>
                </c:pt>
                <c:pt idx="1222">
                  <c:v>0.43894</c:v>
                </c:pt>
                <c:pt idx="1223">
                  <c:v>0.559276</c:v>
                </c:pt>
                <c:pt idx="1224">
                  <c:v>0.716534</c:v>
                </c:pt>
                <c:pt idx="1225">
                  <c:v>0.77994600000000003</c:v>
                </c:pt>
                <c:pt idx="1226">
                  <c:v>0.69412400000000007</c:v>
                </c:pt>
                <c:pt idx="1227">
                  <c:v>0.53599600000000003</c:v>
                </c:pt>
                <c:pt idx="1228">
                  <c:v>0.43632599999999999</c:v>
                </c:pt>
                <c:pt idx="1229">
                  <c:v>0.267424</c:v>
                </c:pt>
                <c:pt idx="1230">
                  <c:v>9.5446000000000003E-2</c:v>
                </c:pt>
                <c:pt idx="1231">
                  <c:v>-0.14730399999999999</c:v>
                </c:pt>
                <c:pt idx="1232">
                  <c:v>-0.41621000000000002</c:v>
                </c:pt>
                <c:pt idx="1233">
                  <c:v>-0.12357599999999999</c:v>
                </c:pt>
                <c:pt idx="1234">
                  <c:v>-0.19555800000000001</c:v>
                </c:pt>
                <c:pt idx="1235">
                  <c:v>-3.8314000000000001E-2</c:v>
                </c:pt>
                <c:pt idx="1236">
                  <c:v>-0.13183800000000001</c:v>
                </c:pt>
                <c:pt idx="1237">
                  <c:v>-0.174594</c:v>
                </c:pt>
                <c:pt idx="1238">
                  <c:v>-6.6584000000000004E-2</c:v>
                </c:pt>
                <c:pt idx="1239">
                  <c:v>4.6044000000000002E-2</c:v>
                </c:pt>
                <c:pt idx="1240">
                  <c:v>0.120208</c:v>
                </c:pt>
                <c:pt idx="1241">
                  <c:v>6.3598000000000002E-2</c:v>
                </c:pt>
                <c:pt idx="1242">
                  <c:v>0.55622199999999999</c:v>
                </c:pt>
                <c:pt idx="1243">
                  <c:v>0.73192199999999996</c:v>
                </c:pt>
                <c:pt idx="1244">
                  <c:v>0.89684799999999998</c:v>
                </c:pt>
                <c:pt idx="1245">
                  <c:v>0.51562200000000002</c:v>
                </c:pt>
                <c:pt idx="1246">
                  <c:v>-0.12714400000000001</c:v>
                </c:pt>
                <c:pt idx="1247">
                  <c:v>-0.17760600000000001</c:v>
                </c:pt>
                <c:pt idx="1248">
                  <c:v>-0.24191199999999999</c:v>
                </c:pt>
                <c:pt idx="1249">
                  <c:v>-0.22775800000000002</c:v>
                </c:pt>
                <c:pt idx="1250">
                  <c:v>-7.9762E-2</c:v>
                </c:pt>
                <c:pt idx="1251">
                  <c:v>-0.17330200000000001</c:v>
                </c:pt>
                <c:pt idx="1252">
                  <c:v>-0.14069000000000001</c:v>
                </c:pt>
                <c:pt idx="1253">
                  <c:v>-0.195774</c:v>
                </c:pt>
                <c:pt idx="1254">
                  <c:v>-0.36778</c:v>
                </c:pt>
                <c:pt idx="1255">
                  <c:v>-0.92132400000000003</c:v>
                </c:pt>
                <c:pt idx="1256">
                  <c:v>-0.94256600000000001</c:v>
                </c:pt>
                <c:pt idx="1257">
                  <c:v>-1.0776519999999998</c:v>
                </c:pt>
                <c:pt idx="1258">
                  <c:v>-1.1742780000000002</c:v>
                </c:pt>
                <c:pt idx="1259">
                  <c:v>-0.94629200000000002</c:v>
                </c:pt>
                <c:pt idx="1260">
                  <c:v>-0.789072</c:v>
                </c:pt>
                <c:pt idx="1261">
                  <c:v>-0.67800799999999994</c:v>
                </c:pt>
                <c:pt idx="1262">
                  <c:v>-0.54079599999999994</c:v>
                </c:pt>
                <c:pt idx="1263">
                  <c:v>-0.61435000000000006</c:v>
                </c:pt>
                <c:pt idx="1264">
                  <c:v>-0.45713599999999999</c:v>
                </c:pt>
                <c:pt idx="1265">
                  <c:v>-0.49377200000000004</c:v>
                </c:pt>
                <c:pt idx="1266">
                  <c:v>-0.45502200000000004</c:v>
                </c:pt>
                <c:pt idx="1267">
                  <c:v>-0.32550400000000002</c:v>
                </c:pt>
                <c:pt idx="1268">
                  <c:v>2.5550000000000003E-2</c:v>
                </c:pt>
                <c:pt idx="1269">
                  <c:v>1.9681999999999998E-2</c:v>
                </c:pt>
                <c:pt idx="1270">
                  <c:v>-0.427726</c:v>
                </c:pt>
                <c:pt idx="1271">
                  <c:v>-0.28283200000000003</c:v>
                </c:pt>
                <c:pt idx="1272">
                  <c:v>-0.404088</c:v>
                </c:pt>
                <c:pt idx="1273">
                  <c:v>-0.43611400000000006</c:v>
                </c:pt>
                <c:pt idx="1274">
                  <c:v>-0.371224</c:v>
                </c:pt>
                <c:pt idx="1275">
                  <c:v>-0.44479000000000002</c:v>
                </c:pt>
                <c:pt idx="1276">
                  <c:v>-0.33835999999999999</c:v>
                </c:pt>
                <c:pt idx="1277">
                  <c:v>-0.37500999999999995</c:v>
                </c:pt>
                <c:pt idx="1278">
                  <c:v>-0.35780999999999996</c:v>
                </c:pt>
                <c:pt idx="1279">
                  <c:v>-0.12368999999999999</c:v>
                </c:pt>
                <c:pt idx="1280">
                  <c:v>1.6579999999999998E-2</c:v>
                </c:pt>
                <c:pt idx="1281">
                  <c:v>-0.153918</c:v>
                </c:pt>
                <c:pt idx="1282">
                  <c:v>-0.41210799999999997</c:v>
                </c:pt>
                <c:pt idx="1283">
                  <c:v>-0.16414999999999999</c:v>
                </c:pt>
                <c:pt idx="1284">
                  <c:v>-4.0804E-2</c:v>
                </c:pt>
                <c:pt idx="1285">
                  <c:v>0.104078</c:v>
                </c:pt>
                <c:pt idx="1286">
                  <c:v>0.26741799999999999</c:v>
                </c:pt>
                <c:pt idx="1287">
                  <c:v>0.32922199999999996</c:v>
                </c:pt>
                <c:pt idx="1288">
                  <c:v>0.49102400000000002</c:v>
                </c:pt>
                <c:pt idx="1289">
                  <c:v>0.30513000000000001</c:v>
                </c:pt>
                <c:pt idx="1290">
                  <c:v>0.27154400000000001</c:v>
                </c:pt>
                <c:pt idx="1291">
                  <c:v>0.21334399999999998</c:v>
                </c:pt>
                <c:pt idx="1292">
                  <c:v>5.3600000000000002E-2</c:v>
                </c:pt>
                <c:pt idx="1293">
                  <c:v>-0.153834</c:v>
                </c:pt>
                <c:pt idx="1294">
                  <c:v>-8.5884000000000002E-2</c:v>
                </c:pt>
                <c:pt idx="1295">
                  <c:v>0.149752</c:v>
                </c:pt>
                <c:pt idx="1296">
                  <c:v>0.20077800000000001</c:v>
                </c:pt>
                <c:pt idx="1297">
                  <c:v>0.20872399999999999</c:v>
                </c:pt>
                <c:pt idx="1298">
                  <c:v>0.19820399999999999</c:v>
                </c:pt>
                <c:pt idx="1299">
                  <c:v>0.27229999999999999</c:v>
                </c:pt>
                <c:pt idx="1300">
                  <c:v>0.15870599999999999</c:v>
                </c:pt>
                <c:pt idx="1301">
                  <c:v>3.8952000000000001E-2</c:v>
                </c:pt>
                <c:pt idx="1302">
                  <c:v>0.20843</c:v>
                </c:pt>
                <c:pt idx="1303">
                  <c:v>0.35329199999999999</c:v>
                </c:pt>
                <c:pt idx="1304">
                  <c:v>0.447382</c:v>
                </c:pt>
                <c:pt idx="1305">
                  <c:v>0.575318</c:v>
                </c:pt>
                <c:pt idx="1306">
                  <c:v>0.72171600000000002</c:v>
                </c:pt>
                <c:pt idx="1307">
                  <c:v>0.75580000000000003</c:v>
                </c:pt>
                <c:pt idx="1308">
                  <c:v>0.86834999999999996</c:v>
                </c:pt>
                <c:pt idx="1309">
                  <c:v>1.0224359999999999</c:v>
                </c:pt>
                <c:pt idx="1310">
                  <c:v>1.0949800000000001</c:v>
                </c:pt>
                <c:pt idx="1311">
                  <c:v>1.464448</c:v>
                </c:pt>
                <c:pt idx="1312">
                  <c:v>1.421608</c:v>
                </c:pt>
                <c:pt idx="1313">
                  <c:v>1.4972259999999999</c:v>
                </c:pt>
                <c:pt idx="1314">
                  <c:v>1.6128439999999999</c:v>
                </c:pt>
                <c:pt idx="1315">
                  <c:v>1.637694</c:v>
                </c:pt>
                <c:pt idx="1316">
                  <c:v>1.3317679999999998</c:v>
                </c:pt>
                <c:pt idx="1317">
                  <c:v>1.2673840000000001</c:v>
                </c:pt>
                <c:pt idx="1318">
                  <c:v>1.4276140000000002</c:v>
                </c:pt>
                <c:pt idx="1319">
                  <c:v>1.4632239999999999</c:v>
                </c:pt>
                <c:pt idx="1320">
                  <c:v>1.274222</c:v>
                </c:pt>
                <c:pt idx="1321">
                  <c:v>1.260602</c:v>
                </c:pt>
                <c:pt idx="1322">
                  <c:v>1.3762080000000001</c:v>
                </c:pt>
                <c:pt idx="1323">
                  <c:v>1.393356</c:v>
                </c:pt>
                <c:pt idx="1324">
                  <c:v>1.2274259999999999</c:v>
                </c:pt>
                <c:pt idx="1325">
                  <c:v>1.1614899999999999</c:v>
                </c:pt>
                <c:pt idx="1326">
                  <c:v>1.1478660000000001</c:v>
                </c:pt>
                <c:pt idx="1327">
                  <c:v>0.80346999999999991</c:v>
                </c:pt>
                <c:pt idx="1328">
                  <c:v>0.50368599999999997</c:v>
                </c:pt>
                <c:pt idx="1329">
                  <c:v>0.43774799999999997</c:v>
                </c:pt>
                <c:pt idx="1330">
                  <c:v>1.9504000000000001E-2</c:v>
                </c:pt>
                <c:pt idx="1331">
                  <c:v>-0.49874600000000002</c:v>
                </c:pt>
                <c:pt idx="1332">
                  <c:v>-0.7200700000000001</c:v>
                </c:pt>
                <c:pt idx="1333">
                  <c:v>-0.63524199999999997</c:v>
                </c:pt>
                <c:pt idx="1334">
                  <c:v>-0.59349400000000008</c:v>
                </c:pt>
                <c:pt idx="1335">
                  <c:v>-0.65174599999999994</c:v>
                </c:pt>
                <c:pt idx="1336">
                  <c:v>-0.64999799999999996</c:v>
                </c:pt>
                <c:pt idx="1337">
                  <c:v>-0.73286799999999996</c:v>
                </c:pt>
                <c:pt idx="1338">
                  <c:v>-1.021892</c:v>
                </c:pt>
                <c:pt idx="1339">
                  <c:v>-1.2186079999999999</c:v>
                </c:pt>
                <c:pt idx="1340">
                  <c:v>-0.95686800000000005</c:v>
                </c:pt>
                <c:pt idx="1341">
                  <c:v>-0.75051000000000001</c:v>
                </c:pt>
                <c:pt idx="1342">
                  <c:v>-0.61646199999999995</c:v>
                </c:pt>
                <c:pt idx="1343">
                  <c:v>-0.35011000000000003</c:v>
                </c:pt>
                <c:pt idx="1344">
                  <c:v>-0.29298600000000002</c:v>
                </c:pt>
                <c:pt idx="1345">
                  <c:v>-0.33432400000000001</c:v>
                </c:pt>
                <c:pt idx="1346">
                  <c:v>-0.35259200000000002</c:v>
                </c:pt>
                <c:pt idx="1347">
                  <c:v>-0.36931800000000004</c:v>
                </c:pt>
                <c:pt idx="1348">
                  <c:v>-0.35527399999999998</c:v>
                </c:pt>
                <c:pt idx="1349">
                  <c:v>-0.57816000000000001</c:v>
                </c:pt>
                <c:pt idx="1350">
                  <c:v>-0.74104400000000004</c:v>
                </c:pt>
                <c:pt idx="1351">
                  <c:v>-0.82392799999999999</c:v>
                </c:pt>
                <c:pt idx="1352">
                  <c:v>-0.94681599999999999</c:v>
                </c:pt>
                <c:pt idx="1353">
                  <c:v>-0.85278000000000009</c:v>
                </c:pt>
                <c:pt idx="1354">
                  <c:v>-0.995668</c:v>
                </c:pt>
                <c:pt idx="1355">
                  <c:v>-1.1631740000000002</c:v>
                </c:pt>
                <c:pt idx="1356">
                  <c:v>-1.3229880000000001</c:v>
                </c:pt>
                <c:pt idx="1357">
                  <c:v>-1.2089559999999999</c:v>
                </c:pt>
                <c:pt idx="1358">
                  <c:v>-0.92723600000000006</c:v>
                </c:pt>
                <c:pt idx="1359">
                  <c:v>-0.75628200000000012</c:v>
                </c:pt>
                <c:pt idx="1360">
                  <c:v>-0.64840799999999998</c:v>
                </c:pt>
                <c:pt idx="1361">
                  <c:v>-0.889768</c:v>
                </c:pt>
                <c:pt idx="1362">
                  <c:v>-0.96805000000000008</c:v>
                </c:pt>
                <c:pt idx="1363">
                  <c:v>-1.097102</c:v>
                </c:pt>
                <c:pt idx="1364">
                  <c:v>-0.9030800000000001</c:v>
                </c:pt>
                <c:pt idx="1365">
                  <c:v>-0.73367199999999999</c:v>
                </c:pt>
                <c:pt idx="1366">
                  <c:v>-1.0888819999999999</c:v>
                </c:pt>
                <c:pt idx="1367">
                  <c:v>-1.03948</c:v>
                </c:pt>
                <c:pt idx="1368">
                  <c:v>-1.003922</c:v>
                </c:pt>
                <c:pt idx="1369">
                  <c:v>-0.6975960000000001</c:v>
                </c:pt>
                <c:pt idx="1370">
                  <c:v>-0.72050399999999992</c:v>
                </c:pt>
                <c:pt idx="1371">
                  <c:v>-0.91110400000000002</c:v>
                </c:pt>
                <c:pt idx="1372">
                  <c:v>-1.1355500000000001</c:v>
                </c:pt>
                <c:pt idx="1373">
                  <c:v>-1.2923079999999998</c:v>
                </c:pt>
                <c:pt idx="1374">
                  <c:v>-1.192142</c:v>
                </c:pt>
                <c:pt idx="1375">
                  <c:v>-1.00736</c:v>
                </c:pt>
                <c:pt idx="1376">
                  <c:v>-0.67642999999999998</c:v>
                </c:pt>
                <c:pt idx="1377">
                  <c:v>-0.50857600000000003</c:v>
                </c:pt>
                <c:pt idx="1378">
                  <c:v>-0.45918199999999998</c:v>
                </c:pt>
                <c:pt idx="1379">
                  <c:v>-3.64E-3</c:v>
                </c:pt>
                <c:pt idx="1380">
                  <c:v>7.190400000000001E-2</c:v>
                </c:pt>
                <c:pt idx="1381">
                  <c:v>0.16744800000000001</c:v>
                </c:pt>
                <c:pt idx="1382">
                  <c:v>0.15068000000000001</c:v>
                </c:pt>
                <c:pt idx="1383">
                  <c:v>0.17083600000000002</c:v>
                </c:pt>
                <c:pt idx="1384">
                  <c:v>0.135606</c:v>
                </c:pt>
                <c:pt idx="1385">
                  <c:v>0.19729600000000003</c:v>
                </c:pt>
                <c:pt idx="1386">
                  <c:v>0.44206400000000001</c:v>
                </c:pt>
                <c:pt idx="1387">
                  <c:v>0.38529400000000003</c:v>
                </c:pt>
                <c:pt idx="1388">
                  <c:v>0.13621</c:v>
                </c:pt>
                <c:pt idx="1389">
                  <c:v>-0.26363999999999999</c:v>
                </c:pt>
                <c:pt idx="1390">
                  <c:v>-0.67118399999999989</c:v>
                </c:pt>
                <c:pt idx="1391">
                  <c:v>-0.90334800000000004</c:v>
                </c:pt>
                <c:pt idx="1392">
                  <c:v>-1.23397</c:v>
                </c:pt>
                <c:pt idx="1393">
                  <c:v>-1.3261320000000001</c:v>
                </c:pt>
                <c:pt idx="1394">
                  <c:v>-1.1521460000000001</c:v>
                </c:pt>
                <c:pt idx="1395">
                  <c:v>-1.230464</c:v>
                </c:pt>
                <c:pt idx="1396">
                  <c:v>-1.3164760000000002</c:v>
                </c:pt>
                <c:pt idx="1397">
                  <c:v>-1.3901859999999999</c:v>
                </c:pt>
                <c:pt idx="1398">
                  <c:v>-1.3838919999999999</c:v>
                </c:pt>
                <c:pt idx="1399">
                  <c:v>-1.6683699999999999</c:v>
                </c:pt>
                <c:pt idx="1400">
                  <c:v>-1.7251580000000002</c:v>
                </c:pt>
                <c:pt idx="1401">
                  <c:v>-1.5804060000000002</c:v>
                </c:pt>
                <c:pt idx="1402">
                  <c:v>-1.2633479999999999</c:v>
                </c:pt>
                <c:pt idx="1403">
                  <c:v>-0.747834</c:v>
                </c:pt>
                <c:pt idx="1404">
                  <c:v>-0.52000800000000003</c:v>
                </c:pt>
                <c:pt idx="1405">
                  <c:v>-0.49218400000000001</c:v>
                </c:pt>
                <c:pt idx="1406">
                  <c:v>-0.496672</c:v>
                </c:pt>
                <c:pt idx="1407">
                  <c:v>-0.71500399999999997</c:v>
                </c:pt>
                <c:pt idx="1408">
                  <c:v>-0.60410799999999998</c:v>
                </c:pt>
                <c:pt idx="1409">
                  <c:v>-0.20705999999999999</c:v>
                </c:pt>
                <c:pt idx="1410">
                  <c:v>-8.6934000000000011E-2</c:v>
                </c:pt>
                <c:pt idx="1411">
                  <c:v>-0.20219400000000001</c:v>
                </c:pt>
                <c:pt idx="1412">
                  <c:v>-0.10976599999999999</c:v>
                </c:pt>
                <c:pt idx="1413">
                  <c:v>4.8818E-2</c:v>
                </c:pt>
                <c:pt idx="1414">
                  <c:v>0.32740000000000002</c:v>
                </c:pt>
                <c:pt idx="1415">
                  <c:v>0.241364</c:v>
                </c:pt>
                <c:pt idx="1416">
                  <c:v>3.0714000000000002E-2</c:v>
                </c:pt>
                <c:pt idx="1417">
                  <c:v>-2.7629999999999998E-2</c:v>
                </c:pt>
                <c:pt idx="1418">
                  <c:v>0.1971</c:v>
                </c:pt>
                <c:pt idx="1419">
                  <c:v>0.51567600000000002</c:v>
                </c:pt>
                <c:pt idx="1420">
                  <c:v>0.75117599999999995</c:v>
                </c:pt>
                <c:pt idx="1421">
                  <c:v>0.42205599999999999</c:v>
                </c:pt>
                <c:pt idx="1422">
                  <c:v>0.33909</c:v>
                </c:pt>
                <c:pt idx="1423">
                  <c:v>0.32843200000000006</c:v>
                </c:pt>
                <c:pt idx="1424">
                  <c:v>0.53776999999999997</c:v>
                </c:pt>
                <c:pt idx="1425">
                  <c:v>0.64710999999999996</c:v>
                </c:pt>
                <c:pt idx="1426">
                  <c:v>0.67029399999999995</c:v>
                </c:pt>
                <c:pt idx="1427">
                  <c:v>0.47193600000000002</c:v>
                </c:pt>
                <c:pt idx="1428">
                  <c:v>0.49665799999999999</c:v>
                </c:pt>
                <c:pt idx="1429">
                  <c:v>0.46906999999999999</c:v>
                </c:pt>
                <c:pt idx="1430">
                  <c:v>0.521478</c:v>
                </c:pt>
                <c:pt idx="1431">
                  <c:v>0.36158000000000001</c:v>
                </c:pt>
                <c:pt idx="1432">
                  <c:v>3.8603999999999999E-2</c:v>
                </c:pt>
                <c:pt idx="1433">
                  <c:v>-0.11053</c:v>
                </c:pt>
                <c:pt idx="1434">
                  <c:v>8.1876000000000004E-2</c:v>
                </c:pt>
                <c:pt idx="1435">
                  <c:v>-0.242642</c:v>
                </c:pt>
                <c:pt idx="1436">
                  <c:v>-0.134856</c:v>
                </c:pt>
                <c:pt idx="1437">
                  <c:v>-4.8605999999999996E-2</c:v>
                </c:pt>
                <c:pt idx="1438">
                  <c:v>1.4563999999999999E-2</c:v>
                </c:pt>
                <c:pt idx="1439">
                  <c:v>-7.3037999999999992E-2</c:v>
                </c:pt>
                <c:pt idx="1440">
                  <c:v>-0.22832999999999998</c:v>
                </c:pt>
                <c:pt idx="1441">
                  <c:v>-9.1316000000000008E-2</c:v>
                </c:pt>
                <c:pt idx="1442">
                  <c:v>0.19954</c:v>
                </c:pt>
                <c:pt idx="1443">
                  <c:v>0.29809000000000002</c:v>
                </c:pt>
                <c:pt idx="1444">
                  <c:v>0.26433000000000001</c:v>
                </c:pt>
                <c:pt idx="1445">
                  <c:v>2.7490000000000001E-2</c:v>
                </c:pt>
                <c:pt idx="1446">
                  <c:v>-0.22165400000000002</c:v>
                </c:pt>
                <c:pt idx="1447">
                  <c:v>-0.22156999999999999</c:v>
                </c:pt>
                <c:pt idx="1448">
                  <c:v>-0.28610600000000003</c:v>
                </c:pt>
                <c:pt idx="1449">
                  <c:v>-0.44448599999999999</c:v>
                </c:pt>
                <c:pt idx="1450">
                  <c:v>-0.67825199999999997</c:v>
                </c:pt>
                <c:pt idx="1451">
                  <c:v>-1.0535600000000001</c:v>
                </c:pt>
                <c:pt idx="1452">
                  <c:v>-1.0750199999999999</c:v>
                </c:pt>
                <c:pt idx="1453">
                  <c:v>-0.76417400000000002</c:v>
                </c:pt>
                <c:pt idx="1454">
                  <c:v>-0.83487</c:v>
                </c:pt>
                <c:pt idx="1455">
                  <c:v>-0.96556399999999998</c:v>
                </c:pt>
                <c:pt idx="1456">
                  <c:v>-0.78087400000000007</c:v>
                </c:pt>
                <c:pt idx="1457">
                  <c:v>-0.82080600000000004</c:v>
                </c:pt>
                <c:pt idx="1458">
                  <c:v>-0.20996400000000001</c:v>
                </c:pt>
                <c:pt idx="1459">
                  <c:v>0.120876</c:v>
                </c:pt>
                <c:pt idx="1460">
                  <c:v>0.20094200000000001</c:v>
                </c:pt>
                <c:pt idx="1461">
                  <c:v>0.61177799999999993</c:v>
                </c:pt>
                <c:pt idx="1462">
                  <c:v>1.0656919999999999</c:v>
                </c:pt>
                <c:pt idx="1463">
                  <c:v>1.0965240000000001</c:v>
                </c:pt>
                <c:pt idx="1464">
                  <c:v>1.228896</c:v>
                </c:pt>
                <c:pt idx="1465">
                  <c:v>1.3289599999999999</c:v>
                </c:pt>
                <c:pt idx="1466">
                  <c:v>1.3613280000000001</c:v>
                </c:pt>
                <c:pt idx="1467">
                  <c:v>1.426004</c:v>
                </c:pt>
                <c:pt idx="1468">
                  <c:v>1.4276040000000001</c:v>
                </c:pt>
                <c:pt idx="1469">
                  <c:v>1.139966</c:v>
                </c:pt>
                <c:pt idx="1470">
                  <c:v>1.200024</c:v>
                </c:pt>
                <c:pt idx="1471">
                  <c:v>0.58777400000000002</c:v>
                </c:pt>
                <c:pt idx="1472">
                  <c:v>0.45244200000000001</c:v>
                </c:pt>
                <c:pt idx="1473">
                  <c:v>0.21864999999999998</c:v>
                </c:pt>
                <c:pt idx="1474">
                  <c:v>-0.36745</c:v>
                </c:pt>
                <c:pt idx="1475">
                  <c:v>-0.73509400000000003</c:v>
                </c:pt>
                <c:pt idx="1476">
                  <c:v>-0.83811800000000003</c:v>
                </c:pt>
                <c:pt idx="1477">
                  <c:v>-0.74575999999999998</c:v>
                </c:pt>
                <c:pt idx="1478">
                  <c:v>-0.59956200000000004</c:v>
                </c:pt>
                <c:pt idx="1479">
                  <c:v>-0.61489800000000006</c:v>
                </c:pt>
                <c:pt idx="1480">
                  <c:v>-0.57485200000000003</c:v>
                </c:pt>
                <c:pt idx="1481">
                  <c:v>-0.470194</c:v>
                </c:pt>
                <c:pt idx="1482">
                  <c:v>-0.55476400000000003</c:v>
                </c:pt>
                <c:pt idx="1483">
                  <c:v>-0.55010599999999998</c:v>
                </c:pt>
                <c:pt idx="1484">
                  <c:v>-0.245452</c:v>
                </c:pt>
                <c:pt idx="1485">
                  <c:v>-0.111564</c:v>
                </c:pt>
                <c:pt idx="1486">
                  <c:v>2.3219999999999998E-3</c:v>
                </c:pt>
                <c:pt idx="1487">
                  <c:v>0.22697199999999998</c:v>
                </c:pt>
                <c:pt idx="1488">
                  <c:v>0.231626</c:v>
                </c:pt>
                <c:pt idx="1489">
                  <c:v>0.42551</c:v>
                </c:pt>
                <c:pt idx="1490">
                  <c:v>0.56246399999999996</c:v>
                </c:pt>
                <c:pt idx="1491">
                  <c:v>0.45018999999999998</c:v>
                </c:pt>
                <c:pt idx="1492">
                  <c:v>0.359454</c:v>
                </c:pt>
                <c:pt idx="1493">
                  <c:v>0.35948399999999997</c:v>
                </c:pt>
                <c:pt idx="1494">
                  <c:v>0.25028400000000001</c:v>
                </c:pt>
                <c:pt idx="1495">
                  <c:v>0.37646799999999997</c:v>
                </c:pt>
                <c:pt idx="1496">
                  <c:v>0.61649200000000004</c:v>
                </c:pt>
                <c:pt idx="1497">
                  <c:v>0.81190399999999996</c:v>
                </c:pt>
                <c:pt idx="1498">
                  <c:v>0.57039200000000001</c:v>
                </c:pt>
                <c:pt idx="1499">
                  <c:v>0.41195399999999999</c:v>
                </c:pt>
                <c:pt idx="1500">
                  <c:v>0.353516</c:v>
                </c:pt>
                <c:pt idx="1501">
                  <c:v>0.42430799999999996</c:v>
                </c:pt>
                <c:pt idx="1502">
                  <c:v>0.47355800000000003</c:v>
                </c:pt>
                <c:pt idx="1503">
                  <c:v>0.462808</c:v>
                </c:pt>
                <c:pt idx="1504">
                  <c:v>0.513598</c:v>
                </c:pt>
                <c:pt idx="1505">
                  <c:v>0.36746000000000001</c:v>
                </c:pt>
                <c:pt idx="1506">
                  <c:v>0.20593800000000001</c:v>
                </c:pt>
                <c:pt idx="1507">
                  <c:v>0.22287800000000002</c:v>
                </c:pt>
                <c:pt idx="1508">
                  <c:v>-0.110958</c:v>
                </c:pt>
                <c:pt idx="1509">
                  <c:v>-0.51094399999999995</c:v>
                </c:pt>
                <c:pt idx="1510">
                  <c:v>-0.96785399999999999</c:v>
                </c:pt>
                <c:pt idx="1511">
                  <c:v>-0.90630600000000006</c:v>
                </c:pt>
                <c:pt idx="1512">
                  <c:v>-0.83398799999999995</c:v>
                </c:pt>
                <c:pt idx="1513">
                  <c:v>-0.70321</c:v>
                </c:pt>
                <c:pt idx="1514">
                  <c:v>-0.82012799999999997</c:v>
                </c:pt>
                <c:pt idx="1515">
                  <c:v>-0.83704400000000012</c:v>
                </c:pt>
                <c:pt idx="1516">
                  <c:v>-0.91088399999999992</c:v>
                </c:pt>
                <c:pt idx="1517">
                  <c:v>-0.98011199999999998</c:v>
                </c:pt>
                <c:pt idx="1518">
                  <c:v>-0.56010800000000005</c:v>
                </c:pt>
                <c:pt idx="1519">
                  <c:v>-0.43856800000000001</c:v>
                </c:pt>
                <c:pt idx="1520">
                  <c:v>-0.22626200000000002</c:v>
                </c:pt>
                <c:pt idx="1521">
                  <c:v>0.32142999999999999</c:v>
                </c:pt>
                <c:pt idx="1522">
                  <c:v>0.53220000000000001</c:v>
                </c:pt>
                <c:pt idx="1523">
                  <c:v>0.7814239999999999</c:v>
                </c:pt>
                <c:pt idx="1524">
                  <c:v>0.95680599999999993</c:v>
                </c:pt>
                <c:pt idx="1525">
                  <c:v>1.13988</c:v>
                </c:pt>
                <c:pt idx="1526">
                  <c:v>1.3737159999999999</c:v>
                </c:pt>
                <c:pt idx="1527">
                  <c:v>1.6075559999999998</c:v>
                </c:pt>
                <c:pt idx="1528">
                  <c:v>1.8583179999999999</c:v>
                </c:pt>
                <c:pt idx="1529">
                  <c:v>1.8475360000000001</c:v>
                </c:pt>
                <c:pt idx="1530">
                  <c:v>2.0629119999999999</c:v>
                </c:pt>
                <c:pt idx="1531">
                  <c:v>1.7875159999999999</c:v>
                </c:pt>
                <c:pt idx="1532">
                  <c:v>1.6490400000000001</c:v>
                </c:pt>
                <c:pt idx="1533">
                  <c:v>1.3674879999999998</c:v>
                </c:pt>
                <c:pt idx="1534">
                  <c:v>1.464396</c:v>
                </c:pt>
                <c:pt idx="1535">
                  <c:v>1.3813</c:v>
                </c:pt>
                <c:pt idx="1536">
                  <c:v>1.278208</c:v>
                </c:pt>
                <c:pt idx="1537">
                  <c:v>1.0828060000000002</c:v>
                </c:pt>
                <c:pt idx="1538">
                  <c:v>1.1720140000000001</c:v>
                </c:pt>
                <c:pt idx="1539">
                  <c:v>0.98737799999999998</c:v>
                </c:pt>
                <c:pt idx="1540">
                  <c:v>0.76120399999999999</c:v>
                </c:pt>
                <c:pt idx="1541">
                  <c:v>0.39964</c:v>
                </c:pt>
                <c:pt idx="1542">
                  <c:v>0.48269199999999995</c:v>
                </c:pt>
                <c:pt idx="1543">
                  <c:v>0.39497599999999999</c:v>
                </c:pt>
                <c:pt idx="1544">
                  <c:v>0.27494800000000003</c:v>
                </c:pt>
                <c:pt idx="1545">
                  <c:v>0.307228</c:v>
                </c:pt>
                <c:pt idx="1546">
                  <c:v>0.250278</c:v>
                </c:pt>
                <c:pt idx="1547">
                  <c:v>-0.26513999999999999</c:v>
                </c:pt>
                <c:pt idx="1548">
                  <c:v>-0.36824599999999996</c:v>
                </c:pt>
                <c:pt idx="1549">
                  <c:v>-0.131354</c:v>
                </c:pt>
                <c:pt idx="1550">
                  <c:v>4.7070000000000001E-2</c:v>
                </c:pt>
                <c:pt idx="1551">
                  <c:v>-2.1940000000000002E-3</c:v>
                </c:pt>
                <c:pt idx="1552">
                  <c:v>1.008E-2</c:v>
                </c:pt>
                <c:pt idx="1553">
                  <c:v>0.31157800000000002</c:v>
                </c:pt>
                <c:pt idx="1554">
                  <c:v>7.6158000000000003E-2</c:v>
                </c:pt>
                <c:pt idx="1555">
                  <c:v>-6.3879999999999992E-2</c:v>
                </c:pt>
                <c:pt idx="1556">
                  <c:v>-0.36392400000000003</c:v>
                </c:pt>
                <c:pt idx="1557">
                  <c:v>-0.490118</c:v>
                </c:pt>
                <c:pt idx="1558">
                  <c:v>-0.49477400000000005</c:v>
                </c:pt>
                <c:pt idx="1559">
                  <c:v>-0.57174400000000003</c:v>
                </c:pt>
                <c:pt idx="1560">
                  <c:v>-0.29486400000000001</c:v>
                </c:pt>
                <c:pt idx="1561">
                  <c:v>-9.3369999999999995E-2</c:v>
                </c:pt>
                <c:pt idx="1562">
                  <c:v>-0.13803599999999999</c:v>
                </c:pt>
                <c:pt idx="1563">
                  <c:v>-6.2698000000000004E-2</c:v>
                </c:pt>
                <c:pt idx="1564">
                  <c:v>-2.7362000000000001E-2</c:v>
                </c:pt>
                <c:pt idx="1565">
                  <c:v>-0.198184</c:v>
                </c:pt>
                <c:pt idx="1566">
                  <c:v>-8.5925999999999988E-2</c:v>
                </c:pt>
                <c:pt idx="1567">
                  <c:v>0.30632999999999999</c:v>
                </c:pt>
                <c:pt idx="1568">
                  <c:v>0.18781199999999998</c:v>
                </c:pt>
                <c:pt idx="1569">
                  <c:v>0.34160400000000002</c:v>
                </c:pt>
                <c:pt idx="1570">
                  <c:v>0.32001199999999996</c:v>
                </c:pt>
                <c:pt idx="1571">
                  <c:v>0.43072000000000005</c:v>
                </c:pt>
                <c:pt idx="1572">
                  <c:v>0.40604799999999996</c:v>
                </c:pt>
                <c:pt idx="1573">
                  <c:v>0.40137400000000001</c:v>
                </c:pt>
                <c:pt idx="1574">
                  <c:v>0.45515800000000001</c:v>
                </c:pt>
                <c:pt idx="1575">
                  <c:v>0.41048200000000001</c:v>
                </c:pt>
                <c:pt idx="1576">
                  <c:v>0.32734400000000002</c:v>
                </c:pt>
                <c:pt idx="1577">
                  <c:v>0.34112200000000004</c:v>
                </c:pt>
                <c:pt idx="1578">
                  <c:v>0.26105800000000001</c:v>
                </c:pt>
                <c:pt idx="1579">
                  <c:v>-6.2084E-2</c:v>
                </c:pt>
                <c:pt idx="1580">
                  <c:v>0.16861599999999999</c:v>
                </c:pt>
                <c:pt idx="1581">
                  <c:v>2.5472000000000002E-2</c:v>
                </c:pt>
                <c:pt idx="1582">
                  <c:v>2.2326000000000002E-2</c:v>
                </c:pt>
                <c:pt idx="1583">
                  <c:v>0.34994599999999998</c:v>
                </c:pt>
                <c:pt idx="1584">
                  <c:v>0.22218199999999999</c:v>
                </c:pt>
                <c:pt idx="1585">
                  <c:v>0.35595599999999999</c:v>
                </c:pt>
                <c:pt idx="1586">
                  <c:v>0.27588000000000001</c:v>
                </c:pt>
                <c:pt idx="1587">
                  <c:v>0.177344</c:v>
                </c:pt>
                <c:pt idx="1588">
                  <c:v>0.300346</c:v>
                </c:pt>
                <c:pt idx="1589">
                  <c:v>0.417188</c:v>
                </c:pt>
                <c:pt idx="1590">
                  <c:v>0.38480400000000003</c:v>
                </c:pt>
                <c:pt idx="1591">
                  <c:v>0.49703200000000003</c:v>
                </c:pt>
                <c:pt idx="1592">
                  <c:v>0.42002600000000001</c:v>
                </c:pt>
                <c:pt idx="1593">
                  <c:v>5.9945999999999999E-2</c:v>
                </c:pt>
                <c:pt idx="1594">
                  <c:v>0.11217000000000001</c:v>
                </c:pt>
                <c:pt idx="1595">
                  <c:v>-0.13560800000000001</c:v>
                </c:pt>
                <c:pt idx="1596">
                  <c:v>-0.28492400000000001</c:v>
                </c:pt>
                <c:pt idx="1597">
                  <c:v>-0.31731599999999999</c:v>
                </c:pt>
                <c:pt idx="1598">
                  <c:v>-0.25433</c:v>
                </c:pt>
                <c:pt idx="1599">
                  <c:v>-0.25134000000000001</c:v>
                </c:pt>
                <c:pt idx="1600">
                  <c:v>-0.228352</c:v>
                </c:pt>
                <c:pt idx="1601">
                  <c:v>-0.61460000000000004</c:v>
                </c:pt>
                <c:pt idx="1602">
                  <c:v>-0.63007599999999997</c:v>
                </c:pt>
                <c:pt idx="1603">
                  <c:v>-0.62863000000000002</c:v>
                </c:pt>
                <c:pt idx="1604">
                  <c:v>-0.49795800000000001</c:v>
                </c:pt>
                <c:pt idx="1605">
                  <c:v>-0.85805200000000004</c:v>
                </c:pt>
                <c:pt idx="1606">
                  <c:v>-0.96737799999999996</c:v>
                </c:pt>
                <c:pt idx="1607">
                  <c:v>-0.84593999999999991</c:v>
                </c:pt>
                <c:pt idx="1608">
                  <c:v>-0.65219199999999999</c:v>
                </c:pt>
                <c:pt idx="1609">
                  <c:v>-0.62921399999999994</c:v>
                </c:pt>
                <c:pt idx="1610">
                  <c:v>-0.49085600000000001</c:v>
                </c:pt>
                <c:pt idx="1611">
                  <c:v>-0.62788200000000005</c:v>
                </c:pt>
                <c:pt idx="1612">
                  <c:v>-0.62952200000000003</c:v>
                </c:pt>
                <c:pt idx="1613">
                  <c:v>-0.82039799999999996</c:v>
                </c:pt>
                <c:pt idx="1614">
                  <c:v>-0.69588800000000006</c:v>
                </c:pt>
                <c:pt idx="1615">
                  <c:v>-1.1159939999999999</c:v>
                </c:pt>
                <c:pt idx="1616">
                  <c:v>-1.116104</c:v>
                </c:pt>
                <c:pt idx="1617">
                  <c:v>-1.14852</c:v>
                </c:pt>
                <c:pt idx="1618">
                  <c:v>-0.85478200000000004</c:v>
                </c:pt>
                <c:pt idx="1619">
                  <c:v>-0.750282</c:v>
                </c:pt>
                <c:pt idx="1620">
                  <c:v>-0.69808599999999998</c:v>
                </c:pt>
                <c:pt idx="1621">
                  <c:v>-0.53050600000000003</c:v>
                </c:pt>
                <c:pt idx="1622">
                  <c:v>-0.37831600000000004</c:v>
                </c:pt>
                <c:pt idx="1623">
                  <c:v>-0.33689199999999997</c:v>
                </c:pt>
                <c:pt idx="1624">
                  <c:v>-0.318546</c:v>
                </c:pt>
                <c:pt idx="1625">
                  <c:v>-0.44636000000000003</c:v>
                </c:pt>
                <c:pt idx="1626">
                  <c:v>-0.38494</c:v>
                </c:pt>
                <c:pt idx="1627">
                  <c:v>-0.15890399999999999</c:v>
                </c:pt>
                <c:pt idx="1628">
                  <c:v>-3.7490000000000002E-2</c:v>
                </c:pt>
                <c:pt idx="1629">
                  <c:v>-3.1458E-2</c:v>
                </c:pt>
                <c:pt idx="1630">
                  <c:v>-0.230042</c:v>
                </c:pt>
                <c:pt idx="1631">
                  <c:v>-0.24863199999999999</c:v>
                </c:pt>
                <c:pt idx="1632">
                  <c:v>-0.26106400000000002</c:v>
                </c:pt>
                <c:pt idx="1633">
                  <c:v>-0.41349800000000003</c:v>
                </c:pt>
                <c:pt idx="1634">
                  <c:v>-0.44747599999999998</c:v>
                </c:pt>
                <c:pt idx="1635">
                  <c:v>-0.46452800000000005</c:v>
                </c:pt>
                <c:pt idx="1636">
                  <c:v>-0.50004199999999999</c:v>
                </c:pt>
                <c:pt idx="1637">
                  <c:v>-0.43248399999999998</c:v>
                </c:pt>
                <c:pt idx="1638">
                  <c:v>-0.45569200000000004</c:v>
                </c:pt>
                <c:pt idx="1639">
                  <c:v>-0.38043999999999994</c:v>
                </c:pt>
                <c:pt idx="1640">
                  <c:v>-0.40211599999999997</c:v>
                </c:pt>
                <c:pt idx="1641">
                  <c:v>-0.48379</c:v>
                </c:pt>
                <c:pt idx="1642">
                  <c:v>-0.63007999999999997</c:v>
                </c:pt>
                <c:pt idx="1643">
                  <c:v>-0.38252999999999998</c:v>
                </c:pt>
                <c:pt idx="1644">
                  <c:v>-0.29189799999999999</c:v>
                </c:pt>
                <c:pt idx="1645">
                  <c:v>-0.15203800000000001</c:v>
                </c:pt>
                <c:pt idx="1646">
                  <c:v>0.17089400000000002</c:v>
                </c:pt>
                <c:pt idx="1647">
                  <c:v>0.18767399999999998</c:v>
                </c:pt>
                <c:pt idx="1648">
                  <c:v>0.19522400000000001</c:v>
                </c:pt>
                <c:pt idx="1649">
                  <c:v>0.29353800000000002</c:v>
                </c:pt>
                <c:pt idx="1650">
                  <c:v>0.47954599999999997</c:v>
                </c:pt>
                <c:pt idx="1651">
                  <c:v>0.76863000000000004</c:v>
                </c:pt>
                <c:pt idx="1652">
                  <c:v>0.79771000000000003</c:v>
                </c:pt>
                <c:pt idx="1653">
                  <c:v>0.66986800000000002</c:v>
                </c:pt>
                <c:pt idx="1654">
                  <c:v>0.76664199999999993</c:v>
                </c:pt>
                <c:pt idx="1655">
                  <c:v>0.66648600000000002</c:v>
                </c:pt>
                <c:pt idx="1656">
                  <c:v>0.48171999999999998</c:v>
                </c:pt>
                <c:pt idx="1657">
                  <c:v>0.37848999999999999</c:v>
                </c:pt>
                <c:pt idx="1658">
                  <c:v>0.242946</c:v>
                </c:pt>
                <c:pt idx="1659">
                  <c:v>6.7405999999999994E-2</c:v>
                </c:pt>
                <c:pt idx="1660">
                  <c:v>-4.5058000000000001E-2</c:v>
                </c:pt>
                <c:pt idx="1661">
                  <c:v>0.11016400000000001</c:v>
                </c:pt>
                <c:pt idx="1662">
                  <c:v>-0.173072</c:v>
                </c:pt>
                <c:pt idx="1663">
                  <c:v>-0.50707800000000003</c:v>
                </c:pt>
                <c:pt idx="1664">
                  <c:v>-0.51032</c:v>
                </c:pt>
                <c:pt idx="1665">
                  <c:v>-0.71201999999999999</c:v>
                </c:pt>
                <c:pt idx="1666">
                  <c:v>-0.69372200000000006</c:v>
                </c:pt>
                <c:pt idx="1667">
                  <c:v>-0.58927600000000002</c:v>
                </c:pt>
                <c:pt idx="1668">
                  <c:v>-0.42944000000000004</c:v>
                </c:pt>
                <c:pt idx="1669">
                  <c:v>-0.30499199999999999</c:v>
                </c:pt>
                <c:pt idx="1670">
                  <c:v>-3.4394000000000001E-2</c:v>
                </c:pt>
                <c:pt idx="1671">
                  <c:v>-8.0717999999999998E-2</c:v>
                </c:pt>
                <c:pt idx="1672">
                  <c:v>-3.9639999999999996E-3</c:v>
                </c:pt>
                <c:pt idx="1673">
                  <c:v>0.109706</c:v>
                </c:pt>
                <c:pt idx="1674">
                  <c:v>-0.23200399999999999</c:v>
                </c:pt>
                <c:pt idx="1675">
                  <c:v>-0.18602399999999999</c:v>
                </c:pt>
                <c:pt idx="1676">
                  <c:v>3.8412000000000002E-2</c:v>
                </c:pt>
                <c:pt idx="1677">
                  <c:v>2.4390000000000002E-2</c:v>
                </c:pt>
                <c:pt idx="1678">
                  <c:v>0.32728999999999997</c:v>
                </c:pt>
                <c:pt idx="1679">
                  <c:v>0.339416</c:v>
                </c:pt>
                <c:pt idx="1680">
                  <c:v>0.47615999999999997</c:v>
                </c:pt>
                <c:pt idx="1681">
                  <c:v>0.50828600000000002</c:v>
                </c:pt>
                <c:pt idx="1682">
                  <c:v>0.61425600000000002</c:v>
                </c:pt>
                <c:pt idx="1683">
                  <c:v>0.56637999999999999</c:v>
                </c:pt>
                <c:pt idx="1684">
                  <c:v>0.71850399999999992</c:v>
                </c:pt>
                <c:pt idx="1685">
                  <c:v>0.58292999999999995</c:v>
                </c:pt>
                <c:pt idx="1686">
                  <c:v>0.45659</c:v>
                </c:pt>
                <c:pt idx="1687">
                  <c:v>0.39024999999999999</c:v>
                </c:pt>
                <c:pt idx="1688">
                  <c:v>0.48698000000000002</c:v>
                </c:pt>
                <c:pt idx="1689">
                  <c:v>0.34371400000000002</c:v>
                </c:pt>
                <c:pt idx="1690">
                  <c:v>8.5061999999999999E-2</c:v>
                </c:pt>
                <c:pt idx="1691">
                  <c:v>4.0250000000000001E-2</c:v>
                </c:pt>
                <c:pt idx="1692">
                  <c:v>-1.3788E-2</c:v>
                </c:pt>
                <c:pt idx="1693">
                  <c:v>-0.14013600000000001</c:v>
                </c:pt>
                <c:pt idx="1694">
                  <c:v>-0.17418199999999998</c:v>
                </c:pt>
                <c:pt idx="1695">
                  <c:v>-0.14207</c:v>
                </c:pt>
                <c:pt idx="1696">
                  <c:v>-0.27149800000000002</c:v>
                </c:pt>
                <c:pt idx="1697">
                  <c:v>-0.407084</c:v>
                </c:pt>
                <c:pt idx="1698">
                  <c:v>-0.144208</c:v>
                </c:pt>
                <c:pt idx="1699">
                  <c:v>-1.8253999999999999E-2</c:v>
                </c:pt>
                <c:pt idx="1700">
                  <c:v>0.26461600000000002</c:v>
                </c:pt>
                <c:pt idx="1701">
                  <c:v>0.51672200000000001</c:v>
                </c:pt>
                <c:pt idx="1702">
                  <c:v>0.47497799999999996</c:v>
                </c:pt>
                <c:pt idx="1703">
                  <c:v>0.48553800000000003</c:v>
                </c:pt>
                <c:pt idx="1704">
                  <c:v>0.32071800000000006</c:v>
                </c:pt>
                <c:pt idx="1705">
                  <c:v>0.49897199999999997</c:v>
                </c:pt>
                <c:pt idx="1706">
                  <c:v>0.67414399999999997</c:v>
                </c:pt>
                <c:pt idx="1707">
                  <c:v>0.79393400000000003</c:v>
                </c:pt>
                <c:pt idx="1708">
                  <c:v>0.57833800000000002</c:v>
                </c:pt>
                <c:pt idx="1709">
                  <c:v>0.60889000000000004</c:v>
                </c:pt>
                <c:pt idx="1710">
                  <c:v>0.66098600000000007</c:v>
                </c:pt>
                <c:pt idx="1711">
                  <c:v>0.26692399999999999</c:v>
                </c:pt>
                <c:pt idx="1712">
                  <c:v>0.157474</c:v>
                </c:pt>
                <c:pt idx="1713">
                  <c:v>0.103412</c:v>
                </c:pt>
                <c:pt idx="1714">
                  <c:v>-7.8343999999999997E-2</c:v>
                </c:pt>
                <c:pt idx="1715">
                  <c:v>-7.2413999999999992E-2</c:v>
                </c:pt>
                <c:pt idx="1716">
                  <c:v>-9.2634000000000008E-2</c:v>
                </c:pt>
                <c:pt idx="1717">
                  <c:v>-4.3624000000000003E-2</c:v>
                </c:pt>
                <c:pt idx="1718">
                  <c:v>-0.114618</c:v>
                </c:pt>
                <c:pt idx="1719">
                  <c:v>-6.8687999999999999E-2</c:v>
                </c:pt>
                <c:pt idx="1720">
                  <c:v>-0.119682</c:v>
                </c:pt>
                <c:pt idx="1721">
                  <c:v>0.24162600000000001</c:v>
                </c:pt>
                <c:pt idx="1722">
                  <c:v>0.40755400000000003</c:v>
                </c:pt>
                <c:pt idx="1723">
                  <c:v>0.436556</c:v>
                </c:pt>
                <c:pt idx="1724">
                  <c:v>0.78401600000000005</c:v>
                </c:pt>
                <c:pt idx="1725">
                  <c:v>1.1222479999999999</c:v>
                </c:pt>
                <c:pt idx="1726">
                  <c:v>1.02817</c:v>
                </c:pt>
                <c:pt idx="1727">
                  <c:v>1.0524200000000001</c:v>
                </c:pt>
                <c:pt idx="1728">
                  <c:v>1.2580500000000001</c:v>
                </c:pt>
                <c:pt idx="1729">
                  <c:v>1.541466</c:v>
                </c:pt>
                <c:pt idx="1730">
                  <c:v>1.75526</c:v>
                </c:pt>
                <c:pt idx="1731">
                  <c:v>1.9008340000000001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59-428F-9A16-68B43FB2D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4000223"/>
        <c:axId val="1283998303"/>
      </c:scatterChart>
      <c:valAx>
        <c:axId val="1284000223"/>
        <c:scaling>
          <c:orientation val="minMax"/>
          <c:max val="1900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998303"/>
        <c:crosses val="autoZero"/>
        <c:crossBetween val="midCat"/>
        <c:majorUnit val="40"/>
      </c:valAx>
      <c:valAx>
        <c:axId val="128399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000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62586661862422"/>
          <c:y val="0.38004629629629633"/>
          <c:w val="0.1353761922265859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444500</xdr:colOff>
      <xdr:row>17</xdr:row>
      <xdr:rowOff>95250</xdr:rowOff>
    </xdr:from>
    <xdr:to>
      <xdr:col>35</xdr:col>
      <xdr:colOff>38100</xdr:colOff>
      <xdr:row>31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38E531-2B6D-6CDE-7A90-158534A1BA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C842-DC74-4E8C-B203-F0916E607D5B}">
  <sheetPr codeName="Sheet1"/>
  <dimension ref="A1:AF1802"/>
  <sheetViews>
    <sheetView tabSelected="1" zoomScale="50" zoomScaleNormal="50" workbookViewId="0">
      <selection activeCell="J2" sqref="J2:J20"/>
    </sheetView>
  </sheetViews>
  <sheetFormatPr defaultRowHeight="14.5" x14ac:dyDescent="0.35"/>
  <cols>
    <col min="1" max="1" width="17.453125" customWidth="1"/>
    <col min="2" max="3" width="12.90625" customWidth="1"/>
    <col min="4" max="4" width="11.08984375" customWidth="1"/>
    <col min="6" max="6" width="14.90625" customWidth="1"/>
    <col min="21" max="21" width="23.6328125" customWidth="1"/>
    <col min="22" max="22" width="14.6328125" bestFit="1" customWidth="1"/>
    <col min="26" max="26" width="18" style="1" customWidth="1"/>
    <col min="27" max="27" width="18.1796875" style="2" customWidth="1"/>
    <col min="31" max="31" width="15.6328125" customWidth="1"/>
  </cols>
  <sheetData>
    <row r="1" spans="1:32" x14ac:dyDescent="0.35">
      <c r="A1" t="s">
        <v>14</v>
      </c>
      <c r="B1">
        <f>365.25-B9</f>
        <v>365.25201979305194</v>
      </c>
      <c r="D1" t="s">
        <v>5</v>
      </c>
      <c r="F1" t="s">
        <v>15</v>
      </c>
      <c r="I1" t="s">
        <v>16</v>
      </c>
      <c r="N1" t="s">
        <v>0</v>
      </c>
      <c r="O1" t="s">
        <v>1</v>
      </c>
      <c r="P1" t="s">
        <v>2</v>
      </c>
      <c r="Q1" t="s">
        <v>3</v>
      </c>
      <c r="R1" t="s">
        <v>13</v>
      </c>
      <c r="S1" t="s">
        <v>4</v>
      </c>
    </row>
    <row r="2" spans="1:32" x14ac:dyDescent="0.35">
      <c r="A2" t="s">
        <v>6</v>
      </c>
      <c r="B2">
        <v>0.75273207869780812</v>
      </c>
      <c r="D2">
        <v>-0.43692799999999998</v>
      </c>
      <c r="F2">
        <v>27.212199999999999</v>
      </c>
      <c r="G2">
        <v>0.30641181342053564</v>
      </c>
      <c r="H2">
        <v>13.569781479734671</v>
      </c>
      <c r="I2">
        <f>+MOD($B$1/F2,1)</f>
        <v>0.42236275615539931</v>
      </c>
      <c r="K2">
        <v>12.266658751482021</v>
      </c>
      <c r="M2">
        <v>1</v>
      </c>
      <c r="N2">
        <v>1880</v>
      </c>
      <c r="O2">
        <f t="shared" ref="O2:O65" si="0">+IF(MOD(M2,$B$5)=1, $B$6, 0)</f>
        <v>36.637715116165623</v>
      </c>
      <c r="P2">
        <f t="array" ref="P2">+SUM($G$2:$G$18*SIN(2*PI()*(N2)*$B$1/$F$2:$F$18+$H$2:$H$18))</f>
        <v>0.52885499237300893</v>
      </c>
      <c r="Q2">
        <f>+O2*P2</f>
        <v>19.376038548324246</v>
      </c>
      <c r="R2">
        <f>+(1-$B$7)*B8+($B$7)*Q2</f>
        <v>3.3008825461797481E-2</v>
      </c>
      <c r="S2" cm="1">
        <f t="array" ref="S2">+$B$2*SIN(R2*$B$3+$B$4)+0*R2+ SUM($J$2:$J$20*SIN(2*PI()*N2*$I$2:$I$20+$K$2:$K$20))</f>
        <v>-0.70840228062391408</v>
      </c>
      <c r="Z2" s="1">
        <v>1880.0417</v>
      </c>
      <c r="AA2" s="2">
        <f>+AB2/50</f>
        <v>0.57832600000000001</v>
      </c>
      <c r="AB2">
        <v>28.9163</v>
      </c>
      <c r="AE2">
        <v>1880</v>
      </c>
      <c r="AF2">
        <v>-0.70840228062391408</v>
      </c>
    </row>
    <row r="3" spans="1:32" x14ac:dyDescent="0.35">
      <c r="A3" t="s">
        <v>7</v>
      </c>
      <c r="B3">
        <v>188.21199148368345</v>
      </c>
      <c r="D3">
        <v>-0.46153846199999998</v>
      </c>
      <c r="F3">
        <v>27.3216</v>
      </c>
      <c r="G3">
        <v>0.10533361509364469</v>
      </c>
      <c r="H3">
        <v>7.8750435196555619</v>
      </c>
      <c r="I3">
        <f>+MOD($B$1/F3,1)</f>
        <v>0.36861749652479858</v>
      </c>
      <c r="K3">
        <v>11.412814027139394</v>
      </c>
      <c r="M3">
        <f>+M2+1</f>
        <v>2</v>
      </c>
      <c r="N3">
        <f>+N2+1/12</f>
        <v>1880.0833333333333</v>
      </c>
      <c r="O3">
        <f t="shared" si="0"/>
        <v>0</v>
      </c>
      <c r="P3">
        <f t="array" ref="P3">+SUM($G$2:$G$18*SIN(2*PI()*(N3)*$B$1/$F$2:$F$18+$H$2:$H$18))</f>
        <v>0.4947949903535025</v>
      </c>
      <c r="Q3">
        <f t="shared" ref="Q3:Q66" si="1">+O3*P3</f>
        <v>0</v>
      </c>
      <c r="R3">
        <f t="shared" ref="R3:R66" si="2">+(1-$B$7)*R2+($B$7)*Q3</f>
        <v>3.2958053236295311E-2</v>
      </c>
      <c r="S3">
        <f t="array" ref="S3">+$B$2*SIN(R3*$B$3+$B$4)+0*R3+ SUM($J$2:$J$20*SIN(2*PI()*N3*$I$2:$I$20+$K$2:$K$20))</f>
        <v>-0.70593795755618627</v>
      </c>
      <c r="V3" t="s">
        <v>18</v>
      </c>
      <c r="W3">
        <f>+(CORREL(S57:S1745,D16:D1704))</f>
        <v>0.60077745058794985</v>
      </c>
      <c r="Z3" s="1">
        <v>1880.125</v>
      </c>
      <c r="AA3" s="2">
        <f t="shared" ref="AA3:AA66" si="3">+AB3/50</f>
        <v>0.50465800000000005</v>
      </c>
      <c r="AB3">
        <v>25.232900000000001</v>
      </c>
      <c r="AE3">
        <v>1880.0833333333333</v>
      </c>
      <c r="AF3">
        <v>-0.70593795755618627</v>
      </c>
    </row>
    <row r="4" spans="1:32" x14ac:dyDescent="0.35">
      <c r="A4" t="s">
        <v>8</v>
      </c>
      <c r="B4">
        <v>-1.8451711543872782</v>
      </c>
      <c r="D4">
        <v>-0.75220100000000001</v>
      </c>
      <c r="F4">
        <v>27.554500000000001</v>
      </c>
      <c r="G4">
        <v>4.6157525879632767E-2</v>
      </c>
      <c r="H4">
        <v>18.329732368421773</v>
      </c>
      <c r="I4">
        <f>+MOD($B$1/F4,1)</f>
        <v>0.25562139734170231</v>
      </c>
      <c r="K4">
        <v>17.904374916989465</v>
      </c>
      <c r="M4">
        <f t="shared" ref="M4:M67" si="4">+M3+1</f>
        <v>3</v>
      </c>
      <c r="N4">
        <f t="shared" ref="N4:N67" si="5">+N3+1/12</f>
        <v>1880.1666666666665</v>
      </c>
      <c r="O4">
        <f t="shared" si="0"/>
        <v>0</v>
      </c>
      <c r="P4">
        <f t="array" ref="P4">+SUM($G$2:$G$18*SIN(2*PI()*(N4)*$B$1/$F$2:$F$18+$H$2:$H$18))</f>
        <v>2.2783442790762221E-2</v>
      </c>
      <c r="Q4">
        <f t="shared" si="1"/>
        <v>0</v>
      </c>
      <c r="R4">
        <f t="shared" si="2"/>
        <v>3.2907359105631306E-2</v>
      </c>
      <c r="S4">
        <f t="array" ref="S4">+$B$2*SIN(R4*$B$3+$B$4)+0*R4+ SUM($J$2:$J$20*SIN(2*PI()*N4*$I$2:$I$20+$K$2:$K$20))</f>
        <v>-0.70341311054566791</v>
      </c>
      <c r="V4" t="s">
        <v>19</v>
      </c>
      <c r="W4">
        <f t="array" ref="W4">+SUM((S57:S1745-D16:D1704)^2)</f>
        <v>497.77190863559133</v>
      </c>
      <c r="Z4" s="1">
        <v>1880.2083</v>
      </c>
      <c r="AA4" s="2">
        <f t="shared" si="3"/>
        <v>0.35098999999999997</v>
      </c>
      <c r="AB4">
        <v>17.549499999999998</v>
      </c>
      <c r="AE4">
        <v>1880.1666666666665</v>
      </c>
      <c r="AF4">
        <v>-0.70341311054566791</v>
      </c>
    </row>
    <row r="5" spans="1:32" x14ac:dyDescent="0.35">
      <c r="A5" t="s">
        <v>9</v>
      </c>
      <c r="B5">
        <v>12</v>
      </c>
      <c r="D5">
        <v>0.50465800000000005</v>
      </c>
      <c r="F5">
        <f>1/(1/F3+1/F2)</f>
        <v>13.633395133293481</v>
      </c>
      <c r="G5">
        <v>5.2010302511172626E-2</v>
      </c>
      <c r="H5">
        <v>7.1564520971119086</v>
      </c>
      <c r="I5">
        <f>1-MOD($B$1/F5,1)</f>
        <v>0.20901974731980388</v>
      </c>
      <c r="K5">
        <v>9.1597607478304681</v>
      </c>
      <c r="M5">
        <f t="shared" si="4"/>
        <v>4</v>
      </c>
      <c r="N5">
        <f t="shared" si="5"/>
        <v>1880.2499999999998</v>
      </c>
      <c r="O5">
        <f t="shared" si="0"/>
        <v>0</v>
      </c>
      <c r="P5">
        <f t="array" ref="P5">+SUM($G$2:$G$18*SIN(2*PI()*(N5)*$B$1/$F$2:$F$18+$H$2:$H$18))</f>
        <v>-0.36988423339327919</v>
      </c>
      <c r="Q5">
        <f t="shared" si="1"/>
        <v>0</v>
      </c>
      <c r="R5">
        <f t="shared" si="2"/>
        <v>3.2856742949684603E-2</v>
      </c>
      <c r="S5">
        <f t="array" ref="S5">+$B$2*SIN(R5*$B$3+$B$4)+0*R5+ SUM($J$2:$J$20*SIN(2*PI()*N5*$I$2:$I$20+$K$2:$K$20))</f>
        <v>-0.70082825969801366</v>
      </c>
      <c r="W5">
        <f t="array" ref="W5">+SUM((S57:S1045-D16:D1004)^2)+SUM((S1245:S1745-D1204:D1704)^2)</f>
        <v>430.15447811764056</v>
      </c>
      <c r="Z5" s="1">
        <v>1880.2917</v>
      </c>
      <c r="AA5" s="2">
        <f t="shared" si="3"/>
        <v>0.41116399999999997</v>
      </c>
      <c r="AB5">
        <v>20.558199999999999</v>
      </c>
      <c r="AE5">
        <v>1880.2499999999998</v>
      </c>
      <c r="AF5">
        <v>-0.70082825969801366</v>
      </c>
    </row>
    <row r="6" spans="1:32" x14ac:dyDescent="0.35">
      <c r="A6" t="s">
        <v>10</v>
      </c>
      <c r="B6">
        <v>36.637715116165623</v>
      </c>
      <c r="D6">
        <v>0.35098999999999997</v>
      </c>
      <c r="F6">
        <f>1/(1/F2+1/F4)</f>
        <v>13.691140143554387</v>
      </c>
      <c r="G6">
        <v>-0.15965157695752807</v>
      </c>
      <c r="H6">
        <v>21.018850684979022</v>
      </c>
      <c r="I6">
        <f>1-MOD($B$1/F6,1)</f>
        <v>0.32201584650290016</v>
      </c>
      <c r="K6">
        <v>24.873525692685462</v>
      </c>
      <c r="M6">
        <f t="shared" si="4"/>
        <v>5</v>
      </c>
      <c r="N6">
        <f t="shared" si="5"/>
        <v>1880.333333333333</v>
      </c>
      <c r="O6">
        <f t="shared" si="0"/>
        <v>0</v>
      </c>
      <c r="P6">
        <f t="array" ref="P6">+SUM($G$2:$G$18*SIN(2*PI()*(N6)*$B$1/$F$2:$F$18+$H$2:$H$18))</f>
        <v>-0.45036391185184421</v>
      </c>
      <c r="Q6">
        <f t="shared" si="1"/>
        <v>0</v>
      </c>
      <c r="R6">
        <f t="shared" si="2"/>
        <v>3.2806204648519091E-2</v>
      </c>
      <c r="S6">
        <f t="array" ref="S6">+$B$2*SIN(R6*$B$3+$B$4)+0*R6+ SUM($J$2:$J$20*SIN(2*PI()*N6*$I$2:$I$20+$K$2:$K$20))</f>
        <v>-0.69818392773451021</v>
      </c>
      <c r="Z6" s="1">
        <v>1880.375</v>
      </c>
      <c r="AA6" s="2">
        <f t="shared" si="3"/>
        <v>0.42057</v>
      </c>
      <c r="AB6">
        <v>21.028500000000001</v>
      </c>
      <c r="AE6">
        <v>1880.333333333333</v>
      </c>
      <c r="AF6">
        <v>-0.69818392773451021</v>
      </c>
    </row>
    <row r="7" spans="1:32" x14ac:dyDescent="0.35">
      <c r="A7" t="s">
        <v>11</v>
      </c>
      <c r="B7">
        <v>1.5381409302469861E-3</v>
      </c>
      <c r="D7">
        <v>0.41116399999999997</v>
      </c>
      <c r="F7">
        <f>+F2/2</f>
        <v>13.6061</v>
      </c>
      <c r="G7">
        <v>0.11636059562957048</v>
      </c>
      <c r="H7">
        <v>9.7029729540232648</v>
      </c>
      <c r="I7">
        <f>1-MOD($B$1/F7,1)</f>
        <v>0.15527448768920138</v>
      </c>
      <c r="K7">
        <v>14.654288348473786</v>
      </c>
      <c r="M7">
        <f t="shared" si="4"/>
        <v>6</v>
      </c>
      <c r="N7">
        <f t="shared" si="5"/>
        <v>1880.4166666666663</v>
      </c>
      <c r="O7">
        <f t="shared" si="0"/>
        <v>0</v>
      </c>
      <c r="P7">
        <f t="array" ref="P7">+SUM($G$2:$G$18*SIN(2*PI()*(N7)*$B$1/$F$2:$F$18+$H$2:$H$18))</f>
        <v>-0.46433917465595298</v>
      </c>
      <c r="Q7">
        <f t="shared" si="1"/>
        <v>0</v>
      </c>
      <c r="R7">
        <f t="shared" si="2"/>
        <v>3.2755744082383145E-2</v>
      </c>
      <c r="S7">
        <f t="array" ref="S7">+$B$2*SIN(R7*$B$3+$B$4)+0*R7+ SUM($J$2:$J$20*SIN(2*PI()*N7*$I$2:$I$20+$K$2:$K$20))</f>
        <v>-0.69548063989913578</v>
      </c>
      <c r="Z7" s="1">
        <v>1880.4583</v>
      </c>
      <c r="AA7" s="2">
        <f t="shared" si="3"/>
        <v>0.38689799999999996</v>
      </c>
      <c r="AB7">
        <v>19.344899999999999</v>
      </c>
      <c r="AE7">
        <v>1880.4166666666663</v>
      </c>
      <c r="AF7">
        <v>-0.69548063989913578</v>
      </c>
    </row>
    <row r="8" spans="1:32" x14ac:dyDescent="0.35">
      <c r="A8" t="s">
        <v>12</v>
      </c>
      <c r="B8">
        <v>3.2106859921152029E-3</v>
      </c>
      <c r="D8">
        <v>0.42057</v>
      </c>
      <c r="F8">
        <f>+F3/2</f>
        <v>13.6608</v>
      </c>
      <c r="G8">
        <v>0.16872762497978844</v>
      </c>
      <c r="H8">
        <v>6.0113348231046988</v>
      </c>
      <c r="I8">
        <f>1-MOD($B$1/F8,1)</f>
        <v>0.26276500695040284</v>
      </c>
      <c r="K8">
        <v>10.741900802485993</v>
      </c>
      <c r="M8">
        <f t="shared" si="4"/>
        <v>7</v>
      </c>
      <c r="N8">
        <f t="shared" si="5"/>
        <v>1880.4999999999995</v>
      </c>
      <c r="O8">
        <f t="shared" si="0"/>
        <v>0</v>
      </c>
      <c r="P8">
        <f t="array" ref="P8">+SUM($G$2:$G$18*SIN(2*PI()*(N8)*$B$1/$F$2:$F$18+$H$2:$H$18))</f>
        <v>-0.22912011691315293</v>
      </c>
      <c r="Q8">
        <f t="shared" si="1"/>
        <v>0</v>
      </c>
      <c r="R8">
        <f t="shared" si="2"/>
        <v>3.270536113170934E-2</v>
      </c>
      <c r="S8">
        <f t="array" ref="S8">+$B$2*SIN(R8*$B$3+$B$4)+0*R8+ SUM($J$2:$J$20*SIN(2*PI()*N8*$I$2:$I$20+$K$2:$K$20))</f>
        <v>-0.69271892386638967</v>
      </c>
      <c r="Z8" s="1">
        <v>1880.5417</v>
      </c>
      <c r="AA8" s="2">
        <f t="shared" si="3"/>
        <v>0.70860800000000002</v>
      </c>
      <c r="AB8">
        <v>35.430399999999999</v>
      </c>
      <c r="AE8">
        <v>1880.4999999999995</v>
      </c>
      <c r="AF8">
        <v>-0.69271892386638967</v>
      </c>
    </row>
    <row r="9" spans="1:32" x14ac:dyDescent="0.35">
      <c r="A9" t="s">
        <v>17</v>
      </c>
      <c r="B9">
        <v>-2.0197930519335466E-3</v>
      </c>
      <c r="D9">
        <v>0.38689799999999996</v>
      </c>
      <c r="F9">
        <f>1/(1/F3+1/F4)</f>
        <v>13.718777886912518</v>
      </c>
      <c r="G9">
        <v>0.18290657801661658</v>
      </c>
      <c r="H9">
        <v>10.175732622541412</v>
      </c>
      <c r="I9">
        <f>1-MOD($B$1/F9,1)</f>
        <v>0.37576110613349911</v>
      </c>
      <c r="K9">
        <v>14.190584538066226</v>
      </c>
      <c r="M9">
        <f t="shared" si="4"/>
        <v>8</v>
      </c>
      <c r="N9">
        <f t="shared" si="5"/>
        <v>1880.5833333333328</v>
      </c>
      <c r="O9">
        <f t="shared" si="0"/>
        <v>0</v>
      </c>
      <c r="P9">
        <f t="array" ref="P9">+SUM($G$2:$G$18*SIN(2*PI()*(N9)*$B$1/$F$2:$F$18+$H$2:$H$18))</f>
        <v>0.23093738028310384</v>
      </c>
      <c r="Q9">
        <f t="shared" si="1"/>
        <v>0</v>
      </c>
      <c r="R9">
        <f t="shared" si="2"/>
        <v>3.2655055677114152E-2</v>
      </c>
      <c r="S9">
        <f t="array" ref="S9">+$B$2*SIN(R9*$B$3+$B$4)+0*R9+ SUM($J$2:$J$20*SIN(2*PI()*N9*$I$2:$I$20+$K$2:$K$20))</f>
        <v>-0.68989930964989843</v>
      </c>
      <c r="Z9" s="1">
        <v>1880.625</v>
      </c>
      <c r="AA9" s="2">
        <f t="shared" si="3"/>
        <v>0.66108599999999995</v>
      </c>
      <c r="AB9">
        <v>33.054299999999998</v>
      </c>
      <c r="AE9">
        <v>1880.5833333333328</v>
      </c>
      <c r="AF9">
        <v>-0.68989930964989843</v>
      </c>
    </row>
    <row r="10" spans="1:32" x14ac:dyDescent="0.35">
      <c r="D10">
        <v>0.70860800000000002</v>
      </c>
      <c r="F10">
        <f>1/(1/F2-1/F3)</f>
        <v>6795.9857725774964</v>
      </c>
      <c r="G10">
        <v>4.1646376335902846E-2</v>
      </c>
      <c r="H10">
        <v>9.2575220802403848</v>
      </c>
      <c r="I10">
        <f>+MOD($B$1/F10,1)</f>
        <v>5.3745259630601568E-2</v>
      </c>
      <c r="K10">
        <v>10.14360775081561</v>
      </c>
      <c r="M10">
        <f t="shared" si="4"/>
        <v>9</v>
      </c>
      <c r="N10">
        <f t="shared" si="5"/>
        <v>1880.6666666666661</v>
      </c>
      <c r="O10">
        <f t="shared" si="0"/>
        <v>0</v>
      </c>
      <c r="P10">
        <f t="array" ref="P10">+SUM($G$2:$G$18*SIN(2*PI()*(N10)*$B$1/$F$2:$F$18+$H$2:$H$18))</f>
        <v>0.58885686841904705</v>
      </c>
      <c r="Q10">
        <f t="shared" si="1"/>
        <v>0</v>
      </c>
      <c r="R10">
        <f t="shared" si="2"/>
        <v>3.2604827599397687E-2</v>
      </c>
      <c r="S10">
        <f t="array" ref="S10">+$B$2*SIN(R10*$B$3+$B$4)+0*R10+ SUM($J$2:$J$20*SIN(2*PI()*N10*$I$2:$I$20+$K$2:$K$20))</f>
        <v>-0.68702232951180242</v>
      </c>
      <c r="Z10" s="1">
        <v>1880.7083</v>
      </c>
      <c r="AA10" s="2">
        <f t="shared" si="3"/>
        <v>0.73971799999999999</v>
      </c>
      <c r="AB10">
        <v>36.985900000000001</v>
      </c>
      <c r="AE10">
        <v>1880.6666666666661</v>
      </c>
      <c r="AF10">
        <v>-0.68702232951180242</v>
      </c>
    </row>
    <row r="11" spans="1:32" x14ac:dyDescent="0.35">
      <c r="D11">
        <v>0.66108599999999995</v>
      </c>
      <c r="F11">
        <f>1/(1/F3-1/F4)/2</f>
        <v>1616.2151721769144</v>
      </c>
      <c r="G11">
        <v>0.17030216569535031</v>
      </c>
      <c r="H11">
        <v>7.3708365896481833</v>
      </c>
      <c r="I11">
        <f>+MOD($B$1/F11,1)</f>
        <v>0.22599219836619047</v>
      </c>
      <c r="K11">
        <v>8.2378837528711433</v>
      </c>
      <c r="M11">
        <f t="shared" si="4"/>
        <v>10</v>
      </c>
      <c r="N11">
        <f t="shared" si="5"/>
        <v>1880.7499999999993</v>
      </c>
      <c r="O11">
        <f t="shared" si="0"/>
        <v>0</v>
      </c>
      <c r="P11">
        <f t="array" ref="P11">+SUM($G$2:$G$18*SIN(2*PI()*(N11)*$B$1/$F$2:$F$18+$H$2:$H$18))</f>
        <v>0.80991027020096018</v>
      </c>
      <c r="Q11">
        <f t="shared" si="1"/>
        <v>0</v>
      </c>
      <c r="R11">
        <f t="shared" si="2"/>
        <v>3.2554676779543407E-2</v>
      </c>
      <c r="S11">
        <f t="array" ref="S11">+$B$2*SIN(R11*$B$3+$B$4)+0*R11+ SUM($J$2:$J$20*SIN(2*PI()*N11*$I$2:$I$20+$K$2:$K$20))</f>
        <v>-0.68408851787292946</v>
      </c>
      <c r="Z11" s="1">
        <v>1880.7917</v>
      </c>
      <c r="AA11" s="2">
        <f t="shared" si="3"/>
        <v>0.71680999999999995</v>
      </c>
      <c r="AB11">
        <v>35.840499999999999</v>
      </c>
      <c r="AE11">
        <v>1880.7499999999993</v>
      </c>
      <c r="AF11">
        <v>-0.68408851787292946</v>
      </c>
    </row>
    <row r="12" spans="1:32" x14ac:dyDescent="0.35">
      <c r="D12">
        <v>0.73971799999999999</v>
      </c>
      <c r="F12">
        <f>1/(1/F11-1/F10)</f>
        <v>2120.51385339126</v>
      </c>
      <c r="G12">
        <v>0.15615462787655843</v>
      </c>
      <c r="H12">
        <v>6.2785430688185473</v>
      </c>
      <c r="I12">
        <f>+MOD($B$1/F12,1)</f>
        <v>0.17224693873558891</v>
      </c>
      <c r="K12">
        <v>5.2324169532783564</v>
      </c>
      <c r="M12">
        <f t="shared" si="4"/>
        <v>11</v>
      </c>
      <c r="N12">
        <f t="shared" si="5"/>
        <v>1880.8333333333326</v>
      </c>
      <c r="O12">
        <f t="shared" si="0"/>
        <v>0</v>
      </c>
      <c r="P12">
        <f t="array" ref="P12">+SUM($G$2:$G$18*SIN(2*PI()*(N12)*$B$1/$F$2:$F$18+$H$2:$H$18))</f>
        <v>0.59245568026863071</v>
      </c>
      <c r="Q12">
        <f t="shared" si="1"/>
        <v>0</v>
      </c>
      <c r="R12">
        <f t="shared" si="2"/>
        <v>3.2504603098717832E-2</v>
      </c>
      <c r="S12">
        <f t="array" ref="S12">+$B$2*SIN(R12*$B$3+$B$4)+0*R12+ SUM($J$2:$J$20*SIN(2*PI()*N12*$I$2:$I$20+$K$2:$K$20))</f>
        <v>-0.68109841122375459</v>
      </c>
      <c r="Z12" s="1">
        <v>1880.875</v>
      </c>
      <c r="AA12" s="2">
        <f t="shared" si="3"/>
        <v>0.82159400000000005</v>
      </c>
      <c r="AB12">
        <v>41.079700000000003</v>
      </c>
      <c r="AE12">
        <v>1880.8333333333326</v>
      </c>
      <c r="AF12">
        <v>-0.68109841122375459</v>
      </c>
    </row>
    <row r="13" spans="1:32" x14ac:dyDescent="0.35">
      <c r="D13">
        <v>0.71680999999999995</v>
      </c>
      <c r="F13">
        <f>+F4/2</f>
        <v>13.77725</v>
      </c>
      <c r="G13">
        <v>6.6553408310346118E-2</v>
      </c>
      <c r="H13">
        <v>15.927059489930985</v>
      </c>
      <c r="I13">
        <f>1-MOD($B$1/F13,1)</f>
        <v>0.48875720531659539</v>
      </c>
      <c r="K13">
        <v>20.489806688762318</v>
      </c>
      <c r="M13">
        <f t="shared" si="4"/>
        <v>12</v>
      </c>
      <c r="N13">
        <f t="shared" si="5"/>
        <v>1880.9166666666658</v>
      </c>
      <c r="O13">
        <f t="shared" si="0"/>
        <v>0</v>
      </c>
      <c r="P13">
        <f t="array" ref="P13">+SUM($G$2:$G$18*SIN(2*PI()*(N13)*$B$1/$F$2:$F$18+$H$2:$H$18))</f>
        <v>-0.10401945783790136</v>
      </c>
      <c r="Q13">
        <f t="shared" si="1"/>
        <v>0</v>
      </c>
      <c r="R13">
        <f t="shared" si="2"/>
        <v>3.2454606438270264E-2</v>
      </c>
      <c r="S13">
        <f t="array" ref="S13">+$B$2*SIN(R13*$B$3+$B$4)+0*R13+ SUM($J$2:$J$20*SIN(2*PI()*N13*$I$2:$I$20+$K$2:$K$20))</f>
        <v>-0.67805254803615356</v>
      </c>
      <c r="Z13" s="1">
        <v>1880.9583</v>
      </c>
      <c r="AA13" s="2">
        <f t="shared" si="3"/>
        <v>1.0048380000000001</v>
      </c>
      <c r="AB13">
        <v>50.241900000000001</v>
      </c>
      <c r="AE13">
        <v>1880.9166666666658</v>
      </c>
      <c r="AF13">
        <v>-0.67805254803615356</v>
      </c>
    </row>
    <row r="14" spans="1:32" x14ac:dyDescent="0.35">
      <c r="D14">
        <v>0.82159400000000005</v>
      </c>
      <c r="F14">
        <f>2*F11</f>
        <v>3232.4303443538288</v>
      </c>
      <c r="G14">
        <v>2.5133676926589917E-2</v>
      </c>
      <c r="H14">
        <v>5.758181894730261</v>
      </c>
      <c r="I14">
        <f>+MOD($B$1/F14,1)</f>
        <v>0.11299609918309524</v>
      </c>
      <c r="K14">
        <v>5.2990728073565929</v>
      </c>
      <c r="M14">
        <f t="shared" si="4"/>
        <v>13</v>
      </c>
      <c r="N14">
        <f t="shared" si="5"/>
        <v>1880.9999999999991</v>
      </c>
      <c r="O14">
        <f t="shared" si="0"/>
        <v>36.637715116165623</v>
      </c>
      <c r="P14">
        <f t="array" ref="P14">+SUM($G$2:$G$18*SIN(2*PI()*(N14)*$B$1/$F$2:$F$18+$H$2:$H$18))</f>
        <v>-0.49143787592005256</v>
      </c>
      <c r="Q14">
        <f t="shared" si="1"/>
        <v>-18.005160895252434</v>
      </c>
      <c r="R14">
        <f t="shared" si="2"/>
        <v>4.7102117510622668E-3</v>
      </c>
      <c r="S14">
        <f t="array" ref="S14">+$B$2*SIN(R14*$B$3+$B$4)+0*R14+ SUM($J$2:$J$20*SIN(2*PI()*N14*$I$2:$I$20+$K$2:$K$20))</f>
        <v>-0.61604962596182655</v>
      </c>
      <c r="Z14" s="1">
        <v>1881.0417</v>
      </c>
      <c r="AA14" s="2">
        <f t="shared" si="3"/>
        <v>1.058848</v>
      </c>
      <c r="AB14">
        <v>52.942399999999999</v>
      </c>
      <c r="AE14">
        <v>1880.9999999999991</v>
      </c>
      <c r="AF14">
        <v>-0.61604962596182655</v>
      </c>
    </row>
    <row r="15" spans="1:32" x14ac:dyDescent="0.35">
      <c r="D15">
        <v>1.0048380000000001</v>
      </c>
      <c r="F15">
        <f>1/(1/F8+1/F4)</f>
        <v>9.1329315472652137</v>
      </c>
      <c r="G15">
        <v>5.7003733859767522E-3</v>
      </c>
      <c r="H15">
        <v>8.2625677082716518</v>
      </c>
      <c r="I15">
        <f>1-MOD($B$1/F15,1)</f>
        <v>7.1436096086969769E-3</v>
      </c>
      <c r="K15">
        <v>24.212636357491789</v>
      </c>
      <c r="M15">
        <f t="shared" si="4"/>
        <v>14</v>
      </c>
      <c r="N15">
        <f t="shared" si="5"/>
        <v>1881.0833333333323</v>
      </c>
      <c r="O15">
        <f t="shared" si="0"/>
        <v>0</v>
      </c>
      <c r="P15">
        <f t="array" ref="P15">+SUM($G$2:$G$18*SIN(2*PI()*(N15)*$B$1/$F$2:$F$18+$H$2:$H$18))</f>
        <v>-0.35119521698958905</v>
      </c>
      <c r="Q15">
        <f t="shared" si="1"/>
        <v>0</v>
      </c>
      <c r="R15">
        <f t="shared" si="2"/>
        <v>4.7029667815778279E-3</v>
      </c>
      <c r="S15">
        <f t="array" ref="S15">+$B$2*SIN(R15*$B$3+$B$4)+0*R15+ SUM($J$2:$J$20*SIN(2*PI()*N15*$I$2:$I$20+$K$2:$K$20))</f>
        <v>-0.61663885652122197</v>
      </c>
      <c r="Z15" s="1">
        <v>1881.125</v>
      </c>
      <c r="AA15" s="2">
        <f t="shared" si="3"/>
        <v>1.314398</v>
      </c>
      <c r="AB15">
        <v>65.719899999999996</v>
      </c>
      <c r="AE15">
        <v>1881.0833333333323</v>
      </c>
      <c r="AF15">
        <v>-0.61663885652122197</v>
      </c>
    </row>
    <row r="16" spans="1:32" x14ac:dyDescent="0.35">
      <c r="D16">
        <v>1.058848</v>
      </c>
      <c r="F16">
        <f>1/(1/F7+1/F4)</f>
        <v>9.1084503736583038</v>
      </c>
      <c r="G16">
        <v>4.8782882330154265E-2</v>
      </c>
      <c r="H16">
        <v>1.5407858509473646</v>
      </c>
      <c r="I16">
        <f>+MOD($B$1/F16,1)</f>
        <v>0.10034690965250093</v>
      </c>
      <c r="K16">
        <v>6.5747523748143983</v>
      </c>
      <c r="M16">
        <f t="shared" si="4"/>
        <v>15</v>
      </c>
      <c r="N16">
        <f t="shared" si="5"/>
        <v>1881.1666666666656</v>
      </c>
      <c r="O16">
        <f t="shared" si="0"/>
        <v>0</v>
      </c>
      <c r="P16">
        <f t="array" ref="P16">+SUM($G$2:$G$18*SIN(2*PI()*(N16)*$B$1/$F$2:$F$18+$H$2:$H$18))</f>
        <v>-0.10261650535490688</v>
      </c>
      <c r="Q16">
        <f t="shared" si="1"/>
        <v>0</v>
      </c>
      <c r="R16">
        <f t="shared" si="2"/>
        <v>4.6957329558774911E-3</v>
      </c>
      <c r="S16">
        <f t="array" ref="S16">+$B$2*SIN(R16*$B$3+$B$4)+0*R16+ SUM($J$2:$J$20*SIN(2*PI()*N16*$I$2:$I$20+$K$2:$K$20))</f>
        <v>-0.61722603684096622</v>
      </c>
      <c r="Z16" s="1">
        <v>1881.2083</v>
      </c>
      <c r="AA16" s="2">
        <f t="shared" si="3"/>
        <v>1.4037919999999999</v>
      </c>
      <c r="AB16">
        <v>70.189599999999999</v>
      </c>
      <c r="AE16">
        <v>1881.1666666666656</v>
      </c>
      <c r="AF16">
        <v>-0.61722603684096622</v>
      </c>
    </row>
    <row r="17" spans="4:32" x14ac:dyDescent="0.35">
      <c r="D17">
        <v>1.314398</v>
      </c>
      <c r="F17">
        <f>1/(1/F5+1/F4)</f>
        <v>9.1206745327628127</v>
      </c>
      <c r="G17">
        <v>6.7495129715616784E-3</v>
      </c>
      <c r="H17">
        <v>6.1782199819338075</v>
      </c>
      <c r="I17">
        <f>+MOD($B$1/F17,1)</f>
        <v>4.6601650021898422E-2</v>
      </c>
      <c r="K17">
        <v>6.7403628983015151</v>
      </c>
      <c r="M17">
        <f t="shared" si="4"/>
        <v>16</v>
      </c>
      <c r="N17">
        <f t="shared" si="5"/>
        <v>1881.2499999999989</v>
      </c>
      <c r="O17">
        <f t="shared" si="0"/>
        <v>0</v>
      </c>
      <c r="P17">
        <f t="array" ref="P17">+SUM($G$2:$G$18*SIN(2*PI()*(N17)*$B$1/$F$2:$F$18+$H$2:$H$18))</f>
        <v>0.17554482823209158</v>
      </c>
      <c r="Q17">
        <f t="shared" si="1"/>
        <v>0</v>
      </c>
      <c r="R17">
        <f t="shared" si="2"/>
        <v>4.6885102568205465E-3</v>
      </c>
      <c r="S17">
        <f t="array" ref="S17">+$B$2*SIN(R17*$B$3+$B$4)+0*R17+ SUM($J$2:$J$20*SIN(2*PI()*N17*$I$2:$I$20+$K$2:$K$20))</f>
        <v>-0.61781117250500417</v>
      </c>
      <c r="Z17" s="1">
        <v>1881.2917</v>
      </c>
      <c r="AA17" s="2">
        <f t="shared" si="3"/>
        <v>1.431646</v>
      </c>
      <c r="AB17">
        <v>71.582300000000004</v>
      </c>
      <c r="AE17">
        <v>1881.2499999999989</v>
      </c>
      <c r="AF17">
        <v>-0.61781117250500417</v>
      </c>
    </row>
    <row r="18" spans="4:32" x14ac:dyDescent="0.35">
      <c r="D18">
        <v>1.4037919999999999</v>
      </c>
      <c r="F18">
        <f>1/(1/F8-1/F4)</f>
        <v>27.092604101139369</v>
      </c>
      <c r="G18">
        <v>-0.18212822225831971</v>
      </c>
      <c r="H18">
        <v>7.9256746338521493</v>
      </c>
      <c r="I18">
        <f>+MOD($B$1/F18,1)</f>
        <v>0.48161359570789308</v>
      </c>
      <c r="K18">
        <v>10.451836464484089</v>
      </c>
      <c r="M18">
        <f t="shared" si="4"/>
        <v>17</v>
      </c>
      <c r="N18">
        <f t="shared" si="5"/>
        <v>1881.3333333333321</v>
      </c>
      <c r="O18">
        <f t="shared" si="0"/>
        <v>0</v>
      </c>
      <c r="P18">
        <f t="array" ref="P18">+SUM($G$2:$G$18*SIN(2*PI()*(N18)*$B$1/$F$2:$F$18+$H$2:$H$18))</f>
        <v>0.42642001407127422</v>
      </c>
      <c r="Q18">
        <f t="shared" si="1"/>
        <v>0</v>
      </c>
      <c r="R18">
        <f t="shared" si="2"/>
        <v>4.6812986672926478E-3</v>
      </c>
      <c r="S18">
        <f t="array" ref="S18">+$B$2*SIN(R18*$B$3+$B$4)+0*R18+ SUM($J$2:$J$20*SIN(2*PI()*N18*$I$2:$I$20+$K$2:$K$20))</f>
        <v>-0.61839426908832928</v>
      </c>
      <c r="Z18" s="1">
        <v>1881.375</v>
      </c>
      <c r="AA18" s="2">
        <f t="shared" si="3"/>
        <v>1.01027</v>
      </c>
      <c r="AB18">
        <v>50.513500000000001</v>
      </c>
      <c r="AE18">
        <v>1881.3333333333321</v>
      </c>
      <c r="AF18">
        <v>-0.61839426908832928</v>
      </c>
    </row>
    <row r="19" spans="4:32" x14ac:dyDescent="0.35">
      <c r="D19">
        <v>1.431646</v>
      </c>
      <c r="I19">
        <v>2</v>
      </c>
      <c r="K19">
        <v>6.2263535839479607</v>
      </c>
      <c r="M19">
        <f t="shared" si="4"/>
        <v>18</v>
      </c>
      <c r="N19">
        <f t="shared" si="5"/>
        <v>1881.4166666666654</v>
      </c>
      <c r="O19">
        <f t="shared" si="0"/>
        <v>0</v>
      </c>
      <c r="P19">
        <f t="array" ref="P19">+SUM($G$2:$G$18*SIN(2*PI()*(N19)*$B$1/$F$2:$F$18+$H$2:$H$18))</f>
        <v>0.67085039143572189</v>
      </c>
      <c r="Q19">
        <f t="shared" si="1"/>
        <v>0</v>
      </c>
      <c r="R19">
        <f t="shared" si="2"/>
        <v>4.6740981702057746E-3</v>
      </c>
      <c r="S19">
        <f t="array" ref="S19">+$B$2*SIN(R19*$B$3+$B$4)+0*R19+ SUM($J$2:$J$20*SIN(2*PI()*N19*$I$2:$I$20+$K$2:$K$20))</f>
        <v>-0.61897533215695355</v>
      </c>
      <c r="Z19" s="1">
        <v>1881.4583</v>
      </c>
      <c r="AA19" s="2">
        <f t="shared" si="3"/>
        <v>0.72119800000000001</v>
      </c>
      <c r="AB19">
        <v>36.059899999999999</v>
      </c>
      <c r="AE19">
        <v>1881.4166666666654</v>
      </c>
      <c r="AF19">
        <v>-0.61897533215695355</v>
      </c>
    </row>
    <row r="20" spans="4:32" x14ac:dyDescent="0.35">
      <c r="D20">
        <v>1.01027</v>
      </c>
      <c r="I20">
        <v>1</v>
      </c>
      <c r="K20">
        <v>3.2991006932347724</v>
      </c>
      <c r="M20">
        <f t="shared" si="4"/>
        <v>19</v>
      </c>
      <c r="N20">
        <f t="shared" si="5"/>
        <v>1881.4999999999986</v>
      </c>
      <c r="O20">
        <f t="shared" si="0"/>
        <v>0</v>
      </c>
      <c r="P20">
        <f t="array" ref="P20">+SUM($G$2:$G$18*SIN(2*PI()*(N20)*$B$1/$F$2:$F$18+$H$2:$H$18))</f>
        <v>0.87561629092064286</v>
      </c>
      <c r="Q20">
        <f t="shared" si="1"/>
        <v>0</v>
      </c>
      <c r="R20">
        <f t="shared" si="2"/>
        <v>4.6669087484981888E-3</v>
      </c>
      <c r="S20">
        <f t="array" ref="S20">+$B$2*SIN(R20*$B$3+$B$4)+0*R20+ SUM($J$2:$J$20*SIN(2*PI()*N20*$I$2:$I$20+$K$2:$K$20))</f>
        <v>-0.61955436726788049</v>
      </c>
      <c r="Z20" s="1">
        <v>1881.5417</v>
      </c>
      <c r="AA20" s="2">
        <f t="shared" si="3"/>
        <v>0.34289400000000003</v>
      </c>
      <c r="AB20">
        <v>17.1447</v>
      </c>
      <c r="AE20">
        <v>1881.4999999999986</v>
      </c>
      <c r="AF20">
        <v>-0.61955436726788049</v>
      </c>
    </row>
    <row r="21" spans="4:32" x14ac:dyDescent="0.35">
      <c r="D21">
        <v>0.72119800000000001</v>
      </c>
      <c r="M21">
        <f t="shared" si="4"/>
        <v>20</v>
      </c>
      <c r="N21">
        <f t="shared" si="5"/>
        <v>1881.5833333333319</v>
      </c>
      <c r="O21">
        <f t="shared" si="0"/>
        <v>0</v>
      </c>
      <c r="P21">
        <f t="array" ref="P21">+SUM($G$2:$G$18*SIN(2*PI()*(N21)*$B$1/$F$2:$F$18+$H$2:$H$18))</f>
        <v>0.46568761178469853</v>
      </c>
      <c r="Q21">
        <f t="shared" si="1"/>
        <v>0</v>
      </c>
      <c r="R21">
        <f t="shared" si="2"/>
        <v>4.6597303851343957E-3</v>
      </c>
      <c r="S21">
        <f t="array" ref="S21">+$B$2*SIN(R21*$B$3+$B$4)+0*R21+ SUM($J$2:$J$20*SIN(2*PI()*N21*$I$2:$I$20+$K$2:$K$20))</f>
        <v>-0.62013137996907663</v>
      </c>
      <c r="Z21" s="1">
        <v>1881.625</v>
      </c>
      <c r="AA21" s="2">
        <f t="shared" si="3"/>
        <v>0.11382199999999999</v>
      </c>
      <c r="AB21">
        <v>5.6910999999999996</v>
      </c>
      <c r="AE21">
        <v>1881.5833333333319</v>
      </c>
      <c r="AF21">
        <v>-0.62013137996907663</v>
      </c>
    </row>
    <row r="22" spans="4:32" x14ac:dyDescent="0.35">
      <c r="D22">
        <v>0.34289400000000003</v>
      </c>
      <c r="M22">
        <f t="shared" si="4"/>
        <v>21</v>
      </c>
      <c r="N22">
        <f t="shared" si="5"/>
        <v>1881.6666666666652</v>
      </c>
      <c r="O22">
        <f t="shared" si="0"/>
        <v>0</v>
      </c>
      <c r="P22">
        <f t="array" ref="P22">+SUM($G$2:$G$18*SIN(2*PI()*(N22)*$B$1/$F$2:$F$18+$H$2:$H$18))</f>
        <v>-0.40612805213146291</v>
      </c>
      <c r="Q22">
        <f t="shared" si="1"/>
        <v>0</v>
      </c>
      <c r="R22">
        <f t="shared" si="2"/>
        <v>4.6525630631051047E-3</v>
      </c>
      <c r="S22">
        <f t="array" ref="S22">+$B$2*SIN(R22*$B$3+$B$4)+0*R22+ SUM($J$2:$J$20*SIN(2*PI()*N22*$I$2:$I$20+$K$2:$K$20))</f>
        <v>-0.62070637579944332</v>
      </c>
      <c r="Z22" s="1">
        <v>1881.7083</v>
      </c>
      <c r="AA22" s="2">
        <f t="shared" si="3"/>
        <v>0.15398000000000001</v>
      </c>
      <c r="AB22">
        <v>7.6989999999999998</v>
      </c>
      <c r="AE22">
        <v>1881.6666666666652</v>
      </c>
      <c r="AF22">
        <v>-0.62070637579944332</v>
      </c>
    </row>
    <row r="23" spans="4:32" x14ac:dyDescent="0.35">
      <c r="D23">
        <v>0.11382199999999999</v>
      </c>
      <c r="M23">
        <f t="shared" si="4"/>
        <v>22</v>
      </c>
      <c r="N23">
        <f t="shared" si="5"/>
        <v>1881.7499999999984</v>
      </c>
      <c r="O23">
        <f t="shared" si="0"/>
        <v>0</v>
      </c>
      <c r="P23">
        <f t="array" ref="P23">+SUM($G$2:$G$18*SIN(2*PI()*(N23)*$B$1/$F$2:$F$18+$H$2:$H$18))</f>
        <v>-0.68085110940896221</v>
      </c>
      <c r="Q23">
        <f t="shared" si="1"/>
        <v>0</v>
      </c>
      <c r="R23">
        <f t="shared" si="2"/>
        <v>4.6454067654271873E-3</v>
      </c>
      <c r="S23">
        <f t="array" ref="S23">+$B$2*SIN(R23*$B$3+$B$4)+0*R23+ SUM($J$2:$J$20*SIN(2*PI()*N23*$I$2:$I$20+$K$2:$K$20))</f>
        <v>-0.62127936028879083</v>
      </c>
      <c r="Z23" s="1">
        <v>1881.7917</v>
      </c>
      <c r="AA23" s="2">
        <f t="shared" si="3"/>
        <v>0.134134</v>
      </c>
      <c r="AB23">
        <v>6.7066999999999997</v>
      </c>
      <c r="AE23">
        <v>1881.7499999999984</v>
      </c>
      <c r="AF23">
        <v>-0.62127936028879083</v>
      </c>
    </row>
    <row r="24" spans="4:32" x14ac:dyDescent="0.35">
      <c r="D24">
        <v>0.15398000000000001</v>
      </c>
      <c r="M24">
        <f t="shared" si="4"/>
        <v>23</v>
      </c>
      <c r="N24">
        <f t="shared" si="5"/>
        <v>1881.8333333333317</v>
      </c>
      <c r="O24">
        <f t="shared" si="0"/>
        <v>0</v>
      </c>
      <c r="P24">
        <f t="array" ref="P24">+SUM($G$2:$G$18*SIN(2*PI()*(N24)*$B$1/$F$2:$F$18+$H$2:$H$18))</f>
        <v>-0.25342706358843664</v>
      </c>
      <c r="Q24">
        <f t="shared" si="1"/>
        <v>0</v>
      </c>
      <c r="R24">
        <f t="shared" si="2"/>
        <v>4.6382614751436374E-3</v>
      </c>
      <c r="S24">
        <f t="array" ref="S24">+$B$2*SIN(R24*$B$3+$B$4)+0*R24+ SUM($J$2:$J$20*SIN(2*PI()*N24*$I$2:$I$20+$K$2:$K$20))</f>
        <v>-0.62185033895781072</v>
      </c>
      <c r="Z24" s="1">
        <v>1881.875</v>
      </c>
      <c r="AA24" s="2">
        <f t="shared" si="3"/>
        <v>0.117366</v>
      </c>
      <c r="AB24">
        <v>5.8682999999999996</v>
      </c>
      <c r="AE24">
        <v>1881.8333333333317</v>
      </c>
      <c r="AF24">
        <v>-0.62185033895781072</v>
      </c>
    </row>
    <row r="25" spans="4:32" x14ac:dyDescent="0.35">
      <c r="D25">
        <v>0.134134</v>
      </c>
      <c r="M25">
        <f t="shared" si="4"/>
        <v>24</v>
      </c>
      <c r="N25">
        <f t="shared" si="5"/>
        <v>1881.9166666666649</v>
      </c>
      <c r="O25">
        <f t="shared" si="0"/>
        <v>0</v>
      </c>
      <c r="P25">
        <f t="array" ref="P25">+SUM($G$2:$G$18*SIN(2*PI()*(N25)*$B$1/$F$2:$F$18+$H$2:$H$18))</f>
        <v>0.18889569972922038</v>
      </c>
      <c r="Q25">
        <f t="shared" si="1"/>
        <v>0</v>
      </c>
      <c r="R25">
        <f t="shared" si="2"/>
        <v>4.6311271753235314E-3</v>
      </c>
      <c r="S25">
        <f t="array" ref="S25">+$B$2*SIN(R25*$B$3+$B$4)+0*R25+ SUM($J$2:$J$20*SIN(2*PI()*N25*$I$2:$I$20+$K$2:$K$20))</f>
        <v>-0.62241931731805</v>
      </c>
      <c r="Z25" s="1">
        <v>1881.9583</v>
      </c>
      <c r="AA25" s="2">
        <f t="shared" si="3"/>
        <v>0.23290400000000003</v>
      </c>
      <c r="AB25">
        <v>11.645200000000001</v>
      </c>
      <c r="AE25">
        <v>1881.9166666666649</v>
      </c>
      <c r="AF25">
        <v>-0.62241931731805</v>
      </c>
    </row>
    <row r="26" spans="4:32" x14ac:dyDescent="0.35">
      <c r="D26">
        <v>0.117366</v>
      </c>
      <c r="M26">
        <f t="shared" si="4"/>
        <v>25</v>
      </c>
      <c r="N26">
        <f t="shared" si="5"/>
        <v>1881.9999999999982</v>
      </c>
      <c r="O26">
        <f t="shared" si="0"/>
        <v>36.637715116165623</v>
      </c>
      <c r="P26">
        <f t="array" ref="P26">+SUM($G$2:$G$18*SIN(2*PI()*(N26)*$B$1/$F$2:$F$18+$H$2:$H$18))</f>
        <v>0.34099494817378095</v>
      </c>
      <c r="Q26">
        <f t="shared" si="1"/>
        <v>12.493275767242647</v>
      </c>
      <c r="R26">
        <f t="shared" si="2"/>
        <v>2.3840422659520723E-2</v>
      </c>
      <c r="S26">
        <f t="array" ref="S26">+$B$2*SIN(R26*$B$3+$B$4)+0*R26+ SUM($J$2:$J$20*SIN(2*PI()*N26*$I$2:$I$20+$K$2:$K$20))</f>
        <v>0.36068764956108817</v>
      </c>
      <c r="Z26" s="1">
        <v>1882.0417</v>
      </c>
      <c r="AA26" s="2">
        <f t="shared" si="3"/>
        <v>0.174592</v>
      </c>
      <c r="AB26">
        <v>8.7295999999999996</v>
      </c>
      <c r="AE26">
        <v>1881.9999999999982</v>
      </c>
      <c r="AF26">
        <v>0.36068764956108817</v>
      </c>
    </row>
    <row r="27" spans="4:32" x14ac:dyDescent="0.35">
      <c r="D27">
        <v>0.23290400000000003</v>
      </c>
      <c r="J27">
        <v>0.16216850769018984</v>
      </c>
      <c r="M27">
        <f t="shared" si="4"/>
        <v>26</v>
      </c>
      <c r="N27">
        <f t="shared" si="5"/>
        <v>1882.0833333333314</v>
      </c>
      <c r="O27">
        <f t="shared" si="0"/>
        <v>0</v>
      </c>
      <c r="P27">
        <f t="array" ref="P27">+SUM($G$2:$G$18*SIN(2*PI()*(N27)*$B$1/$F$2:$F$18+$H$2:$H$18))</f>
        <v>0.31001216561825568</v>
      </c>
      <c r="Q27">
        <f t="shared" si="1"/>
        <v>0</v>
      </c>
      <c r="R27">
        <f t="shared" si="2"/>
        <v>2.3803752729633726E-2</v>
      </c>
      <c r="S27">
        <f t="array" ref="S27">+$B$2*SIN(R27*$B$3+$B$4)+0*R27+ SUM($J$2:$J$20*SIN(2*PI()*N27*$I$2:$I$20+$K$2:$K$20))</f>
        <v>0.36523891402446079</v>
      </c>
      <c r="Z27" s="1">
        <v>1882.125</v>
      </c>
      <c r="AA27" s="2">
        <f t="shared" si="3"/>
        <v>0.194744</v>
      </c>
      <c r="AB27">
        <v>9.7371999999999996</v>
      </c>
      <c r="AE27">
        <v>1882.0833333333314</v>
      </c>
      <c r="AF27">
        <v>0.36523891402446079</v>
      </c>
    </row>
    <row r="28" spans="4:32" x14ac:dyDescent="0.35">
      <c r="D28">
        <v>0.174592</v>
      </c>
      <c r="J28">
        <v>1.8437803584434965E-2</v>
      </c>
      <c r="M28">
        <f t="shared" si="4"/>
        <v>27</v>
      </c>
      <c r="N28">
        <f t="shared" si="5"/>
        <v>1882.1666666666647</v>
      </c>
      <c r="O28">
        <f t="shared" si="0"/>
        <v>0</v>
      </c>
      <c r="P28">
        <f t="array" ref="P28">+SUM($G$2:$G$18*SIN(2*PI()*(N28)*$B$1/$F$2:$F$18+$H$2:$H$18))</f>
        <v>0.48270174381022501</v>
      </c>
      <c r="Q28">
        <f t="shared" si="1"/>
        <v>0</v>
      </c>
      <c r="R28">
        <f t="shared" si="2"/>
        <v>2.3767139203266799E-2</v>
      </c>
      <c r="S28">
        <f t="array" ref="S28">+$B$2*SIN(R28*$B$3+$B$4)+0*R28+ SUM($J$2:$J$20*SIN(2*PI()*N28*$I$2:$I$20+$K$2:$K$20))</f>
        <v>0.36976582060297541</v>
      </c>
      <c r="Z28" s="1">
        <v>1882.2083</v>
      </c>
      <c r="AA28" s="2">
        <f t="shared" si="3"/>
        <v>1.6434000000000001E-2</v>
      </c>
      <c r="AB28">
        <v>0.82169999999999999</v>
      </c>
      <c r="AE28">
        <v>1882.1666666666647</v>
      </c>
      <c r="AF28">
        <v>0.36976582060297541</v>
      </c>
    </row>
    <row r="29" spans="4:32" x14ac:dyDescent="0.35">
      <c r="D29">
        <v>0.194744</v>
      </c>
      <c r="J29">
        <v>8.042720277535377E-2</v>
      </c>
      <c r="M29">
        <f t="shared" si="4"/>
        <v>28</v>
      </c>
      <c r="N29">
        <f t="shared" si="5"/>
        <v>1882.249999999998</v>
      </c>
      <c r="O29">
        <f t="shared" si="0"/>
        <v>0</v>
      </c>
      <c r="P29">
        <f t="array" ref="P29">+SUM($G$2:$G$18*SIN(2*PI()*(N29)*$B$1/$F$2:$F$18+$H$2:$H$18))</f>
        <v>0.68433748265382588</v>
      </c>
      <c r="Q29">
        <f t="shared" si="1"/>
        <v>0</v>
      </c>
      <c r="R29">
        <f t="shared" si="2"/>
        <v>2.3730581993663378E-2</v>
      </c>
      <c r="S29">
        <f t="array" ref="S29">+$B$2*SIN(R29*$B$3+$B$4)+0*R29+ SUM($J$2:$J$20*SIN(2*PI()*N29*$I$2:$I$20+$K$2:$K$20))</f>
        <v>0.3742682456427685</v>
      </c>
      <c r="Z29" s="1">
        <v>1882.2917</v>
      </c>
      <c r="AA29" s="2">
        <f t="shared" si="3"/>
        <v>-0.555728</v>
      </c>
      <c r="AB29">
        <v>-27.7864</v>
      </c>
      <c r="AE29">
        <v>1882.249999999998</v>
      </c>
      <c r="AF29">
        <v>0.3742682456427685</v>
      </c>
    </row>
    <row r="30" spans="4:32" x14ac:dyDescent="0.35">
      <c r="D30">
        <v>1.6434000000000001E-2</v>
      </c>
      <c r="J30">
        <v>0.10019307687698031</v>
      </c>
      <c r="M30">
        <f t="shared" si="4"/>
        <v>29</v>
      </c>
      <c r="N30">
        <f t="shared" si="5"/>
        <v>1882.3333333333312</v>
      </c>
      <c r="O30">
        <f t="shared" si="0"/>
        <v>0</v>
      </c>
      <c r="P30">
        <f t="array" ref="P30">+SUM($G$2:$G$18*SIN(2*PI()*(N30)*$B$1/$F$2:$F$18+$H$2:$H$18))</f>
        <v>0.13406272720535645</v>
      </c>
      <c r="Q30">
        <f t="shared" si="1"/>
        <v>0</v>
      </c>
      <c r="R30">
        <f t="shared" si="2"/>
        <v>2.3694081014200345E-2</v>
      </c>
      <c r="S30">
        <f t="array" ref="S30">+$B$2*SIN(R30*$B$3+$B$4)+0*R30+ SUM($J$2:$J$20*SIN(2*PI()*N30*$I$2:$I$20+$K$2:$K$20))</f>
        <v>0.37874606799102406</v>
      </c>
      <c r="Z30" s="1">
        <v>1882.375</v>
      </c>
      <c r="AA30" s="2">
        <f t="shared" si="3"/>
        <v>-0.69250200000000006</v>
      </c>
      <c r="AB30">
        <v>-34.625100000000003</v>
      </c>
      <c r="AE30">
        <v>1882.3333333333312</v>
      </c>
      <c r="AF30">
        <v>0.37874606799102406</v>
      </c>
    </row>
    <row r="31" spans="4:32" x14ac:dyDescent="0.35">
      <c r="D31">
        <v>-0.555728</v>
      </c>
      <c r="J31">
        <v>-0.13758767952779155</v>
      </c>
      <c r="M31">
        <f t="shared" si="4"/>
        <v>30</v>
      </c>
      <c r="N31">
        <f t="shared" si="5"/>
        <v>1882.4166666666645</v>
      </c>
      <c r="O31">
        <f t="shared" si="0"/>
        <v>0</v>
      </c>
      <c r="P31">
        <f t="array" ref="P31">+SUM($G$2:$G$18*SIN(2*PI()*(N31)*$B$1/$F$2:$F$18+$H$2:$H$18))</f>
        <v>-0.75545794114505338</v>
      </c>
      <c r="Q31">
        <f t="shared" si="1"/>
        <v>0</v>
      </c>
      <c r="R31">
        <f t="shared" si="2"/>
        <v>2.3657636178387814E-2</v>
      </c>
      <c r="S31">
        <f t="array" ref="S31">+$B$2*SIN(R31*$B$3+$B$4)+0*R31+ SUM($J$2:$J$20*SIN(2*PI()*N31*$I$2:$I$20+$K$2:$K$20))</f>
        <v>0.38319916898159401</v>
      </c>
      <c r="Z31" s="1">
        <v>1882.4583</v>
      </c>
      <c r="AA31" s="2">
        <f t="shared" si="3"/>
        <v>-0.77389399999999997</v>
      </c>
      <c r="AB31">
        <v>-38.694699999999997</v>
      </c>
      <c r="AE31">
        <v>1882.4166666666645</v>
      </c>
      <c r="AF31">
        <v>0.38319916898159401</v>
      </c>
    </row>
    <row r="32" spans="4:32" x14ac:dyDescent="0.35">
      <c r="D32">
        <v>-0.69250200000000006</v>
      </c>
      <c r="J32">
        <v>-0.23739587058121678</v>
      </c>
      <c r="M32">
        <f t="shared" si="4"/>
        <v>31</v>
      </c>
      <c r="N32">
        <f t="shared" si="5"/>
        <v>1882.4999999999977</v>
      </c>
      <c r="O32">
        <f t="shared" si="0"/>
        <v>0</v>
      </c>
      <c r="P32">
        <f t="array" ref="P32">+SUM($G$2:$G$18*SIN(2*PI()*(N32)*$B$1/$F$2:$F$18+$H$2:$H$18))</f>
        <v>-0.81778957741672098</v>
      </c>
      <c r="Q32">
        <f t="shared" si="1"/>
        <v>0</v>
      </c>
      <c r="R32">
        <f t="shared" si="2"/>
        <v>2.3621247399868945E-2</v>
      </c>
      <c r="S32">
        <f t="array" ref="S32">+$B$2*SIN(R32*$B$3+$B$4)+0*R32+ SUM($J$2:$J$20*SIN(2*PI()*N32*$I$2:$I$20+$K$2:$K$20))</f>
        <v>0.3876274324205391</v>
      </c>
      <c r="Z32" s="1">
        <v>1882.5417</v>
      </c>
      <c r="AA32" s="2">
        <f t="shared" si="3"/>
        <v>-0.93990399999999996</v>
      </c>
      <c r="AB32">
        <v>-46.995199999999997</v>
      </c>
      <c r="AE32">
        <v>1882.4999999999977</v>
      </c>
      <c r="AF32">
        <v>0.3876274324205391</v>
      </c>
    </row>
    <row r="33" spans="4:32" x14ac:dyDescent="0.35">
      <c r="D33">
        <v>-0.77389399999999997</v>
      </c>
      <c r="J33">
        <v>-0.17731594524393923</v>
      </c>
      <c r="M33">
        <f t="shared" si="4"/>
        <v>32</v>
      </c>
      <c r="N33">
        <f t="shared" si="5"/>
        <v>1882.583333333331</v>
      </c>
      <c r="O33">
        <f t="shared" si="0"/>
        <v>0</v>
      </c>
      <c r="P33">
        <f t="array" ref="P33">+SUM($G$2:$G$18*SIN(2*PI()*(N33)*$B$1/$F$2:$F$18+$H$2:$H$18))</f>
        <v>-0.16322024879378558</v>
      </c>
      <c r="Q33">
        <f t="shared" si="1"/>
        <v>0</v>
      </c>
      <c r="R33">
        <f t="shared" si="2"/>
        <v>2.3584914592419716E-2</v>
      </c>
      <c r="S33">
        <f t="array" ref="S33">+$B$2*SIN(R33*$B$3+$B$4)+0*R33+ SUM($J$2:$J$20*SIN(2*PI()*N33*$I$2:$I$20+$K$2:$K$20))</f>
        <v>0.39203074457160103</v>
      </c>
      <c r="Z33" s="1">
        <v>1882.625</v>
      </c>
      <c r="AA33" s="2">
        <f t="shared" si="3"/>
        <v>-1.3028360000000001</v>
      </c>
      <c r="AB33">
        <v>-65.141800000000003</v>
      </c>
      <c r="AE33">
        <v>1882.583333333331</v>
      </c>
      <c r="AF33">
        <v>0.39203074457160103</v>
      </c>
    </row>
    <row r="34" spans="4:32" x14ac:dyDescent="0.35">
      <c r="D34">
        <v>-0.93990399999999996</v>
      </c>
      <c r="J34">
        <v>-0.11210843253507734</v>
      </c>
      <c r="M34">
        <f t="shared" si="4"/>
        <v>33</v>
      </c>
      <c r="N34">
        <f t="shared" si="5"/>
        <v>1882.6666666666642</v>
      </c>
      <c r="O34">
        <f t="shared" si="0"/>
        <v>0</v>
      </c>
      <c r="P34">
        <f t="array" ref="P34">+SUM($G$2:$G$18*SIN(2*PI()*(N34)*$B$1/$F$2:$F$18+$H$2:$H$18))</f>
        <v>0.33279195074570345</v>
      </c>
      <c r="Q34">
        <f t="shared" si="1"/>
        <v>0</v>
      </c>
      <c r="R34">
        <f t="shared" si="2"/>
        <v>2.3548637669948736E-2</v>
      </c>
      <c r="S34">
        <f t="array" ref="S34">+$B$2*SIN(R34*$B$3+$B$4)+0*R34+ SUM($J$2:$J$20*SIN(2*PI()*N34*$I$2:$I$20+$K$2:$K$20))</f>
        <v>0.3964089941416028</v>
      </c>
      <c r="Z34" s="1">
        <v>1882.7083</v>
      </c>
      <c r="AA34" s="2">
        <f t="shared" si="3"/>
        <v>-1.401154</v>
      </c>
      <c r="AB34">
        <v>-70.057699999999997</v>
      </c>
      <c r="AE34">
        <v>1882.6666666666642</v>
      </c>
      <c r="AF34">
        <v>0.3964089941416028</v>
      </c>
    </row>
    <row r="35" spans="4:32" x14ac:dyDescent="0.35">
      <c r="D35">
        <v>-1.3028360000000001</v>
      </c>
      <c r="J35">
        <v>-9.075858699986647E-2</v>
      </c>
      <c r="M35">
        <f t="shared" si="4"/>
        <v>34</v>
      </c>
      <c r="N35">
        <f t="shared" si="5"/>
        <v>1882.7499999999975</v>
      </c>
      <c r="O35">
        <f t="shared" si="0"/>
        <v>0</v>
      </c>
      <c r="P35">
        <f t="array" ref="P35">+SUM($G$2:$G$18*SIN(2*PI()*(N35)*$B$1/$F$2:$F$18+$H$2:$H$18))</f>
        <v>0.29275667603293321</v>
      </c>
      <c r="Q35">
        <f t="shared" si="1"/>
        <v>0</v>
      </c>
      <c r="R35">
        <f t="shared" si="2"/>
        <v>2.3512416546497033E-2</v>
      </c>
      <c r="S35">
        <f t="array" ref="S35">+$B$2*SIN(R35*$B$3+$B$4)+0*R35+ SUM($J$2:$J$20*SIN(2*PI()*N35*$I$2:$I$20+$K$2:$K$20))</f>
        <v>0.40076207226577854</v>
      </c>
      <c r="Z35" s="1">
        <v>1882.7917</v>
      </c>
      <c r="AA35" s="2">
        <f t="shared" si="3"/>
        <v>-1.6779359999999999</v>
      </c>
      <c r="AB35">
        <v>-83.896799999999999</v>
      </c>
      <c r="AE35">
        <v>1882.7499999999975</v>
      </c>
      <c r="AF35">
        <v>0.40076207226577854</v>
      </c>
    </row>
    <row r="36" spans="4:32" x14ac:dyDescent="0.35">
      <c r="D36">
        <v>-1.401154</v>
      </c>
      <c r="J36">
        <v>-0.12469377420214404</v>
      </c>
      <c r="M36">
        <f t="shared" si="4"/>
        <v>35</v>
      </c>
      <c r="N36">
        <f t="shared" si="5"/>
        <v>1882.8333333333308</v>
      </c>
      <c r="O36">
        <f t="shared" si="0"/>
        <v>0</v>
      </c>
      <c r="P36">
        <f t="array" ref="P36">+SUM($G$2:$G$18*SIN(2*PI()*(N36)*$B$1/$F$2:$F$18+$H$2:$H$18))</f>
        <v>4.9270625981173752E-2</v>
      </c>
      <c r="Q36">
        <f t="shared" si="1"/>
        <v>0</v>
      </c>
      <c r="R36">
        <f t="shared" si="2"/>
        <v>2.3476251136237851E-2</v>
      </c>
      <c r="S36">
        <f t="array" ref="S36">+$B$2*SIN(R36*$B$3+$B$4)+0*R36+ SUM($J$2:$J$20*SIN(2*PI()*N36*$I$2:$I$20+$K$2:$K$20))</f>
        <v>0.4050898724930414</v>
      </c>
      <c r="Z36" s="1">
        <v>1882.875</v>
      </c>
      <c r="AA36" s="2">
        <f t="shared" si="3"/>
        <v>-1.6454880000000001</v>
      </c>
      <c r="AB36">
        <v>-82.2744</v>
      </c>
      <c r="AE36">
        <v>1882.8333333333308</v>
      </c>
      <c r="AF36">
        <v>0.4050898724930414</v>
      </c>
    </row>
    <row r="37" spans="4:32" x14ac:dyDescent="0.35">
      <c r="D37">
        <v>-1.6779359999999999</v>
      </c>
      <c r="J37">
        <v>0.12994132053300361</v>
      </c>
      <c r="M37">
        <f t="shared" si="4"/>
        <v>36</v>
      </c>
      <c r="N37">
        <f t="shared" si="5"/>
        <v>1882.916666666664</v>
      </c>
      <c r="O37">
        <f t="shared" si="0"/>
        <v>0</v>
      </c>
      <c r="P37">
        <f t="array" ref="P37">+SUM($G$2:$G$18*SIN(2*PI()*(N37)*$B$1/$F$2:$F$18+$H$2:$H$18))</f>
        <v>0.19267450443682987</v>
      </c>
      <c r="Q37">
        <f t="shared" si="1"/>
        <v>0</v>
      </c>
      <c r="R37">
        <f t="shared" si="2"/>
        <v>2.3440141353476447E-2</v>
      </c>
      <c r="S37">
        <f t="array" ref="S37">+$B$2*SIN(R37*$B$3+$B$4)+0*R37+ SUM($J$2:$J$20*SIN(2*PI()*N37*$I$2:$I$20+$K$2:$K$20))</f>
        <v>0.40939229077118794</v>
      </c>
      <c r="Z37" s="1">
        <v>1882.9583</v>
      </c>
      <c r="AA37" s="2">
        <f t="shared" si="3"/>
        <v>-1.57304</v>
      </c>
      <c r="AB37">
        <v>-78.652000000000001</v>
      </c>
      <c r="AE37">
        <v>1882.916666666664</v>
      </c>
      <c r="AF37">
        <v>0.40939229077118794</v>
      </c>
    </row>
    <row r="38" spans="4:32" x14ac:dyDescent="0.35">
      <c r="D38">
        <v>-1.6454880000000001</v>
      </c>
      <c r="J38">
        <v>5.8872869983836562E-2</v>
      </c>
      <c r="M38">
        <f t="shared" si="4"/>
        <v>37</v>
      </c>
      <c r="N38">
        <f t="shared" si="5"/>
        <v>1882.9999999999973</v>
      </c>
      <c r="O38">
        <f t="shared" si="0"/>
        <v>36.637715116165623</v>
      </c>
      <c r="P38">
        <f t="array" ref="P38">+SUM($G$2:$G$18*SIN(2*PI()*(N38)*$B$1/$F$2:$F$18+$H$2:$H$18))</f>
        <v>0.35969118877650269</v>
      </c>
      <c r="Q38">
        <f t="shared" si="1"/>
        <v>13.178263304188455</v>
      </c>
      <c r="R38">
        <f t="shared" si="2"/>
        <v>4.3674113290394043E-2</v>
      </c>
      <c r="S38">
        <f t="array" ref="S38">+$B$2*SIN(R38*$B$3+$B$4)+0*R38+ SUM($J$2:$J$20*SIN(2*PI()*N38*$I$2:$I$20+$K$2:$K$20))</f>
        <v>6.8880394768843681E-2</v>
      </c>
      <c r="Z38" s="1">
        <v>1883.0417</v>
      </c>
      <c r="AA38" s="2">
        <f t="shared" si="3"/>
        <v>-1.579056</v>
      </c>
      <c r="AB38">
        <v>-78.952799999999996</v>
      </c>
      <c r="AE38">
        <v>1882.9999999999973</v>
      </c>
      <c r="AF38">
        <v>6.8880394768843681E-2</v>
      </c>
    </row>
    <row r="39" spans="4:32" x14ac:dyDescent="0.35">
      <c r="D39">
        <v>-1.57304</v>
      </c>
      <c r="J39">
        <v>4.7920508760052383E-2</v>
      </c>
      <c r="M39">
        <f t="shared" si="4"/>
        <v>38</v>
      </c>
      <c r="N39">
        <f t="shared" si="5"/>
        <v>1883.0833333333305</v>
      </c>
      <c r="O39">
        <f t="shared" si="0"/>
        <v>0</v>
      </c>
      <c r="P39">
        <f t="array" ref="P39">+SUM($G$2:$G$18*SIN(2*PI()*(N39)*$B$1/$F$2:$F$18+$H$2:$H$18))</f>
        <v>-0.22216437240774128</v>
      </c>
      <c r="Q39">
        <f t="shared" si="1"/>
        <v>0</v>
      </c>
      <c r="R39">
        <f t="shared" si="2"/>
        <v>4.3606936349149847E-2</v>
      </c>
      <c r="S39">
        <f t="array" ref="S39">+$B$2*SIN(R39*$B$3+$B$4)+0*R39+ SUM($J$2:$J$20*SIN(2*PI()*N39*$I$2:$I$20+$K$2:$K$20))</f>
        <v>5.9397899417332319E-2</v>
      </c>
      <c r="Z39" s="1">
        <v>1883.125</v>
      </c>
      <c r="AA39" s="2">
        <f t="shared" si="3"/>
        <v>-1.5358420000000002</v>
      </c>
      <c r="AB39">
        <v>-76.792100000000005</v>
      </c>
      <c r="AE39">
        <v>1883.0833333333305</v>
      </c>
      <c r="AF39">
        <v>5.9397899417332319E-2</v>
      </c>
    </row>
    <row r="40" spans="4:32" x14ac:dyDescent="0.35">
      <c r="D40">
        <v>-1.579056</v>
      </c>
      <c r="J40">
        <v>-2.6703239725015263E-2</v>
      </c>
      <c r="M40">
        <f t="shared" si="4"/>
        <v>39</v>
      </c>
      <c r="N40">
        <f t="shared" si="5"/>
        <v>1883.1666666666638</v>
      </c>
      <c r="O40">
        <f t="shared" si="0"/>
        <v>0</v>
      </c>
      <c r="P40">
        <f t="array" ref="P40">+SUM($G$2:$G$18*SIN(2*PI()*(N40)*$B$1/$F$2:$F$18+$H$2:$H$18))</f>
        <v>-0.91629535964891351</v>
      </c>
      <c r="Q40">
        <f t="shared" si="1"/>
        <v>0</v>
      </c>
      <c r="R40">
        <f t="shared" si="2"/>
        <v>4.3539862735508549E-2</v>
      </c>
      <c r="S40">
        <f t="array" ref="S40">+$B$2*SIN(R40*$B$3+$B$4)+0*R40+ SUM($J$2:$J$20*SIN(2*PI()*N40*$I$2:$I$20+$K$2:$K$20))</f>
        <v>4.9920515482808521E-2</v>
      </c>
      <c r="Z40" s="1">
        <v>1883.2083</v>
      </c>
      <c r="AA40" s="2">
        <f t="shared" si="3"/>
        <v>-1.5464740000000001</v>
      </c>
      <c r="AB40">
        <v>-77.323700000000002</v>
      </c>
      <c r="AE40">
        <v>1883.1666666666638</v>
      </c>
      <c r="AF40">
        <v>4.9920515482808521E-2</v>
      </c>
    </row>
    <row r="41" spans="4:32" x14ac:dyDescent="0.35">
      <c r="D41">
        <v>-1.5358420000000002</v>
      </c>
      <c r="J41">
        <v>7.9661958383829251E-2</v>
      </c>
      <c r="M41">
        <f t="shared" si="4"/>
        <v>40</v>
      </c>
      <c r="N41">
        <f t="shared" si="5"/>
        <v>1883.249999999997</v>
      </c>
      <c r="O41">
        <f t="shared" si="0"/>
        <v>0</v>
      </c>
      <c r="P41">
        <f t="array" ref="P41">+SUM($G$2:$G$18*SIN(2*PI()*(N41)*$B$1/$F$2:$F$18+$H$2:$H$18))</f>
        <v>-0.73865514555366285</v>
      </c>
      <c r="Q41">
        <f t="shared" si="1"/>
        <v>0</v>
      </c>
      <c r="R41">
        <f t="shared" si="2"/>
        <v>4.3472892290537732E-2</v>
      </c>
      <c r="S41">
        <f t="array" ref="S41">+$B$2*SIN(R41*$B$3+$B$4)+0*R41+ SUM($J$2:$J$20*SIN(2*PI()*N41*$I$2:$I$20+$K$2:$K$20))</f>
        <v>4.044977110342475E-2</v>
      </c>
      <c r="Z41" s="1">
        <v>1883.2917</v>
      </c>
      <c r="AA41" s="2">
        <f t="shared" si="3"/>
        <v>-1.680186</v>
      </c>
      <c r="AB41">
        <v>-84.009299999999996</v>
      </c>
      <c r="AE41">
        <v>1883.249999999997</v>
      </c>
      <c r="AF41">
        <v>4.044977110342475E-2</v>
      </c>
    </row>
    <row r="42" spans="4:32" x14ac:dyDescent="0.35">
      <c r="D42">
        <v>-1.5464740000000001</v>
      </c>
      <c r="J42">
        <v>-0.17056561702566589</v>
      </c>
      <c r="M42">
        <f t="shared" si="4"/>
        <v>41</v>
      </c>
      <c r="N42">
        <f t="shared" si="5"/>
        <v>1883.3333333333303</v>
      </c>
      <c r="O42">
        <f t="shared" si="0"/>
        <v>0</v>
      </c>
      <c r="P42">
        <f t="array" ref="P42">+SUM($G$2:$G$18*SIN(2*PI()*(N42)*$B$1/$F$2:$F$18+$H$2:$H$18))</f>
        <v>-3.7543417616627717E-2</v>
      </c>
      <c r="Q42">
        <f t="shared" si="1"/>
        <v>0</v>
      </c>
      <c r="R42">
        <f t="shared" si="2"/>
        <v>4.3406024855549438E-2</v>
      </c>
      <c r="S42">
        <f t="array" ref="S42">+$B$2*SIN(R42*$B$3+$B$4)+0*R42+ SUM($J$2:$J$20*SIN(2*PI()*N42*$I$2:$I$20+$K$2:$K$20))</f>
        <v>3.0987181661107831E-2</v>
      </c>
      <c r="Z42" s="1">
        <v>1883.375</v>
      </c>
      <c r="AA42" s="2">
        <f t="shared" si="3"/>
        <v>-1.29236</v>
      </c>
      <c r="AB42">
        <v>-64.617999999999995</v>
      </c>
      <c r="AE42">
        <v>1883.3333333333303</v>
      </c>
      <c r="AF42">
        <v>3.0987181661107831E-2</v>
      </c>
    </row>
    <row r="43" spans="4:32" x14ac:dyDescent="0.35">
      <c r="D43">
        <v>-1.680186</v>
      </c>
      <c r="J43">
        <v>-1.3872905981889493E-2</v>
      </c>
      <c r="M43">
        <f t="shared" si="4"/>
        <v>42</v>
      </c>
      <c r="N43">
        <f t="shared" si="5"/>
        <v>1883.4166666666636</v>
      </c>
      <c r="O43">
        <f t="shared" si="0"/>
        <v>0</v>
      </c>
      <c r="P43">
        <f t="array" ref="P43">+SUM($G$2:$G$18*SIN(2*PI()*(N43)*$B$1/$F$2:$F$18+$H$2:$H$18))</f>
        <v>0.36222357443494024</v>
      </c>
      <c r="Q43">
        <f t="shared" si="1"/>
        <v>0</v>
      </c>
      <c r="R43">
        <f t="shared" si="2"/>
        <v>4.3339260272099799E-2</v>
      </c>
      <c r="S43">
        <f t="array" ref="S43">+$B$2*SIN(R43*$B$3+$B$4)+0*R43+ SUM($J$2:$J$20*SIN(2*PI()*N43*$I$2:$I$20+$K$2:$K$20))</f>
        <v>2.1534249614414011E-2</v>
      </c>
      <c r="Z43" s="1">
        <v>1883.4583</v>
      </c>
      <c r="AA43" s="2">
        <f t="shared" si="3"/>
        <v>-0.83068799999999998</v>
      </c>
      <c r="AB43">
        <v>-41.534399999999998</v>
      </c>
      <c r="AE43">
        <v>1883.4166666666636</v>
      </c>
      <c r="AF43">
        <v>2.1534249614414011E-2</v>
      </c>
    </row>
    <row r="44" spans="4:32" x14ac:dyDescent="0.35">
      <c r="D44">
        <v>-1.29236</v>
      </c>
      <c r="J44">
        <v>3.1258073105999637E-2</v>
      </c>
      <c r="M44">
        <f t="shared" si="4"/>
        <v>43</v>
      </c>
      <c r="N44">
        <f t="shared" si="5"/>
        <v>1883.4999999999968</v>
      </c>
      <c r="O44">
        <f t="shared" si="0"/>
        <v>0</v>
      </c>
      <c r="P44">
        <f t="array" ref="P44">+SUM($G$2:$G$18*SIN(2*PI()*(N44)*$B$1/$F$2:$F$18+$H$2:$H$18))</f>
        <v>0.18201862510909717</v>
      </c>
      <c r="Q44">
        <f t="shared" si="1"/>
        <v>0</v>
      </c>
      <c r="R44">
        <f t="shared" si="2"/>
        <v>4.3272598381988658E-2</v>
      </c>
      <c r="S44">
        <f t="array" ref="S44">+$B$2*SIN(R44*$B$3+$B$4)+0*R44+ SUM($J$2:$J$20*SIN(2*PI()*N44*$I$2:$I$20+$K$2:$K$20))</f>
        <v>1.2092464336379052E-2</v>
      </c>
      <c r="Z44" s="1">
        <v>1883.5417</v>
      </c>
      <c r="AA44" s="2">
        <f t="shared" si="3"/>
        <v>-0.49825000000000003</v>
      </c>
      <c r="AB44">
        <v>-24.912500000000001</v>
      </c>
      <c r="AE44">
        <v>1883.4999999999968</v>
      </c>
      <c r="AF44">
        <v>1.2092464336379052E-2</v>
      </c>
    </row>
    <row r="45" spans="4:32" x14ac:dyDescent="0.35">
      <c r="D45">
        <v>-0.83068799999999998</v>
      </c>
      <c r="J45">
        <v>7.3714151513063597E-2</v>
      </c>
      <c r="M45">
        <f t="shared" si="4"/>
        <v>44</v>
      </c>
      <c r="N45">
        <f t="shared" si="5"/>
        <v>1883.5833333333301</v>
      </c>
      <c r="O45">
        <f t="shared" si="0"/>
        <v>0</v>
      </c>
      <c r="P45">
        <f t="array" ref="P45">+SUM($G$2:$G$18*SIN(2*PI()*(N45)*$B$1/$F$2:$F$18+$H$2:$H$18))</f>
        <v>-0.12540043354972782</v>
      </c>
      <c r="Q45">
        <f t="shared" si="1"/>
        <v>0</v>
      </c>
      <c r="R45">
        <f t="shared" si="2"/>
        <v>4.3206039027259183E-2</v>
      </c>
      <c r="S45">
        <f t="array" ref="S45">+$B$2*SIN(R45*$B$3+$B$4)+0*R45+ SUM($J$2:$J$20*SIN(2*PI()*N45*$I$2:$I$20+$K$2:$K$20))</f>
        <v>2.6633019573374431E-3</v>
      </c>
      <c r="Z45" s="1">
        <v>1883.625</v>
      </c>
      <c r="AA45" s="2">
        <f t="shared" si="3"/>
        <v>5.1112000000000005E-2</v>
      </c>
      <c r="AB45">
        <v>2.5556000000000001</v>
      </c>
      <c r="AE45">
        <v>1883.5833333333301</v>
      </c>
      <c r="AF45">
        <v>2.6633019573374431E-3</v>
      </c>
    </row>
    <row r="46" spans="4:32" x14ac:dyDescent="0.35">
      <c r="D46">
        <v>-0.49825000000000003</v>
      </c>
      <c r="M46">
        <f t="shared" si="4"/>
        <v>45</v>
      </c>
      <c r="N46">
        <f t="shared" si="5"/>
        <v>1883.6666666666633</v>
      </c>
      <c r="O46">
        <f t="shared" si="0"/>
        <v>0</v>
      </c>
      <c r="P46">
        <f t="array" ref="P46">+SUM($G$2:$G$18*SIN(2*PI()*(N46)*$B$1/$F$2:$F$18+$H$2:$H$18))</f>
        <v>-1.0482537649451618E-2</v>
      </c>
      <c r="Q46">
        <f t="shared" si="1"/>
        <v>0</v>
      </c>
      <c r="R46">
        <f t="shared" si="2"/>
        <v>4.3139582050197509E-2</v>
      </c>
      <c r="S46">
        <f t="array" ref="S46">+$B$2*SIN(R46*$B$3+$B$4)+0*R46+ SUM($J$2:$J$20*SIN(2*PI()*N46*$I$2:$I$20+$K$2:$K$20))</f>
        <v>-6.7517747873331313E-3</v>
      </c>
      <c r="Z46" s="1">
        <v>1883.7083</v>
      </c>
      <c r="AA46" s="2">
        <f t="shared" si="3"/>
        <v>0.269704</v>
      </c>
      <c r="AB46">
        <v>13.485200000000001</v>
      </c>
      <c r="AE46">
        <v>1883.6666666666633</v>
      </c>
      <c r="AF46">
        <v>-6.7517747873331313E-3</v>
      </c>
    </row>
    <row r="47" spans="4:32" x14ac:dyDescent="0.35">
      <c r="D47">
        <v>5.1112000000000005E-2</v>
      </c>
      <c r="M47">
        <f t="shared" si="4"/>
        <v>46</v>
      </c>
      <c r="N47">
        <f t="shared" si="5"/>
        <v>1883.7499999999966</v>
      </c>
      <c r="O47">
        <f t="shared" si="0"/>
        <v>0</v>
      </c>
      <c r="P47">
        <f t="array" ref="P47">+SUM($G$2:$G$18*SIN(2*PI()*(N47)*$B$1/$F$2:$F$18+$H$2:$H$18))</f>
        <v>5.8841393915740531E-2</v>
      </c>
      <c r="Q47">
        <f t="shared" si="1"/>
        <v>0</v>
      </c>
      <c r="R47">
        <f t="shared" si="2"/>
        <v>4.307322729333235E-2</v>
      </c>
      <c r="S47">
        <f t="array" ref="S47">+$B$2*SIN(R47*$B$3+$B$4)+0*R47+ SUM($J$2:$J$20*SIN(2*PI()*N47*$I$2:$I$20+$K$2:$K$20))</f>
        <v>-1.6151316704561401E-2</v>
      </c>
      <c r="Z47" s="1">
        <v>1883.7917</v>
      </c>
      <c r="AA47" s="2">
        <f t="shared" si="3"/>
        <v>0.16675399999999999</v>
      </c>
      <c r="AB47">
        <v>8.3376999999999999</v>
      </c>
      <c r="AE47">
        <v>1883.7499999999966</v>
      </c>
      <c r="AF47">
        <v>-1.6151316704561401E-2</v>
      </c>
    </row>
    <row r="48" spans="4:32" x14ac:dyDescent="0.35">
      <c r="D48">
        <v>0.269704</v>
      </c>
      <c r="M48">
        <f t="shared" si="4"/>
        <v>47</v>
      </c>
      <c r="N48">
        <f t="shared" si="5"/>
        <v>1883.8333333333298</v>
      </c>
      <c r="O48">
        <f t="shared" si="0"/>
        <v>0</v>
      </c>
      <c r="P48">
        <f t="array" ref="P48">+SUM($G$2:$G$18*SIN(2*PI()*(N48)*$B$1/$F$2:$F$18+$H$2:$H$18))</f>
        <v>-0.42558714983954749</v>
      </c>
      <c r="Q48">
        <f t="shared" si="1"/>
        <v>0</v>
      </c>
      <c r="R48">
        <f t="shared" si="2"/>
        <v>4.3006974599434644E-2</v>
      </c>
      <c r="S48">
        <f t="array" ref="S48">+$B$2*SIN(R48*$B$3+$B$4)+0*R48+ SUM($J$2:$J$20*SIN(2*PI()*N48*$I$2:$I$20+$K$2:$K$20))</f>
        <v>-2.5533888286089004E-2</v>
      </c>
      <c r="Z48" s="1">
        <v>1883.875</v>
      </c>
      <c r="AA48" s="2">
        <f t="shared" si="3"/>
        <v>0.20380400000000001</v>
      </c>
      <c r="AB48">
        <v>10.190200000000001</v>
      </c>
      <c r="AE48">
        <v>1883.8333333333298</v>
      </c>
      <c r="AF48">
        <v>-2.5533888286089004E-2</v>
      </c>
    </row>
    <row r="49" spans="4:32" x14ac:dyDescent="0.35">
      <c r="D49">
        <v>0.16675399999999999</v>
      </c>
      <c r="M49">
        <f t="shared" si="4"/>
        <v>48</v>
      </c>
      <c r="N49">
        <f t="shared" si="5"/>
        <v>1883.9166666666631</v>
      </c>
      <c r="O49">
        <f t="shared" si="0"/>
        <v>0</v>
      </c>
      <c r="P49">
        <f t="array" ref="P49">+SUM($G$2:$G$18*SIN(2*PI()*(N49)*$B$1/$F$2:$F$18+$H$2:$H$18))</f>
        <v>-0.75641062981424334</v>
      </c>
      <c r="Q49">
        <f t="shared" si="1"/>
        <v>0</v>
      </c>
      <c r="R49">
        <f t="shared" si="2"/>
        <v>4.2940823811517162E-2</v>
      </c>
      <c r="S49">
        <f t="array" ref="S49">+$B$2*SIN(R49*$B$3+$B$4)+0*R49+ SUM($J$2:$J$20*SIN(2*PI()*N49*$I$2:$I$20+$K$2:$K$20))</f>
        <v>-3.4898067846151869E-2</v>
      </c>
      <c r="Z49" s="1">
        <v>1883.9583</v>
      </c>
      <c r="AA49" s="2">
        <f t="shared" si="3"/>
        <v>0.39316200000000001</v>
      </c>
      <c r="AB49">
        <v>19.658100000000001</v>
      </c>
      <c r="AE49">
        <v>1883.9166666666631</v>
      </c>
      <c r="AF49">
        <v>-3.4898067846151869E-2</v>
      </c>
    </row>
    <row r="50" spans="4:32" x14ac:dyDescent="0.35">
      <c r="D50">
        <v>0.20380400000000001</v>
      </c>
      <c r="M50">
        <f t="shared" si="4"/>
        <v>49</v>
      </c>
      <c r="N50">
        <f t="shared" si="5"/>
        <v>1883.9999999999964</v>
      </c>
      <c r="O50">
        <f t="shared" si="0"/>
        <v>36.637715116165623</v>
      </c>
      <c r="P50">
        <f t="array" ref="P50">+SUM($G$2:$G$18*SIN(2*PI()*(N50)*$B$1/$F$2:$F$18+$H$2:$H$18))</f>
        <v>-0.41590356549681273</v>
      </c>
      <c r="Q50">
        <f t="shared" si="1"/>
        <v>-15.237756348469755</v>
      </c>
      <c r="R50">
        <f t="shared" si="2"/>
        <v>1.9436958048121955E-2</v>
      </c>
      <c r="S50">
        <f t="array" ref="S50">+$B$2*SIN(R50*$B$3+$B$4)+0*R50+ SUM($J$2:$J$20*SIN(2*PI()*N50*$I$2:$I$20+$K$2:$K$20))</f>
        <v>0.73074358975060827</v>
      </c>
      <c r="U50" s="3">
        <f t="shared" ref="U50:U57" si="6">+N50</f>
        <v>1883.9999999999964</v>
      </c>
      <c r="V50" s="3">
        <f t="shared" ref="V50:V57" si="7">+D8</f>
        <v>0.42057</v>
      </c>
      <c r="Z50" s="1">
        <v>1884.0417</v>
      </c>
      <c r="AA50" s="2">
        <f t="shared" si="3"/>
        <v>0.40405400000000002</v>
      </c>
      <c r="AB50">
        <v>20.2027</v>
      </c>
      <c r="AE50">
        <v>1883.9999999999964</v>
      </c>
      <c r="AF50">
        <v>0.73074358975060827</v>
      </c>
    </row>
    <row r="51" spans="4:32" x14ac:dyDescent="0.35">
      <c r="D51">
        <v>0.39316200000000001</v>
      </c>
      <c r="M51">
        <f t="shared" si="4"/>
        <v>50</v>
      </c>
      <c r="N51">
        <f t="shared" si="5"/>
        <v>1884.0833333333296</v>
      </c>
      <c r="O51">
        <f t="shared" si="0"/>
        <v>0</v>
      </c>
      <c r="P51">
        <f t="array" ref="P51">+SUM($G$2:$G$18*SIN(2*PI()*(N51)*$B$1/$F$2:$F$18+$H$2:$H$18))</f>
        <v>0.109275357530984</v>
      </c>
      <c r="Q51">
        <f t="shared" si="1"/>
        <v>0</v>
      </c>
      <c r="R51">
        <f t="shared" si="2"/>
        <v>1.9407061267388646E-2</v>
      </c>
      <c r="S51">
        <f t="array" ref="S51">+$B$2*SIN(R51*$B$3+$B$4)+0*R51+ SUM($J$2:$J$20*SIN(2*PI()*N51*$I$2:$I$20+$K$2:$K$20))</f>
        <v>0.73174828709154072</v>
      </c>
      <c r="U51" s="3">
        <f t="shared" si="6"/>
        <v>1884.0833333333296</v>
      </c>
      <c r="V51" s="3">
        <f t="shared" si="7"/>
        <v>0.38689799999999996</v>
      </c>
      <c r="Z51" s="1">
        <v>1884.125</v>
      </c>
      <c r="AA51" s="2">
        <f t="shared" si="3"/>
        <v>0.41956400000000005</v>
      </c>
      <c r="AB51">
        <v>20.978200000000001</v>
      </c>
      <c r="AE51">
        <v>1884.0833333333296</v>
      </c>
      <c r="AF51">
        <v>0.73174828709154072</v>
      </c>
    </row>
    <row r="52" spans="4:32" x14ac:dyDescent="0.35">
      <c r="D52">
        <v>0.40405400000000002</v>
      </c>
      <c r="M52">
        <f t="shared" si="4"/>
        <v>51</v>
      </c>
      <c r="N52">
        <f t="shared" si="5"/>
        <v>1884.1666666666629</v>
      </c>
      <c r="O52">
        <f t="shared" si="0"/>
        <v>0</v>
      </c>
      <c r="P52">
        <f t="array" ref="P52">+SUM($G$2:$G$18*SIN(2*PI()*(N52)*$B$1/$F$2:$F$18+$H$2:$H$18))</f>
        <v>0.31756188609597141</v>
      </c>
      <c r="Q52">
        <f t="shared" si="1"/>
        <v>0</v>
      </c>
      <c r="R52">
        <f t="shared" si="2"/>
        <v>1.9377210472117466E-2</v>
      </c>
      <c r="S52">
        <f t="array" ref="S52">+$B$2*SIN(R52*$B$3+$B$4)+0*R52+ SUM($J$2:$J$20*SIN(2*PI()*N52*$I$2:$I$20+$K$2:$K$20))</f>
        <v>0.7327283236857588</v>
      </c>
      <c r="U52" s="3">
        <f t="shared" si="6"/>
        <v>1884.1666666666629</v>
      </c>
      <c r="V52" s="3">
        <f t="shared" si="7"/>
        <v>0.70860800000000002</v>
      </c>
      <c r="Z52" s="1">
        <v>1884.2083</v>
      </c>
      <c r="AA52" s="2">
        <f t="shared" si="3"/>
        <v>0.16583999999999999</v>
      </c>
      <c r="AB52">
        <v>8.2919999999999998</v>
      </c>
      <c r="AE52">
        <v>1884.1666666666629</v>
      </c>
      <c r="AF52">
        <v>0.7327283236857588</v>
      </c>
    </row>
    <row r="53" spans="4:32" x14ac:dyDescent="0.35">
      <c r="D53">
        <v>0.41956400000000005</v>
      </c>
      <c r="M53">
        <f t="shared" si="4"/>
        <v>52</v>
      </c>
      <c r="N53">
        <f t="shared" si="5"/>
        <v>1884.2499999999961</v>
      </c>
      <c r="O53">
        <f t="shared" si="0"/>
        <v>0</v>
      </c>
      <c r="P53">
        <f t="array" ref="P53">+SUM($G$2:$G$18*SIN(2*PI()*(N53)*$B$1/$F$2:$F$18+$H$2:$H$18))</f>
        <v>0.11408909978085996</v>
      </c>
      <c r="Q53">
        <f t="shared" si="1"/>
        <v>0</v>
      </c>
      <c r="R53">
        <f t="shared" si="2"/>
        <v>1.9347405591576293E-2</v>
      </c>
      <c r="S53">
        <f t="array" ref="S53">+$B$2*SIN(R53*$B$3+$B$4)+0*R53+ SUM($J$2:$J$20*SIN(2*PI()*N53*$I$2:$I$20+$K$2:$K$20))</f>
        <v>0.73368377765563997</v>
      </c>
      <c r="U53" s="3">
        <f t="shared" si="6"/>
        <v>1884.2499999999961</v>
      </c>
      <c r="V53" s="3">
        <f t="shared" si="7"/>
        <v>0.66108599999999995</v>
      </c>
      <c r="Z53" s="1">
        <v>1884.2917</v>
      </c>
      <c r="AA53" s="2">
        <f t="shared" si="3"/>
        <v>1.2114E-2</v>
      </c>
      <c r="AB53">
        <v>0.60570000000000002</v>
      </c>
      <c r="AE53">
        <v>1884.2499999999961</v>
      </c>
      <c r="AF53">
        <v>0.73368377765563997</v>
      </c>
    </row>
    <row r="54" spans="4:32" x14ac:dyDescent="0.35">
      <c r="D54">
        <v>0.16583999999999999</v>
      </c>
      <c r="M54">
        <f t="shared" si="4"/>
        <v>53</v>
      </c>
      <c r="N54">
        <f t="shared" si="5"/>
        <v>1884.3333333333294</v>
      </c>
      <c r="O54">
        <f t="shared" si="0"/>
        <v>0</v>
      </c>
      <c r="P54">
        <f t="array" ref="P54">+SUM($G$2:$G$18*SIN(2*PI()*(N54)*$B$1/$F$2:$F$18+$H$2:$H$18))</f>
        <v>-0.12180426855601989</v>
      </c>
      <c r="Q54">
        <f t="shared" si="1"/>
        <v>0</v>
      </c>
      <c r="R54">
        <f t="shared" si="2"/>
        <v>1.9317646555141801E-2</v>
      </c>
      <c r="S54">
        <f t="array" ref="S54">+$B$2*SIN(R54*$B$3+$B$4)+0*R54+ SUM($J$2:$J$20*SIN(2*PI()*N54*$I$2:$I$20+$K$2:$K$20))</f>
        <v>0.73461472774651126</v>
      </c>
      <c r="U54" s="3">
        <f t="shared" si="6"/>
        <v>1884.3333333333294</v>
      </c>
      <c r="V54" s="3">
        <f t="shared" si="7"/>
        <v>0.73971799999999999</v>
      </c>
      <c r="Z54" s="1">
        <v>1884.375</v>
      </c>
      <c r="AA54" s="2">
        <f t="shared" si="3"/>
        <v>0.17992799999999998</v>
      </c>
      <c r="AB54">
        <v>8.9963999999999995</v>
      </c>
      <c r="AE54">
        <v>1884.3333333333294</v>
      </c>
      <c r="AF54">
        <v>0.73461472774651126</v>
      </c>
    </row>
    <row r="55" spans="4:32" x14ac:dyDescent="0.35">
      <c r="D55">
        <v>1.2114E-2</v>
      </c>
      <c r="M55">
        <f t="shared" si="4"/>
        <v>54</v>
      </c>
      <c r="N55">
        <f t="shared" si="5"/>
        <v>1884.4166666666626</v>
      </c>
      <c r="O55">
        <f t="shared" si="0"/>
        <v>0</v>
      </c>
      <c r="P55">
        <f t="array" ref="P55">+SUM($G$2:$G$18*SIN(2*PI()*(N55)*$B$1/$F$2:$F$18+$H$2:$H$18))</f>
        <v>-7.4399576698690753E-2</v>
      </c>
      <c r="Q55">
        <f t="shared" si="1"/>
        <v>0</v>
      </c>
      <c r="R55">
        <f t="shared" si="2"/>
        <v>1.9287933292299293E-2</v>
      </c>
      <c r="S55">
        <f t="array" ref="S55">+$B$2*SIN(R55*$B$3+$B$4)+0*R55+ SUM($J$2:$J$20*SIN(2*PI()*N55*$I$2:$I$20+$K$2:$K$20))</f>
        <v>0.73552125331590534</v>
      </c>
      <c r="U55" s="3">
        <f t="shared" si="6"/>
        <v>1884.4166666666626</v>
      </c>
      <c r="V55" s="3">
        <f t="shared" si="7"/>
        <v>0.71680999999999995</v>
      </c>
      <c r="Z55" s="1">
        <v>1884.4583</v>
      </c>
      <c r="AA55" s="2">
        <f t="shared" si="3"/>
        <v>0.21235600000000002</v>
      </c>
      <c r="AB55">
        <v>10.617800000000001</v>
      </c>
      <c r="AE55">
        <v>1884.4166666666626</v>
      </c>
      <c r="AF55">
        <v>0.73552125331590534</v>
      </c>
    </row>
    <row r="56" spans="4:32" x14ac:dyDescent="0.35">
      <c r="D56">
        <v>0.17992799999999998</v>
      </c>
      <c r="M56">
        <f t="shared" si="4"/>
        <v>55</v>
      </c>
      <c r="N56">
        <f t="shared" si="5"/>
        <v>1884.4999999999959</v>
      </c>
      <c r="O56">
        <f t="shared" si="0"/>
        <v>0</v>
      </c>
      <c r="P56">
        <f t="array" ref="P56">+SUM($G$2:$G$18*SIN(2*PI()*(N56)*$B$1/$F$2:$F$18+$H$2:$H$18))</f>
        <v>-0.15424770955626546</v>
      </c>
      <c r="Q56">
        <f t="shared" si="1"/>
        <v>0</v>
      </c>
      <c r="R56">
        <f t="shared" si="2"/>
        <v>1.9258265732642534E-2</v>
      </c>
      <c r="S56">
        <f t="array" ref="S56">+$B$2*SIN(R56*$B$3+$B$4)+0*R56+ SUM($J$2:$J$20*SIN(2*PI()*N56*$I$2:$I$20+$K$2:$K$20))</f>
        <v>0.73640343432289035</v>
      </c>
      <c r="U56" s="3">
        <f t="shared" si="6"/>
        <v>1884.4999999999959</v>
      </c>
      <c r="V56" s="3">
        <f t="shared" si="7"/>
        <v>0.82159400000000005</v>
      </c>
      <c r="Z56" s="1">
        <v>1884.5417</v>
      </c>
      <c r="AA56" s="2">
        <f t="shared" si="3"/>
        <v>-0.33829799999999999</v>
      </c>
      <c r="AB56">
        <v>-16.914899999999999</v>
      </c>
      <c r="AE56">
        <v>1884.4999999999959</v>
      </c>
      <c r="AF56">
        <v>0.73640343432289035</v>
      </c>
    </row>
    <row r="57" spans="4:32" x14ac:dyDescent="0.35">
      <c r="D57">
        <v>0.21235600000000002</v>
      </c>
      <c r="M57">
        <f t="shared" si="4"/>
        <v>56</v>
      </c>
      <c r="N57">
        <f t="shared" si="5"/>
        <v>1884.5833333333292</v>
      </c>
      <c r="O57">
        <f t="shared" si="0"/>
        <v>0</v>
      </c>
      <c r="P57">
        <f t="array" ref="P57">+SUM($G$2:$G$18*SIN(2*PI()*(N57)*$B$1/$F$2:$F$18+$H$2:$H$18))</f>
        <v>-0.44244757273275814</v>
      </c>
      <c r="Q57">
        <f t="shared" si="1"/>
        <v>0</v>
      </c>
      <c r="R57">
        <f t="shared" si="2"/>
        <v>1.9228643805873583E-2</v>
      </c>
      <c r="S57">
        <f t="array" ref="S57">+$B$2*SIN(R57*$B$3+$B$4)+0*R57+ SUM($J$2:$J$20*SIN(2*PI()*N57*$I$2:$I$20+$K$2:$K$20))</f>
        <v>0.73726135131747272</v>
      </c>
      <c r="U57" s="3">
        <f t="shared" si="6"/>
        <v>1884.5833333333292</v>
      </c>
      <c r="V57" s="3">
        <f t="shared" si="7"/>
        <v>1.0048380000000001</v>
      </c>
      <c r="Z57" s="1">
        <v>1884.625</v>
      </c>
      <c r="AA57" s="2">
        <f t="shared" si="3"/>
        <v>-0.62587199999999998</v>
      </c>
      <c r="AB57">
        <v>-31.293600000000001</v>
      </c>
      <c r="AE57">
        <v>1884.5833333333292</v>
      </c>
      <c r="AF57">
        <v>0.73726135131747272</v>
      </c>
    </row>
    <row r="58" spans="4:32" x14ac:dyDescent="0.35">
      <c r="D58">
        <v>-0.33829799999999999</v>
      </c>
      <c r="M58">
        <f t="shared" si="4"/>
        <v>57</v>
      </c>
      <c r="N58">
        <f t="shared" si="5"/>
        <v>1884.6666666666624</v>
      </c>
      <c r="O58">
        <f t="shared" si="0"/>
        <v>0</v>
      </c>
      <c r="P58">
        <f t="array" ref="P58">+SUM($G$2:$G$18*SIN(2*PI()*(N58)*$B$1/$F$2:$F$18+$H$2:$H$18))</f>
        <v>-0.37019415113075116</v>
      </c>
      <c r="Q58">
        <f t="shared" si="1"/>
        <v>0</v>
      </c>
      <c r="R58">
        <f t="shared" si="2"/>
        <v>1.9199067441802629E-2</v>
      </c>
      <c r="S58">
        <f t="array" ref="S58">+$B$2*SIN(R58*$B$3+$B$4)+0*R58+ SUM($J$2:$J$20*SIN(2*PI()*N58*$I$2:$I$20+$K$2:$K$20))</f>
        <v>0.7380950854300723</v>
      </c>
      <c r="U58" s="3">
        <f>+N58</f>
        <v>1884.6666666666624</v>
      </c>
      <c r="V58" s="3">
        <f>+D16</f>
        <v>1.058848</v>
      </c>
      <c r="Z58" s="1">
        <v>1884.7083</v>
      </c>
      <c r="AA58" s="2">
        <f t="shared" si="3"/>
        <v>-0.91806399999999999</v>
      </c>
      <c r="AB58">
        <v>-45.903199999999998</v>
      </c>
      <c r="AE58">
        <v>1884.6666666666624</v>
      </c>
      <c r="AF58">
        <v>0.7380950854300723</v>
      </c>
    </row>
    <row r="59" spans="4:32" x14ac:dyDescent="0.35">
      <c r="D59">
        <v>-0.62587199999999998</v>
      </c>
      <c r="M59">
        <f t="shared" si="4"/>
        <v>58</v>
      </c>
      <c r="N59">
        <f t="shared" si="5"/>
        <v>1884.7499999999957</v>
      </c>
      <c r="O59">
        <f t="shared" si="0"/>
        <v>0</v>
      </c>
      <c r="P59">
        <f t="array" ref="P59">+SUM($G$2:$G$18*SIN(2*PI()*(N59)*$B$1/$F$2:$F$18+$H$2:$H$18))</f>
        <v>-1.4158182195332325E-2</v>
      </c>
      <c r="Q59">
        <f t="shared" si="1"/>
        <v>0</v>
      </c>
      <c r="R59">
        <f t="shared" si="2"/>
        <v>1.9169536570347822E-2</v>
      </c>
      <c r="S59">
        <f t="array" ref="S59">+$B$2*SIN(R59*$B$3+$B$4)+0*R59+ SUM($J$2:$J$20*SIN(2*PI()*N59*$I$2:$I$20+$K$2:$K$20))</f>
        <v>0.73890471836107141</v>
      </c>
      <c r="U59" s="3">
        <f t="shared" ref="U59:U122" si="8">+N59</f>
        <v>1884.7499999999957</v>
      </c>
      <c r="V59" s="3">
        <f t="shared" ref="V59:V122" si="9">+D17</f>
        <v>1.314398</v>
      </c>
      <c r="Z59" s="1">
        <v>1884.7917</v>
      </c>
      <c r="AA59" s="2">
        <f t="shared" si="3"/>
        <v>-0.85948800000000003</v>
      </c>
      <c r="AB59">
        <v>-42.974400000000003</v>
      </c>
      <c r="AE59">
        <v>1884.7499999999957</v>
      </c>
      <c r="AF59">
        <v>0.73890471836107141</v>
      </c>
    </row>
    <row r="60" spans="4:32" x14ac:dyDescent="0.35">
      <c r="D60">
        <v>-0.91806399999999999</v>
      </c>
      <c r="M60">
        <f t="shared" si="4"/>
        <v>59</v>
      </c>
      <c r="N60">
        <f t="shared" si="5"/>
        <v>1884.8333333333289</v>
      </c>
      <c r="O60">
        <f t="shared" si="0"/>
        <v>0</v>
      </c>
      <c r="P60">
        <f t="array" ref="P60">+SUM($G$2:$G$18*SIN(2*PI()*(N60)*$B$1/$F$2:$F$18+$H$2:$H$18))</f>
        <v>0.18611958292198105</v>
      </c>
      <c r="Q60">
        <f t="shared" si="1"/>
        <v>0</v>
      </c>
      <c r="R60">
        <f t="shared" si="2"/>
        <v>1.9140051121535103E-2</v>
      </c>
      <c r="S60">
        <f t="array" ref="S60">+$B$2*SIN(R60*$B$3+$B$4)+0*R60+ SUM($J$2:$J$20*SIN(2*PI()*N60*$I$2:$I$20+$K$2:$K$20))</f>
        <v>0.73969033237043735</v>
      </c>
      <c r="U60" s="3">
        <f t="shared" si="8"/>
        <v>1884.8333333333289</v>
      </c>
      <c r="V60" s="3">
        <f t="shared" si="9"/>
        <v>1.4037919999999999</v>
      </c>
      <c r="Z60" s="1">
        <v>1884.875</v>
      </c>
      <c r="AA60" s="2">
        <f t="shared" si="3"/>
        <v>-0.77783600000000008</v>
      </c>
      <c r="AB60">
        <v>-38.891800000000003</v>
      </c>
      <c r="AE60">
        <v>1884.8333333333289</v>
      </c>
      <c r="AF60">
        <v>0.73969033237043735</v>
      </c>
    </row>
    <row r="61" spans="4:32" x14ac:dyDescent="0.35">
      <c r="D61">
        <v>-0.85948800000000003</v>
      </c>
      <c r="M61">
        <f t="shared" si="4"/>
        <v>60</v>
      </c>
      <c r="N61">
        <f t="shared" si="5"/>
        <v>1884.9166666666622</v>
      </c>
      <c r="O61">
        <f t="shared" si="0"/>
        <v>0</v>
      </c>
      <c r="P61">
        <f t="array" ref="P61">+SUM($G$2:$G$18*SIN(2*PI()*(N61)*$B$1/$F$2:$F$18+$H$2:$H$18))</f>
        <v>0.19809723393444864</v>
      </c>
      <c r="Q61">
        <f t="shared" si="1"/>
        <v>0</v>
      </c>
      <c r="R61">
        <f t="shared" si="2"/>
        <v>1.9110611025498051E-2</v>
      </c>
      <c r="S61">
        <f t="array" ref="S61">+$B$2*SIN(R61*$B$3+$B$4)+0*R61+ SUM($J$2:$J$20*SIN(2*PI()*N61*$I$2:$I$20+$K$2:$K$20))</f>
        <v>0.74045201026741614</v>
      </c>
      <c r="U61" s="3">
        <f t="shared" si="8"/>
        <v>1884.9166666666622</v>
      </c>
      <c r="V61" s="3">
        <f t="shared" si="9"/>
        <v>1.431646</v>
      </c>
      <c r="Z61" s="1">
        <v>1884.9583</v>
      </c>
      <c r="AA61" s="2">
        <f t="shared" si="3"/>
        <v>-0.60541400000000001</v>
      </c>
      <c r="AB61">
        <v>-30.270700000000001</v>
      </c>
      <c r="AE61">
        <v>1884.9166666666622</v>
      </c>
      <c r="AF61">
        <v>0.74045201026741614</v>
      </c>
    </row>
    <row r="62" spans="4:32" x14ac:dyDescent="0.35">
      <c r="D62">
        <v>-0.77783600000000008</v>
      </c>
      <c r="M62">
        <f t="shared" si="4"/>
        <v>61</v>
      </c>
      <c r="N62">
        <f t="shared" si="5"/>
        <v>1884.9999999999955</v>
      </c>
      <c r="O62">
        <f t="shared" si="0"/>
        <v>36.637715116165623</v>
      </c>
      <c r="P62">
        <f t="array" ref="P62">+SUM($G$2:$G$18*SIN(2*PI()*(N62)*$B$1/$F$2:$F$18+$H$2:$H$18))</f>
        <v>7.3953094567907676E-2</v>
      </c>
      <c r="Q62">
        <f t="shared" si="1"/>
        <v>2.7094724107378569</v>
      </c>
      <c r="R62">
        <f t="shared" si="2"/>
        <v>2.3248766626808574E-2</v>
      </c>
      <c r="S62">
        <f t="array" ref="S62">+$B$2*SIN(R62*$B$3+$B$4)+0*R62+ SUM($J$2:$J$20*SIN(2*PI()*N62*$I$2:$I$20+$K$2:$K$20))</f>
        <v>0.43187386847507253</v>
      </c>
      <c r="U62" s="3">
        <f t="shared" si="8"/>
        <v>1884.9999999999955</v>
      </c>
      <c r="V62" s="3">
        <f t="shared" si="9"/>
        <v>1.01027</v>
      </c>
      <c r="Z62" s="1">
        <v>1885.0417</v>
      </c>
      <c r="AA62" s="2">
        <f t="shared" si="3"/>
        <v>-0.60992000000000002</v>
      </c>
      <c r="AB62">
        <v>-30.495999999999999</v>
      </c>
      <c r="AE62">
        <v>1884.9999999999955</v>
      </c>
      <c r="AF62">
        <v>0.43187386847507253</v>
      </c>
    </row>
    <row r="63" spans="4:32" x14ac:dyDescent="0.35">
      <c r="D63">
        <v>-0.60541400000000001</v>
      </c>
      <c r="M63">
        <f t="shared" si="4"/>
        <v>62</v>
      </c>
      <c r="N63">
        <f t="shared" si="5"/>
        <v>1885.0833333333287</v>
      </c>
      <c r="O63">
        <f t="shared" si="0"/>
        <v>0</v>
      </c>
      <c r="P63">
        <f t="array" ref="P63">+SUM($G$2:$G$18*SIN(2*PI()*(N63)*$B$1/$F$2:$F$18+$H$2:$H$18))</f>
        <v>-2.7199192102084463E-2</v>
      </c>
      <c r="Q63">
        <f t="shared" si="1"/>
        <v>0</v>
      </c>
      <c r="R63">
        <f t="shared" si="2"/>
        <v>2.3213006747282119E-2</v>
      </c>
      <c r="S63">
        <f t="array" ref="S63">+$B$2*SIN(R63*$B$3+$B$4)+0*R63+ SUM($J$2:$J$20*SIN(2*PI()*N63*$I$2:$I$20+$K$2:$K$20))</f>
        <v>0.43601347047355782</v>
      </c>
      <c r="U63" s="3">
        <f t="shared" si="8"/>
        <v>1885.0833333333287</v>
      </c>
      <c r="V63" s="3">
        <f t="shared" si="9"/>
        <v>0.72119800000000001</v>
      </c>
      <c r="Z63" s="1">
        <v>1885.125</v>
      </c>
      <c r="AA63" s="2">
        <f t="shared" si="3"/>
        <v>-0.568272</v>
      </c>
      <c r="AB63">
        <v>-28.413599999999999</v>
      </c>
      <c r="AE63">
        <v>1885.0833333333287</v>
      </c>
      <c r="AF63">
        <v>0.43601347047355782</v>
      </c>
    </row>
    <row r="64" spans="4:32" x14ac:dyDescent="0.35">
      <c r="D64">
        <v>-0.60992000000000002</v>
      </c>
      <c r="M64">
        <f t="shared" si="4"/>
        <v>63</v>
      </c>
      <c r="N64">
        <f t="shared" si="5"/>
        <v>1885.166666666662</v>
      </c>
      <c r="O64">
        <f t="shared" si="0"/>
        <v>0</v>
      </c>
      <c r="P64">
        <f t="array" ref="P64">+SUM($G$2:$G$18*SIN(2*PI()*(N64)*$B$1/$F$2:$F$18+$H$2:$H$18))</f>
        <v>-8.1597493122521916E-2</v>
      </c>
      <c r="Q64">
        <f t="shared" si="1"/>
        <v>0</v>
      </c>
      <c r="R64">
        <f t="shared" si="2"/>
        <v>2.3177301871490027E-2</v>
      </c>
      <c r="S64">
        <f t="array" ref="S64">+$B$2*SIN(R64*$B$3+$B$4)+0*R64+ SUM($J$2:$J$20*SIN(2*PI()*N64*$I$2:$I$20+$K$2:$K$20))</f>
        <v>0.44012700001090754</v>
      </c>
      <c r="U64" s="3">
        <f t="shared" si="8"/>
        <v>1885.166666666662</v>
      </c>
      <c r="V64" s="3">
        <f t="shared" si="9"/>
        <v>0.34289400000000003</v>
      </c>
      <c r="Z64" s="1">
        <v>1885.2083</v>
      </c>
      <c r="AA64" s="2">
        <f t="shared" si="3"/>
        <v>-0.55123800000000001</v>
      </c>
      <c r="AB64">
        <v>-27.561900000000001</v>
      </c>
      <c r="AE64">
        <v>1885.166666666662</v>
      </c>
      <c r="AF64">
        <v>0.44012700001090754</v>
      </c>
    </row>
    <row r="65" spans="4:32" x14ac:dyDescent="0.35">
      <c r="D65">
        <v>-0.568272</v>
      </c>
      <c r="M65">
        <f t="shared" si="4"/>
        <v>64</v>
      </c>
      <c r="N65">
        <f t="shared" si="5"/>
        <v>1885.2499999999952</v>
      </c>
      <c r="O65">
        <f t="shared" si="0"/>
        <v>0</v>
      </c>
      <c r="P65">
        <f t="array" ref="P65">+SUM($G$2:$G$18*SIN(2*PI()*(N65)*$B$1/$F$2:$F$18+$H$2:$H$18))</f>
        <v>-0.30815923747553242</v>
      </c>
      <c r="Q65">
        <f t="shared" si="1"/>
        <v>0</v>
      </c>
      <c r="R65">
        <f t="shared" si="2"/>
        <v>2.3141651914828799E-2</v>
      </c>
      <c r="S65">
        <f t="array" ref="S65">+$B$2*SIN(R65*$B$3+$B$4)+0*R65+ SUM($J$2:$J$20*SIN(2*PI()*N65*$I$2:$I$20+$K$2:$K$20))</f>
        <v>0.44421437242536838</v>
      </c>
      <c r="U65" s="3">
        <f t="shared" si="8"/>
        <v>1885.2499999999952</v>
      </c>
      <c r="V65" s="3">
        <f t="shared" si="9"/>
        <v>0.11382199999999999</v>
      </c>
      <c r="Z65" s="1">
        <v>1885.2917</v>
      </c>
      <c r="AA65" s="2">
        <f t="shared" si="3"/>
        <v>-0.32036200000000004</v>
      </c>
      <c r="AB65">
        <v>-16.0181</v>
      </c>
      <c r="AE65">
        <v>1885.2499999999952</v>
      </c>
      <c r="AF65">
        <v>0.44421437242536838</v>
      </c>
    </row>
    <row r="66" spans="4:32" x14ac:dyDescent="0.35">
      <c r="D66">
        <v>-0.55123800000000001</v>
      </c>
      <c r="M66">
        <f t="shared" si="4"/>
        <v>65</v>
      </c>
      <c r="N66">
        <f t="shared" si="5"/>
        <v>1885.3333333333285</v>
      </c>
      <c r="O66">
        <f t="shared" ref="O66:O129" si="10">+IF(MOD(M66,$B$5)=1, $B$6, 0)</f>
        <v>0</v>
      </c>
      <c r="P66">
        <f t="array" ref="P66">+SUM($G$2:$G$18*SIN(2*PI()*(N66)*$B$1/$F$2:$F$18+$H$2:$H$18))</f>
        <v>-0.37047791471528069</v>
      </c>
      <c r="Q66">
        <f t="shared" si="1"/>
        <v>0</v>
      </c>
      <c r="R66">
        <f t="shared" si="2"/>
        <v>2.3106056792825073E-2</v>
      </c>
      <c r="S66">
        <f t="array" ref="S66">+$B$2*SIN(R66*$B$3+$B$4)+0*R66+ SUM($J$2:$J$20*SIN(2*PI()*N66*$I$2:$I$20+$K$2:$K$20))</f>
        <v>0.44827550531352317</v>
      </c>
      <c r="U66" s="3">
        <f t="shared" si="8"/>
        <v>1885.3333333333285</v>
      </c>
      <c r="V66" s="3">
        <f t="shared" si="9"/>
        <v>0.15398000000000001</v>
      </c>
      <c r="Z66" s="1">
        <v>1885.375</v>
      </c>
      <c r="AA66" s="2">
        <f t="shared" si="3"/>
        <v>-0.37563999999999997</v>
      </c>
      <c r="AB66">
        <v>-18.782</v>
      </c>
      <c r="AE66">
        <v>1885.3333333333285</v>
      </c>
      <c r="AF66">
        <v>0.44827550531352317</v>
      </c>
    </row>
    <row r="67" spans="4:32" x14ac:dyDescent="0.35">
      <c r="D67">
        <v>-0.32036200000000004</v>
      </c>
      <c r="M67">
        <f t="shared" si="4"/>
        <v>66</v>
      </c>
      <c r="N67">
        <f t="shared" si="5"/>
        <v>1885.4166666666617</v>
      </c>
      <c r="O67">
        <f t="shared" si="10"/>
        <v>0</v>
      </c>
      <c r="P67">
        <f t="array" ref="P67">+SUM($G$2:$G$18*SIN(2*PI()*(N67)*$B$1/$F$2:$F$18+$H$2:$H$18))</f>
        <v>3.5646989428752829E-3</v>
      </c>
      <c r="Q67">
        <f t="shared" ref="Q67:Q130" si="11">+O67*P67</f>
        <v>0</v>
      </c>
      <c r="R67">
        <f t="shared" ref="R67:R130" si="12">+(1-$B$7)*R66+($B$7)*Q67</f>
        <v>2.3070516421135417E-2</v>
      </c>
      <c r="S67">
        <f t="array" ref="S67">+$B$2*SIN(R67*$B$3+$B$4)+0*R67+ SUM($J$2:$J$20*SIN(2*PI()*N67*$I$2:$I$20+$K$2:$K$20))</f>
        <v>0.4523103185149901</v>
      </c>
      <c r="U67" s="3">
        <f t="shared" si="8"/>
        <v>1885.4166666666617</v>
      </c>
      <c r="V67" s="3">
        <f t="shared" si="9"/>
        <v>0.134134</v>
      </c>
      <c r="Z67" s="1">
        <v>1885.4583</v>
      </c>
      <c r="AA67" s="2">
        <f t="shared" ref="AA67:AA130" si="13">+AB67/50</f>
        <v>-0.61399599999999999</v>
      </c>
      <c r="AB67">
        <v>-30.6998</v>
      </c>
      <c r="AE67">
        <v>1885.4166666666617</v>
      </c>
      <c r="AF67">
        <v>0.4523103185149901</v>
      </c>
    </row>
    <row r="68" spans="4:32" x14ac:dyDescent="0.35">
      <c r="D68">
        <v>-0.37563999999999997</v>
      </c>
      <c r="M68">
        <f t="shared" ref="M68:M131" si="14">+M67+1</f>
        <v>67</v>
      </c>
      <c r="N68">
        <f t="shared" ref="N68:N131" si="15">+N67+1/12</f>
        <v>1885.499999999995</v>
      </c>
      <c r="O68">
        <f t="shared" si="10"/>
        <v>0</v>
      </c>
      <c r="P68">
        <f t="array" ref="P68">+SUM($G$2:$G$18*SIN(2*PI()*(N68)*$B$1/$F$2:$F$18+$H$2:$H$18))</f>
        <v>0.24362580425747471</v>
      </c>
      <c r="Q68">
        <f t="shared" si="11"/>
        <v>0</v>
      </c>
      <c r="R68">
        <f t="shared" si="12"/>
        <v>2.3035030715546134E-2</v>
      </c>
      <c r="S68">
        <f t="array" ref="S68">+$B$2*SIN(R68*$B$3+$B$4)+0*R68+ SUM($J$2:$J$20*SIN(2*PI()*N68*$I$2:$I$20+$K$2:$K$20))</f>
        <v>0.45631873409708912</v>
      </c>
      <c r="U68" s="3">
        <f t="shared" si="8"/>
        <v>1885.499999999995</v>
      </c>
      <c r="V68" s="3">
        <f t="shared" si="9"/>
        <v>0.117366</v>
      </c>
      <c r="Z68" s="1">
        <v>1885.5417</v>
      </c>
      <c r="AA68" s="2">
        <f t="shared" si="13"/>
        <v>-0.62466200000000005</v>
      </c>
      <c r="AB68">
        <v>-31.2331</v>
      </c>
      <c r="AE68">
        <v>1885.499999999995</v>
      </c>
      <c r="AF68">
        <v>0.45631873409708912</v>
      </c>
    </row>
    <row r="69" spans="4:32" x14ac:dyDescent="0.35">
      <c r="D69">
        <v>-0.61399599999999999</v>
      </c>
      <c r="M69">
        <f t="shared" si="14"/>
        <v>68</v>
      </c>
      <c r="N69">
        <f t="shared" si="15"/>
        <v>1885.5833333333283</v>
      </c>
      <c r="O69">
        <f t="shared" si="10"/>
        <v>0</v>
      </c>
      <c r="P69">
        <f t="array" ref="P69">+SUM($G$2:$G$18*SIN(2*PI()*(N69)*$B$1/$F$2:$F$18+$H$2:$H$18))</f>
        <v>0.12618758541689643</v>
      </c>
      <c r="Q69">
        <f t="shared" si="11"/>
        <v>0</v>
      </c>
      <c r="R69">
        <f t="shared" si="12"/>
        <v>2.2999599591973056E-2</v>
      </c>
      <c r="S69">
        <f t="array" ref="S69">+$B$2*SIN(R69*$B$3+$B$4)+0*R69+ SUM($J$2:$J$20*SIN(2*PI()*N69*$I$2:$I$20+$K$2:$K$20))</f>
        <v>0.46030067633947447</v>
      </c>
      <c r="U69" s="3">
        <f t="shared" si="8"/>
        <v>1885.5833333333283</v>
      </c>
      <c r="V69" s="3">
        <f t="shared" si="9"/>
        <v>0.23290400000000003</v>
      </c>
      <c r="Z69" s="1">
        <v>1885.625</v>
      </c>
      <c r="AA69" s="2">
        <f t="shared" si="13"/>
        <v>-0.73532600000000004</v>
      </c>
      <c r="AB69">
        <v>-36.766300000000001</v>
      </c>
      <c r="AE69">
        <v>1885.5833333333283</v>
      </c>
      <c r="AF69">
        <v>0.46030067633947447</v>
      </c>
    </row>
    <row r="70" spans="4:32" x14ac:dyDescent="0.35">
      <c r="D70">
        <v>-0.62466200000000005</v>
      </c>
      <c r="M70">
        <f t="shared" si="14"/>
        <v>69</v>
      </c>
      <c r="N70">
        <f t="shared" si="15"/>
        <v>1885.6666666666615</v>
      </c>
      <c r="O70">
        <f t="shared" si="10"/>
        <v>0</v>
      </c>
      <c r="P70">
        <f t="array" ref="P70">+SUM($G$2:$G$18*SIN(2*PI()*(N70)*$B$1/$F$2:$F$18+$H$2:$H$18))</f>
        <v>1.3594539938127911E-2</v>
      </c>
      <c r="Q70">
        <f t="shared" si="11"/>
        <v>0</v>
      </c>
      <c r="R70">
        <f t="shared" si="12"/>
        <v>2.2964222966461351E-2</v>
      </c>
      <c r="S70">
        <f t="array" ref="S70">+$B$2*SIN(R70*$B$3+$B$4)+0*R70+ SUM($J$2:$J$20*SIN(2*PI()*N70*$I$2:$I$20+$K$2:$K$20))</f>
        <v>0.46425607171873107</v>
      </c>
      <c r="U70" s="3">
        <f t="shared" si="8"/>
        <v>1885.6666666666615</v>
      </c>
      <c r="V70" s="3">
        <f t="shared" si="9"/>
        <v>0.174592</v>
      </c>
      <c r="Z70" s="1">
        <v>1885.7083</v>
      </c>
      <c r="AA70" s="2">
        <f t="shared" si="13"/>
        <v>-0.91676199999999997</v>
      </c>
      <c r="AB70">
        <v>-45.838099999999997</v>
      </c>
      <c r="AE70">
        <v>1885.6666666666615</v>
      </c>
      <c r="AF70">
        <v>0.46425607171873107</v>
      </c>
    </row>
    <row r="71" spans="4:32" x14ac:dyDescent="0.35">
      <c r="D71">
        <v>-0.73532600000000004</v>
      </c>
      <c r="M71">
        <f t="shared" si="14"/>
        <v>70</v>
      </c>
      <c r="N71">
        <f t="shared" si="15"/>
        <v>1885.7499999999948</v>
      </c>
      <c r="O71">
        <f t="shared" si="10"/>
        <v>0</v>
      </c>
      <c r="P71">
        <f t="array" ref="P71">+SUM($G$2:$G$18*SIN(2*PI()*(N71)*$B$1/$F$2:$F$18+$H$2:$H$18))</f>
        <v>3.7705760501180463E-4</v>
      </c>
      <c r="Q71">
        <f t="shared" si="11"/>
        <v>0</v>
      </c>
      <c r="R71">
        <f t="shared" si="12"/>
        <v>2.2928900755185319E-2</v>
      </c>
      <c r="S71">
        <f t="array" ref="S71">+$B$2*SIN(R71*$B$3+$B$4)+0*R71+ SUM($J$2:$J$20*SIN(2*PI()*N71*$I$2:$I$20+$K$2:$K$20))</f>
        <v>0.4681848488929502</v>
      </c>
      <c r="U71" s="3">
        <f t="shared" si="8"/>
        <v>1885.7499999999948</v>
      </c>
      <c r="V71" s="3">
        <f t="shared" si="9"/>
        <v>0.194744</v>
      </c>
      <c r="Z71" s="1">
        <v>1885.7917</v>
      </c>
      <c r="AA71" s="2">
        <f t="shared" si="13"/>
        <v>-1.0658920000000001</v>
      </c>
      <c r="AB71">
        <v>-53.294600000000003</v>
      </c>
      <c r="AE71">
        <v>1885.7499999999948</v>
      </c>
      <c r="AF71">
        <v>0.4681848488929502</v>
      </c>
    </row>
    <row r="72" spans="4:32" x14ac:dyDescent="0.35">
      <c r="D72">
        <v>-0.91676199999999997</v>
      </c>
      <c r="M72">
        <f t="shared" si="14"/>
        <v>71</v>
      </c>
      <c r="N72">
        <f t="shared" si="15"/>
        <v>1885.833333333328</v>
      </c>
      <c r="O72">
        <f t="shared" si="10"/>
        <v>0</v>
      </c>
      <c r="P72">
        <f t="array" ref="P72">+SUM($G$2:$G$18*SIN(2*PI()*(N72)*$B$1/$F$2:$F$18+$H$2:$H$18))</f>
        <v>2.5576719595042513E-2</v>
      </c>
      <c r="Q72">
        <f t="shared" si="11"/>
        <v>0</v>
      </c>
      <c r="R72">
        <f t="shared" si="12"/>
        <v>2.2893632874448198E-2</v>
      </c>
      <c r="S72">
        <f t="array" ref="S72">+$B$2*SIN(R72*$B$3+$B$4)+0*R72+ SUM($J$2:$J$20*SIN(2*PI()*N72*$I$2:$I$20+$K$2:$K$20))</f>
        <v>0.47208693868627133</v>
      </c>
      <c r="U72" s="3">
        <f t="shared" si="8"/>
        <v>1885.833333333328</v>
      </c>
      <c r="V72" s="3">
        <f t="shared" si="9"/>
        <v>1.6434000000000001E-2</v>
      </c>
      <c r="Z72" s="1">
        <v>1885.875</v>
      </c>
      <c r="AA72" s="2">
        <f t="shared" si="13"/>
        <v>-1.1196380000000001</v>
      </c>
      <c r="AB72">
        <v>-55.981900000000003</v>
      </c>
      <c r="AE72">
        <v>1885.833333333328</v>
      </c>
      <c r="AF72">
        <v>0.47208693868627133</v>
      </c>
    </row>
    <row r="73" spans="4:32" x14ac:dyDescent="0.35">
      <c r="D73">
        <v>-1.0658920000000001</v>
      </c>
      <c r="M73">
        <f t="shared" si="14"/>
        <v>72</v>
      </c>
      <c r="N73">
        <f t="shared" si="15"/>
        <v>1885.9166666666613</v>
      </c>
      <c r="O73">
        <f t="shared" si="10"/>
        <v>0</v>
      </c>
      <c r="P73">
        <f t="array" ref="P73">+SUM($G$2:$G$18*SIN(2*PI()*(N73)*$B$1/$F$2:$F$18+$H$2:$H$18))</f>
        <v>-0.11390650004999803</v>
      </c>
      <c r="Q73">
        <f t="shared" si="11"/>
        <v>0</v>
      </c>
      <c r="R73">
        <f t="shared" si="12"/>
        <v>2.2858419240681962E-2</v>
      </c>
      <c r="S73">
        <f t="array" ref="S73">+$B$2*SIN(R73*$B$3+$B$4)+0*R73+ SUM($J$2:$J$20*SIN(2*PI()*N73*$I$2:$I$20+$K$2:$K$20))</f>
        <v>0.47596227407340153</v>
      </c>
      <c r="U73" s="3">
        <f t="shared" si="8"/>
        <v>1885.9166666666613</v>
      </c>
      <c r="V73" s="3">
        <f t="shared" si="9"/>
        <v>-0.555728</v>
      </c>
      <c r="Z73" s="1">
        <v>1885.9583</v>
      </c>
      <c r="AA73" s="2">
        <f t="shared" si="13"/>
        <v>-1.0256940000000001</v>
      </c>
      <c r="AB73">
        <v>-51.284700000000001</v>
      </c>
      <c r="AE73">
        <v>1885.9166666666613</v>
      </c>
      <c r="AF73">
        <v>0.47596227407340153</v>
      </c>
    </row>
    <row r="74" spans="4:32" x14ac:dyDescent="0.35">
      <c r="D74">
        <v>-1.1196380000000001</v>
      </c>
      <c r="M74">
        <f t="shared" si="14"/>
        <v>73</v>
      </c>
      <c r="N74">
        <f t="shared" si="15"/>
        <v>1885.9999999999945</v>
      </c>
      <c r="O74">
        <f t="shared" si="10"/>
        <v>36.637715116165623</v>
      </c>
      <c r="P74">
        <f t="array" ref="P74">+SUM($G$2:$G$18*SIN(2*PI()*(N74)*$B$1/$F$2:$F$18+$H$2:$H$18))</f>
        <v>-0.42498763838655257</v>
      </c>
      <c r="Q74">
        <f t="shared" si="11"/>
        <v>-15.570576023098527</v>
      </c>
      <c r="R74">
        <f t="shared" si="12"/>
        <v>-1.1264805182030595E-3</v>
      </c>
      <c r="S74">
        <f t="array" ref="S74">+$B$2*SIN(R74*$B$3+$B$4)+0*R74+ SUM($J$2:$J$20*SIN(2*PI()*N74*$I$2:$I$20+$K$2:$K$20))</f>
        <v>-0.6654340846670439</v>
      </c>
      <c r="U74" s="3">
        <f t="shared" si="8"/>
        <v>1885.9999999999945</v>
      </c>
      <c r="V74" s="3">
        <f t="shared" si="9"/>
        <v>-0.69250200000000006</v>
      </c>
      <c r="Z74" s="1">
        <v>1886.0417</v>
      </c>
      <c r="AA74" s="2">
        <f t="shared" si="13"/>
        <v>-0.896366</v>
      </c>
      <c r="AB74">
        <v>-44.818300000000001</v>
      </c>
      <c r="AE74">
        <v>1885.9999999999945</v>
      </c>
      <c r="AF74">
        <v>-0.6654340846670439</v>
      </c>
    </row>
    <row r="75" spans="4:32" x14ac:dyDescent="0.35">
      <c r="D75">
        <v>-1.0256940000000001</v>
      </c>
      <c r="M75">
        <f t="shared" si="14"/>
        <v>74</v>
      </c>
      <c r="N75">
        <f t="shared" si="15"/>
        <v>1886.0833333333278</v>
      </c>
      <c r="O75">
        <f t="shared" si="10"/>
        <v>0</v>
      </c>
      <c r="P75">
        <f t="array" ref="P75">+SUM($G$2:$G$18*SIN(2*PI()*(N75)*$B$1/$F$2:$F$18+$H$2:$H$18))</f>
        <v>-0.31039809990869793</v>
      </c>
      <c r="Q75">
        <f t="shared" si="11"/>
        <v>0</v>
      </c>
      <c r="R75">
        <f t="shared" si="12"/>
        <v>-1.1247478324108856E-3</v>
      </c>
      <c r="S75">
        <f t="array" ref="S75">+$B$2*SIN(R75*$B$3+$B$4)+0*R75+ SUM($J$2:$J$20*SIN(2*PI()*N75*$I$2:$I$20+$K$2:$K$20))</f>
        <v>-0.66554879402341693</v>
      </c>
      <c r="U75" s="3">
        <f t="shared" si="8"/>
        <v>1886.0833333333278</v>
      </c>
      <c r="V75" s="3">
        <f t="shared" si="9"/>
        <v>-0.77389399999999997</v>
      </c>
      <c r="Z75" s="1">
        <v>1886.125</v>
      </c>
      <c r="AA75" s="2">
        <f t="shared" si="13"/>
        <v>-0.85011399999999993</v>
      </c>
      <c r="AB75">
        <v>-42.505699999999997</v>
      </c>
      <c r="AE75">
        <v>1886.0833333333278</v>
      </c>
      <c r="AF75">
        <v>-0.66554879402341693</v>
      </c>
    </row>
    <row r="76" spans="4:32" x14ac:dyDescent="0.35">
      <c r="D76">
        <v>-0.896366</v>
      </c>
      <c r="M76">
        <f t="shared" si="14"/>
        <v>75</v>
      </c>
      <c r="N76">
        <f t="shared" si="15"/>
        <v>1886.1666666666611</v>
      </c>
      <c r="O76">
        <f t="shared" si="10"/>
        <v>0</v>
      </c>
      <c r="P76">
        <f t="array" ref="P76">+SUM($G$2:$G$18*SIN(2*PI()*(N76)*$B$1/$F$2:$F$18+$H$2:$H$18))</f>
        <v>0.18516742493558677</v>
      </c>
      <c r="Q76">
        <f t="shared" si="11"/>
        <v>0</v>
      </c>
      <c r="R76">
        <f t="shared" si="12"/>
        <v>-1.1230178117336478E-3</v>
      </c>
      <c r="S76">
        <f t="array" ref="S76">+$B$2*SIN(R76*$B$3+$B$4)+0*R76+ SUM($J$2:$J$20*SIN(2*PI()*N76*$I$2:$I$20+$K$2:$K$20))</f>
        <v>-0.66566325632328405</v>
      </c>
      <c r="U76" s="3">
        <f t="shared" si="8"/>
        <v>1886.1666666666611</v>
      </c>
      <c r="V76" s="3">
        <f t="shared" si="9"/>
        <v>-0.93990399999999996</v>
      </c>
      <c r="Z76" s="1">
        <v>1886.2083</v>
      </c>
      <c r="AA76" s="2">
        <f t="shared" si="13"/>
        <v>-0.85463399999999989</v>
      </c>
      <c r="AB76">
        <v>-42.731699999999996</v>
      </c>
      <c r="AE76">
        <v>1886.1666666666611</v>
      </c>
      <c r="AF76">
        <v>-0.66566325632328405</v>
      </c>
    </row>
    <row r="77" spans="4:32" x14ac:dyDescent="0.35">
      <c r="D77">
        <v>-0.85011399999999993</v>
      </c>
      <c r="M77">
        <f t="shared" si="14"/>
        <v>76</v>
      </c>
      <c r="N77">
        <f t="shared" si="15"/>
        <v>1886.2499999999943</v>
      </c>
      <c r="O77">
        <f t="shared" si="10"/>
        <v>0</v>
      </c>
      <c r="P77">
        <f t="array" ref="P77">+SUM($G$2:$G$18*SIN(2*PI()*(N77)*$B$1/$F$2:$F$18+$H$2:$H$18))</f>
        <v>0.27290323066722905</v>
      </c>
      <c r="Q77">
        <f t="shared" si="11"/>
        <v>0</v>
      </c>
      <c r="R77">
        <f t="shared" si="12"/>
        <v>-1.121290452072024E-3</v>
      </c>
      <c r="S77">
        <f t="array" ref="S77">+$B$2*SIN(R77*$B$3+$B$4)+0*R77+ SUM($J$2:$J$20*SIN(2*PI()*N77*$I$2:$I$20+$K$2:$K$20))</f>
        <v>-0.66577747215161709</v>
      </c>
      <c r="U77" s="3">
        <f t="shared" si="8"/>
        <v>1886.2499999999943</v>
      </c>
      <c r="V77" s="3">
        <f t="shared" si="9"/>
        <v>-1.3028360000000001</v>
      </c>
      <c r="Z77" s="1">
        <v>1886.2917</v>
      </c>
      <c r="AA77" s="2">
        <f t="shared" si="13"/>
        <v>-1.0037720000000001</v>
      </c>
      <c r="AB77">
        <v>-50.188600000000001</v>
      </c>
      <c r="AE77">
        <v>1886.2499999999943</v>
      </c>
      <c r="AF77">
        <v>-0.66577747215161709</v>
      </c>
    </row>
    <row r="78" spans="4:32" x14ac:dyDescent="0.35">
      <c r="D78">
        <v>-0.85463399999999989</v>
      </c>
      <c r="M78">
        <f t="shared" si="14"/>
        <v>77</v>
      </c>
      <c r="N78">
        <f t="shared" si="15"/>
        <v>1886.3333333333276</v>
      </c>
      <c r="O78">
        <f t="shared" si="10"/>
        <v>0</v>
      </c>
      <c r="P78">
        <f t="array" ref="P78">+SUM($G$2:$G$18*SIN(2*PI()*(N78)*$B$1/$F$2:$F$18+$H$2:$H$18))</f>
        <v>-7.6190932009042867E-3</v>
      </c>
      <c r="Q78">
        <f t="shared" si="11"/>
        <v>0</v>
      </c>
      <c r="R78">
        <f t="shared" si="12"/>
        <v>-1.1195657493329968E-3</v>
      </c>
      <c r="S78">
        <f t="array" ref="S78">+$B$2*SIN(R78*$B$3+$B$4)+0*R78+ SUM($J$2:$J$20*SIN(2*PI()*N78*$I$2:$I$20+$K$2:$K$20))</f>
        <v>-0.66589144209192164</v>
      </c>
      <c r="U78" s="3">
        <f t="shared" si="8"/>
        <v>1886.3333333333276</v>
      </c>
      <c r="V78" s="3">
        <f t="shared" si="9"/>
        <v>-1.401154</v>
      </c>
      <c r="Z78" s="1">
        <v>1886.375</v>
      </c>
      <c r="AA78" s="2">
        <f t="shared" si="13"/>
        <v>-1.3467560000000001</v>
      </c>
      <c r="AB78">
        <v>-67.337800000000001</v>
      </c>
      <c r="AE78">
        <v>1886.3333333333276</v>
      </c>
      <c r="AF78">
        <v>-0.66589144209192164</v>
      </c>
    </row>
    <row r="79" spans="4:32" x14ac:dyDescent="0.35">
      <c r="D79">
        <v>-1.0037720000000001</v>
      </c>
      <c r="M79">
        <f t="shared" si="14"/>
        <v>78</v>
      </c>
      <c r="N79">
        <f t="shared" si="15"/>
        <v>1886.4166666666608</v>
      </c>
      <c r="O79">
        <f t="shared" si="10"/>
        <v>0</v>
      </c>
      <c r="P79">
        <f t="array" ref="P79">+SUM($G$2:$G$18*SIN(2*PI()*(N79)*$B$1/$F$2:$F$18+$H$2:$H$18))</f>
        <v>-0.15457115649247924</v>
      </c>
      <c r="Q79">
        <f t="shared" si="11"/>
        <v>0</v>
      </c>
      <c r="R79">
        <f t="shared" si="12"/>
        <v>-1.1178436994298451E-3</v>
      </c>
      <c r="S79">
        <f t="array" ref="S79">+$B$2*SIN(R79*$B$3+$B$4)+0*R79+ SUM($J$2:$J$20*SIN(2*PI()*N79*$I$2:$I$20+$K$2:$K$20))</f>
        <v>-0.66600516672623966</v>
      </c>
      <c r="U79" s="3">
        <f t="shared" si="8"/>
        <v>1886.4166666666608</v>
      </c>
      <c r="V79" s="3">
        <f t="shared" si="9"/>
        <v>-1.6779359999999999</v>
      </c>
      <c r="Z79" s="1">
        <v>1886.4583</v>
      </c>
      <c r="AA79" s="2">
        <f t="shared" si="13"/>
        <v>-1.3497399999999999</v>
      </c>
      <c r="AB79">
        <v>-67.486999999999995</v>
      </c>
      <c r="AE79">
        <v>1886.4166666666608</v>
      </c>
      <c r="AF79">
        <v>-0.66600516672623966</v>
      </c>
    </row>
    <row r="80" spans="4:32" x14ac:dyDescent="0.35">
      <c r="D80">
        <v>-1.3467560000000001</v>
      </c>
      <c r="M80">
        <f t="shared" si="14"/>
        <v>79</v>
      </c>
      <c r="N80">
        <f t="shared" si="15"/>
        <v>1886.4999999999941</v>
      </c>
      <c r="O80">
        <f t="shared" si="10"/>
        <v>0</v>
      </c>
      <c r="P80">
        <f t="array" ref="P80">+SUM($G$2:$G$18*SIN(2*PI()*(N80)*$B$1/$F$2:$F$18+$H$2:$H$18))</f>
        <v>-0.10272094381009547</v>
      </c>
      <c r="Q80">
        <f t="shared" si="11"/>
        <v>0</v>
      </c>
      <c r="R80">
        <f t="shared" si="12"/>
        <v>-1.1161242982821334E-3</v>
      </c>
      <c r="S80">
        <f t="array" ref="S80">+$B$2*SIN(R80*$B$3+$B$4)+0*R80+ SUM($J$2:$J$20*SIN(2*PI()*N80*$I$2:$I$20+$K$2:$K$20))</f>
        <v>-0.66611864663515452</v>
      </c>
      <c r="U80" s="3">
        <f t="shared" si="8"/>
        <v>1886.4999999999941</v>
      </c>
      <c r="V80" s="3">
        <f t="shared" si="9"/>
        <v>-1.6454880000000001</v>
      </c>
      <c r="Z80" s="1">
        <v>1886.5417</v>
      </c>
      <c r="AA80" s="2">
        <f t="shared" si="13"/>
        <v>-1.6250340000000001</v>
      </c>
      <c r="AB80">
        <v>-81.2517</v>
      </c>
      <c r="AE80">
        <v>1886.4999999999941</v>
      </c>
      <c r="AF80">
        <v>-0.66611864663515452</v>
      </c>
    </row>
    <row r="81" spans="4:32" x14ac:dyDescent="0.35">
      <c r="D81">
        <v>-1.3497399999999999</v>
      </c>
      <c r="M81">
        <f t="shared" si="14"/>
        <v>80</v>
      </c>
      <c r="N81">
        <f t="shared" si="15"/>
        <v>1886.5833333333273</v>
      </c>
      <c r="O81">
        <f t="shared" si="10"/>
        <v>0</v>
      </c>
      <c r="P81">
        <f t="array" ref="P81">+SUM($G$2:$G$18*SIN(2*PI()*(N81)*$B$1/$F$2:$F$18+$H$2:$H$18))</f>
        <v>1.0175817718490326E-2</v>
      </c>
      <c r="Q81">
        <f t="shared" si="11"/>
        <v>0</v>
      </c>
      <c r="R81">
        <f t="shared" si="12"/>
        <v>-1.1144075418157025E-3</v>
      </c>
      <c r="S81">
        <f t="array" ref="S81">+$B$2*SIN(R81*$B$3+$B$4)+0*R81+ SUM($J$2:$J$20*SIN(2*PI()*N81*$I$2:$I$20+$K$2:$K$20))</f>
        <v>-0.66623188239779352</v>
      </c>
      <c r="U81" s="3">
        <f t="shared" si="8"/>
        <v>1886.5833333333273</v>
      </c>
      <c r="V81" s="3">
        <f t="shared" si="9"/>
        <v>-1.57304</v>
      </c>
      <c r="Z81" s="1">
        <v>1886.625</v>
      </c>
      <c r="AA81" s="2">
        <f t="shared" si="13"/>
        <v>-1.9249440000000002</v>
      </c>
      <c r="AB81">
        <v>-96.247200000000007</v>
      </c>
      <c r="AE81">
        <v>1886.5833333333273</v>
      </c>
      <c r="AF81">
        <v>-0.66623188239779352</v>
      </c>
    </row>
    <row r="82" spans="4:32" x14ac:dyDescent="0.35">
      <c r="D82">
        <v>-1.6250340000000001</v>
      </c>
      <c r="M82">
        <f t="shared" si="14"/>
        <v>81</v>
      </c>
      <c r="N82">
        <f t="shared" si="15"/>
        <v>1886.6666666666606</v>
      </c>
      <c r="O82">
        <f t="shared" si="10"/>
        <v>0</v>
      </c>
      <c r="P82">
        <f t="array" ref="P82">+SUM($G$2:$G$18*SIN(2*PI()*(N82)*$B$1/$F$2:$F$18+$H$2:$H$18))</f>
        <v>-0.14414643572072039</v>
      </c>
      <c r="Q82">
        <f t="shared" si="11"/>
        <v>0</v>
      </c>
      <c r="R82">
        <f t="shared" si="12"/>
        <v>-1.11269342596266E-3</v>
      </c>
      <c r="S82">
        <f t="array" ref="S82">+$B$2*SIN(R82*$B$3+$B$4)+0*R82+ SUM($J$2:$J$20*SIN(2*PI()*N82*$I$2:$I$20+$K$2:$K$20))</f>
        <v>-0.66634487459183245</v>
      </c>
      <c r="U82" s="3">
        <f t="shared" si="8"/>
        <v>1886.6666666666606</v>
      </c>
      <c r="V82" s="3">
        <f t="shared" si="9"/>
        <v>-1.579056</v>
      </c>
      <c r="Z82" s="1">
        <v>1886.7083</v>
      </c>
      <c r="AA82" s="2">
        <f t="shared" si="13"/>
        <v>-1.577162</v>
      </c>
      <c r="AB82">
        <v>-78.858099999999993</v>
      </c>
      <c r="AE82">
        <v>1886.6666666666606</v>
      </c>
      <c r="AF82">
        <v>-0.66634487459183245</v>
      </c>
    </row>
    <row r="83" spans="4:32" x14ac:dyDescent="0.35">
      <c r="D83">
        <v>-1.9249440000000002</v>
      </c>
      <c r="M83">
        <f t="shared" si="14"/>
        <v>82</v>
      </c>
      <c r="N83">
        <f t="shared" si="15"/>
        <v>1886.7499999999939</v>
      </c>
      <c r="O83">
        <f t="shared" si="10"/>
        <v>0</v>
      </c>
      <c r="P83">
        <f t="array" ref="P83">+SUM($G$2:$G$18*SIN(2*PI()*(N83)*$B$1/$F$2:$F$18+$H$2:$H$18))</f>
        <v>-0.45910966989040591</v>
      </c>
      <c r="Q83">
        <f t="shared" si="11"/>
        <v>0</v>
      </c>
      <c r="R83">
        <f t="shared" si="12"/>
        <v>-1.1109819466613702E-3</v>
      </c>
      <c r="S83">
        <f t="array" ref="S83">+$B$2*SIN(R83*$B$3+$B$4)+0*R83+ SUM($J$2:$J$20*SIN(2*PI()*N83*$I$2:$I$20+$K$2:$K$20))</f>
        <v>-0.66645762379349838</v>
      </c>
      <c r="U83" s="3">
        <f t="shared" si="8"/>
        <v>1886.7499999999939</v>
      </c>
      <c r="V83" s="3">
        <f t="shared" si="9"/>
        <v>-1.5358420000000002</v>
      </c>
      <c r="Z83" s="1">
        <v>1886.7917</v>
      </c>
      <c r="AA83" s="2">
        <f t="shared" si="13"/>
        <v>-1.215538</v>
      </c>
      <c r="AB83">
        <v>-60.776899999999998</v>
      </c>
      <c r="AE83">
        <v>1886.7499999999939</v>
      </c>
      <c r="AF83">
        <v>-0.66645762379349838</v>
      </c>
    </row>
    <row r="84" spans="4:32" x14ac:dyDescent="0.35">
      <c r="D84">
        <v>-1.577162</v>
      </c>
      <c r="M84">
        <f t="shared" si="14"/>
        <v>83</v>
      </c>
      <c r="N84">
        <f t="shared" si="15"/>
        <v>1886.8333333333271</v>
      </c>
      <c r="O84">
        <f t="shared" si="10"/>
        <v>0</v>
      </c>
      <c r="P84">
        <f t="array" ref="P84">+SUM($G$2:$G$18*SIN(2*PI()*(N84)*$B$1/$F$2:$F$18+$H$2:$H$18))</f>
        <v>-0.27102169118234026</v>
      </c>
      <c r="Q84">
        <f t="shared" si="11"/>
        <v>0</v>
      </c>
      <c r="R84">
        <f t="shared" si="12"/>
        <v>-1.109273099856445E-3</v>
      </c>
      <c r="S84">
        <f t="array" ref="S84">+$B$2*SIN(R84*$B$3+$B$4)+0*R84+ SUM($J$2:$J$20*SIN(2*PI()*N84*$I$2:$I$20+$K$2:$K$20))</f>
        <v>-0.66657013057757319</v>
      </c>
      <c r="U84" s="3">
        <f t="shared" si="8"/>
        <v>1886.8333333333271</v>
      </c>
      <c r="V84" s="3">
        <f t="shared" si="9"/>
        <v>-1.5464740000000001</v>
      </c>
      <c r="Z84" s="1">
        <v>1886.875</v>
      </c>
      <c r="AA84" s="2">
        <f t="shared" si="13"/>
        <v>-1.0708360000000001</v>
      </c>
      <c r="AB84">
        <v>-53.541800000000002</v>
      </c>
      <c r="AE84">
        <v>1886.8333333333271</v>
      </c>
      <c r="AF84">
        <v>-0.66657013057757319</v>
      </c>
    </row>
    <row r="85" spans="4:32" x14ac:dyDescent="0.35">
      <c r="D85">
        <v>-1.215538</v>
      </c>
      <c r="M85">
        <f t="shared" si="14"/>
        <v>84</v>
      </c>
      <c r="N85">
        <f t="shared" si="15"/>
        <v>1886.9166666666604</v>
      </c>
      <c r="O85">
        <f t="shared" si="10"/>
        <v>0</v>
      </c>
      <c r="P85">
        <f t="array" ref="P85">+SUM($G$2:$G$18*SIN(2*PI()*(N85)*$B$1/$F$2:$F$18+$H$2:$H$18))</f>
        <v>0.18332922990749378</v>
      </c>
      <c r="Q85">
        <f t="shared" si="11"/>
        <v>0</v>
      </c>
      <c r="R85">
        <f t="shared" si="12"/>
        <v>-1.107566881498734E-3</v>
      </c>
      <c r="S85">
        <f t="array" ref="S85">+$B$2*SIN(R85*$B$3+$B$4)+0*R85+ SUM($J$2:$J$20*SIN(2*PI()*N85*$I$2:$I$20+$K$2:$K$20))</f>
        <v>-0.66668239551739861</v>
      </c>
      <c r="U85" s="3">
        <f t="shared" si="8"/>
        <v>1886.9166666666604</v>
      </c>
      <c r="V85" s="3">
        <f t="shared" si="9"/>
        <v>-1.680186</v>
      </c>
      <c r="Z85" s="1">
        <v>1886.9583</v>
      </c>
      <c r="AA85" s="2">
        <f t="shared" si="13"/>
        <v>-0.83844200000000002</v>
      </c>
      <c r="AB85">
        <v>-41.9221</v>
      </c>
      <c r="AE85">
        <v>1886.9166666666604</v>
      </c>
      <c r="AF85">
        <v>-0.66668239551739861</v>
      </c>
    </row>
    <row r="86" spans="4:32" x14ac:dyDescent="0.35">
      <c r="D86">
        <v>-1.0708360000000001</v>
      </c>
      <c r="M86">
        <f t="shared" si="14"/>
        <v>85</v>
      </c>
      <c r="N86">
        <f t="shared" si="15"/>
        <v>1886.9999999999936</v>
      </c>
      <c r="O86">
        <f t="shared" si="10"/>
        <v>36.637715116165623</v>
      </c>
      <c r="P86">
        <f t="array" ref="P86">+SUM($G$2:$G$18*SIN(2*PI()*(N86)*$B$1/$F$2:$F$18+$H$2:$H$18))</f>
        <v>0.19308351494967563</v>
      </c>
      <c r="Q86">
        <f t="shared" si="11"/>
        <v>7.0741388143541215</v>
      </c>
      <c r="R86">
        <f t="shared" si="12"/>
        <v>9.7751591690616452E-3</v>
      </c>
      <c r="S86">
        <f t="array" ref="S86">+$B$2*SIN(R86*$B$3+$B$4)+0*R86+ SUM($J$2:$J$20*SIN(2*PI()*N86*$I$2:$I$20+$K$2:$K$20))</f>
        <v>-4.0413841411444653E-3</v>
      </c>
      <c r="U86" s="3">
        <f t="shared" si="8"/>
        <v>1886.9999999999936</v>
      </c>
      <c r="V86" s="3">
        <f t="shared" si="9"/>
        <v>-1.29236</v>
      </c>
      <c r="Z86" s="1">
        <v>1887.0417</v>
      </c>
      <c r="AA86" s="2">
        <f t="shared" si="13"/>
        <v>-0.68912800000000007</v>
      </c>
      <c r="AB86">
        <v>-34.456400000000002</v>
      </c>
      <c r="AE86">
        <v>1886.9999999999936</v>
      </c>
      <c r="AF86">
        <v>-4.0413841411444653E-3</v>
      </c>
    </row>
    <row r="87" spans="4:32" x14ac:dyDescent="0.35">
      <c r="D87">
        <v>-0.83844200000000002</v>
      </c>
      <c r="M87">
        <f t="shared" si="14"/>
        <v>86</v>
      </c>
      <c r="N87">
        <f t="shared" si="15"/>
        <v>1887.0833333333269</v>
      </c>
      <c r="O87">
        <f t="shared" si="10"/>
        <v>0</v>
      </c>
      <c r="P87">
        <f t="array" ref="P87">+SUM($G$2:$G$18*SIN(2*PI()*(N87)*$B$1/$F$2:$F$18+$H$2:$H$18))</f>
        <v>-5.084725920440622E-2</v>
      </c>
      <c r="Q87">
        <f t="shared" si="11"/>
        <v>0</v>
      </c>
      <c r="R87">
        <f t="shared" si="12"/>
        <v>9.7601235966440318E-3</v>
      </c>
      <c r="S87">
        <f t="array" ref="S87">+$B$2*SIN(R87*$B$3+$B$4)+0*R87+ SUM($J$2:$J$20*SIN(2*PI()*N87*$I$2:$I$20+$K$2:$K$20))</f>
        <v>-6.1714721266115883E-3</v>
      </c>
      <c r="U87" s="3">
        <f t="shared" si="8"/>
        <v>1887.0833333333269</v>
      </c>
      <c r="V87" s="3">
        <f t="shared" si="9"/>
        <v>-0.83068799999999998</v>
      </c>
      <c r="Z87" s="1">
        <v>1887.125</v>
      </c>
      <c r="AA87" s="2">
        <f t="shared" si="13"/>
        <v>-0.70443</v>
      </c>
      <c r="AB87">
        <v>-35.221499999999999</v>
      </c>
      <c r="AE87">
        <v>1887.0833333333269</v>
      </c>
      <c r="AF87">
        <v>-6.1714721266115883E-3</v>
      </c>
    </row>
    <row r="88" spans="4:32" x14ac:dyDescent="0.35">
      <c r="D88">
        <v>-0.68912800000000007</v>
      </c>
      <c r="M88">
        <f t="shared" si="14"/>
        <v>87</v>
      </c>
      <c r="N88">
        <f t="shared" si="15"/>
        <v>1887.1666666666601</v>
      </c>
      <c r="O88">
        <f t="shared" si="10"/>
        <v>0</v>
      </c>
      <c r="P88">
        <f t="array" ref="P88">+SUM($G$2:$G$18*SIN(2*PI()*(N88)*$B$1/$F$2:$F$18+$H$2:$H$18))</f>
        <v>-0.19100505333165113</v>
      </c>
      <c r="Q88">
        <f t="shared" si="11"/>
        <v>0</v>
      </c>
      <c r="R88">
        <f t="shared" si="12"/>
        <v>9.7451111510557641E-3</v>
      </c>
      <c r="S88">
        <f t="array" ref="S88">+$B$2*SIN(R88*$B$3+$B$4)+0*R88+ SUM($J$2:$J$20*SIN(2*PI()*N88*$I$2:$I$20+$K$2:$K$20))</f>
        <v>-8.298234436953357E-3</v>
      </c>
      <c r="U88" s="3">
        <f t="shared" si="8"/>
        <v>1887.1666666666601</v>
      </c>
      <c r="V88" s="3">
        <f t="shared" si="9"/>
        <v>-0.49825000000000003</v>
      </c>
      <c r="Z88" s="1">
        <v>1887.2083</v>
      </c>
      <c r="AA88" s="2">
        <f t="shared" si="13"/>
        <v>-0.70742400000000005</v>
      </c>
      <c r="AB88">
        <v>-35.371200000000002</v>
      </c>
      <c r="AE88">
        <v>1887.1666666666601</v>
      </c>
      <c r="AF88">
        <v>-8.298234436953357E-3</v>
      </c>
    </row>
    <row r="89" spans="4:32" x14ac:dyDescent="0.35">
      <c r="D89">
        <v>-0.70443</v>
      </c>
      <c r="M89">
        <f t="shared" si="14"/>
        <v>88</v>
      </c>
      <c r="N89">
        <f t="shared" si="15"/>
        <v>1887.2499999999934</v>
      </c>
      <c r="O89">
        <f t="shared" si="10"/>
        <v>0</v>
      </c>
      <c r="P89">
        <f t="array" ref="P89">+SUM($G$2:$G$18*SIN(2*PI()*(N89)*$B$1/$F$2:$F$18+$H$2:$H$18))</f>
        <v>-0.15577450211197424</v>
      </c>
      <c r="Q89">
        <f t="shared" si="11"/>
        <v>0</v>
      </c>
      <c r="R89">
        <f t="shared" si="12"/>
        <v>9.7301217967245193E-3</v>
      </c>
      <c r="S89">
        <f t="array" ref="S89">+$B$2*SIN(R89*$B$3+$B$4)+0*R89+ SUM($J$2:$J$20*SIN(2*PI()*N89*$I$2:$I$20+$K$2:$K$20))</f>
        <v>-1.0421659399052645E-2</v>
      </c>
      <c r="U89" s="3">
        <f t="shared" si="8"/>
        <v>1887.2499999999934</v>
      </c>
      <c r="V89" s="3">
        <f t="shared" si="9"/>
        <v>5.1112000000000005E-2</v>
      </c>
      <c r="Z89" s="1">
        <v>1887.2917</v>
      </c>
      <c r="AA89" s="2">
        <f t="shared" si="13"/>
        <v>-0.73657399999999995</v>
      </c>
      <c r="AB89">
        <v>-36.828699999999998</v>
      </c>
      <c r="AE89">
        <v>1887.2499999999934</v>
      </c>
      <c r="AF89">
        <v>-1.0421659399052645E-2</v>
      </c>
    </row>
    <row r="90" spans="4:32" x14ac:dyDescent="0.35">
      <c r="D90">
        <v>-0.70742400000000005</v>
      </c>
      <c r="M90">
        <f t="shared" si="14"/>
        <v>89</v>
      </c>
      <c r="N90">
        <f t="shared" si="15"/>
        <v>1887.3333333333267</v>
      </c>
      <c r="O90">
        <f t="shared" si="10"/>
        <v>0</v>
      </c>
      <c r="P90">
        <f t="array" ref="P90">+SUM($G$2:$G$18*SIN(2*PI()*(N90)*$B$1/$F$2:$F$18+$H$2:$H$18))</f>
        <v>1.8441126594771984E-2</v>
      </c>
      <c r="Q90">
        <f t="shared" si="11"/>
        <v>0</v>
      </c>
      <c r="R90">
        <f t="shared" si="12"/>
        <v>9.7151554981326892E-3</v>
      </c>
      <c r="S90">
        <f t="array" ref="S90">+$B$2*SIN(R90*$B$3+$B$4)+0*R90+ SUM($J$2:$J$20*SIN(2*PI()*N90*$I$2:$I$20+$K$2:$K$20))</f>
        <v>-1.2541735487926342E-2</v>
      </c>
      <c r="U90" s="3">
        <f t="shared" si="8"/>
        <v>1887.3333333333267</v>
      </c>
      <c r="V90" s="3">
        <f t="shared" si="9"/>
        <v>0.269704</v>
      </c>
      <c r="Z90" s="1">
        <v>1887.375</v>
      </c>
      <c r="AA90" s="2">
        <f t="shared" si="13"/>
        <v>-0.60110999999999992</v>
      </c>
      <c r="AB90">
        <v>-30.055499999999999</v>
      </c>
      <c r="AE90">
        <v>1887.3333333333267</v>
      </c>
      <c r="AF90">
        <v>-1.2541735487926342E-2</v>
      </c>
    </row>
    <row r="91" spans="4:32" x14ac:dyDescent="0.35">
      <c r="D91">
        <v>-0.73657399999999995</v>
      </c>
      <c r="M91">
        <f t="shared" si="14"/>
        <v>90</v>
      </c>
      <c r="N91">
        <f t="shared" si="15"/>
        <v>1887.4166666666599</v>
      </c>
      <c r="O91">
        <f t="shared" si="10"/>
        <v>0</v>
      </c>
      <c r="P91">
        <f t="array" ref="P91">+SUM($G$2:$G$18*SIN(2*PI()*(N91)*$B$1/$F$2:$F$18+$H$2:$H$18))</f>
        <v>-7.6878519552388391E-2</v>
      </c>
      <c r="Q91">
        <f t="shared" si="11"/>
        <v>0</v>
      </c>
      <c r="R91">
        <f t="shared" si="12"/>
        <v>9.7002122198172978E-3</v>
      </c>
      <c r="S91">
        <f t="array" ref="S91">+$B$2*SIN(R91*$B$3+$B$4)+0*R91+ SUM($J$2:$J$20*SIN(2*PI()*N91*$I$2:$I$20+$K$2:$K$20))</f>
        <v>-1.4658451325866224E-2</v>
      </c>
      <c r="U91" s="3">
        <f t="shared" si="8"/>
        <v>1887.4166666666599</v>
      </c>
      <c r="V91" s="3">
        <f t="shared" si="9"/>
        <v>0.16675399999999999</v>
      </c>
      <c r="Z91" s="1">
        <v>1887.4583</v>
      </c>
      <c r="AA91" s="2">
        <f t="shared" si="13"/>
        <v>-0.1918</v>
      </c>
      <c r="AB91">
        <v>-9.59</v>
      </c>
      <c r="AE91">
        <v>1887.4166666666599</v>
      </c>
      <c r="AF91">
        <v>-1.4658451325866224E-2</v>
      </c>
    </row>
    <row r="92" spans="4:32" x14ac:dyDescent="0.35">
      <c r="D92">
        <v>-0.60110999999999992</v>
      </c>
      <c r="M92">
        <f t="shared" si="14"/>
        <v>91</v>
      </c>
      <c r="N92">
        <f t="shared" si="15"/>
        <v>1887.4999999999932</v>
      </c>
      <c r="O92">
        <f t="shared" si="10"/>
        <v>0</v>
      </c>
      <c r="P92">
        <f t="array" ref="P92">+SUM($G$2:$G$18*SIN(2*PI()*(N92)*$B$1/$F$2:$F$18+$H$2:$H$18))</f>
        <v>-0.35665631536222497</v>
      </c>
      <c r="Q92">
        <f t="shared" si="11"/>
        <v>0</v>
      </c>
      <c r="R92">
        <f t="shared" si="12"/>
        <v>9.6852919263699152E-3</v>
      </c>
      <c r="S92">
        <f t="array" ref="S92">+$B$2*SIN(R92*$B$3+$B$4)+0*R92+ SUM($J$2:$J$20*SIN(2*PI()*N92*$I$2:$I$20+$K$2:$K$20))</f>
        <v>-1.6771795681580975E-2</v>
      </c>
      <c r="U92" s="3">
        <f t="shared" si="8"/>
        <v>1887.4999999999932</v>
      </c>
      <c r="V92" s="3">
        <f t="shared" si="9"/>
        <v>0.20380400000000001</v>
      </c>
      <c r="Z92" s="1">
        <v>1887.5417</v>
      </c>
      <c r="AA92" s="2">
        <f t="shared" si="13"/>
        <v>-0.13326199999999999</v>
      </c>
      <c r="AB92">
        <v>-6.6631</v>
      </c>
      <c r="AE92">
        <v>1887.4999999999932</v>
      </c>
      <c r="AF92">
        <v>-1.6771795681580975E-2</v>
      </c>
    </row>
    <row r="93" spans="4:32" x14ac:dyDescent="0.35">
      <c r="D93">
        <v>-0.1918</v>
      </c>
      <c r="M93">
        <f t="shared" si="14"/>
        <v>92</v>
      </c>
      <c r="N93">
        <f t="shared" si="15"/>
        <v>1887.5833333333264</v>
      </c>
      <c r="O93">
        <f t="shared" si="10"/>
        <v>0</v>
      </c>
      <c r="P93">
        <f t="array" ref="P93">+SUM($G$2:$G$18*SIN(2*PI()*(N93)*$B$1/$F$2:$F$18+$H$2:$H$18))</f>
        <v>-0.20352466905164562</v>
      </c>
      <c r="Q93">
        <f t="shared" si="11"/>
        <v>0</v>
      </c>
      <c r="R93">
        <f t="shared" si="12"/>
        <v>9.6703945824365752E-3</v>
      </c>
      <c r="S93">
        <f t="array" ref="S93">+$B$2*SIN(R93*$B$3+$B$4)+0*R93+ SUM($J$2:$J$20*SIN(2*PI()*N93*$I$2:$I$20+$K$2:$K$20))</f>
        <v>-1.8881757469341259E-2</v>
      </c>
      <c r="U93" s="3">
        <f t="shared" si="8"/>
        <v>1887.5833333333264</v>
      </c>
      <c r="V93" s="3">
        <f t="shared" si="9"/>
        <v>0.39316200000000001</v>
      </c>
      <c r="Z93" s="1">
        <v>1887.625</v>
      </c>
      <c r="AA93" s="2">
        <f t="shared" si="13"/>
        <v>0.27296799999999999</v>
      </c>
      <c r="AB93">
        <v>13.648400000000001</v>
      </c>
      <c r="AE93">
        <v>1887.5833333333264</v>
      </c>
      <c r="AF93">
        <v>-1.8881757469341259E-2</v>
      </c>
    </row>
    <row r="94" spans="4:32" x14ac:dyDescent="0.35">
      <c r="D94">
        <v>-0.13326199999999999</v>
      </c>
      <c r="M94">
        <f t="shared" si="14"/>
        <v>93</v>
      </c>
      <c r="N94">
        <f t="shared" si="15"/>
        <v>1887.6666666666597</v>
      </c>
      <c r="O94">
        <f t="shared" si="10"/>
        <v>0</v>
      </c>
      <c r="P94">
        <f t="array" ref="P94">+SUM($G$2:$G$18*SIN(2*PI()*(N94)*$B$1/$F$2:$F$18+$H$2:$H$18))</f>
        <v>0.14009288946302745</v>
      </c>
      <c r="Q94">
        <f t="shared" si="11"/>
        <v>0</v>
      </c>
      <c r="R94">
        <f t="shared" si="12"/>
        <v>9.6555201527176917E-3</v>
      </c>
      <c r="S94">
        <f t="array" ref="S94">+$B$2*SIN(R94*$B$3+$B$4)+0*R94+ SUM($J$2:$J$20*SIN(2*PI()*N94*$I$2:$I$20+$K$2:$K$20))</f>
        <v>-2.0988325748128363E-2</v>
      </c>
      <c r="U94" s="3">
        <f t="shared" si="8"/>
        <v>1887.6666666666597</v>
      </c>
      <c r="V94" s="3">
        <f t="shared" si="9"/>
        <v>0.40405400000000002</v>
      </c>
      <c r="Z94" s="1">
        <v>1887.7083</v>
      </c>
      <c r="AA94" s="2">
        <f t="shared" si="13"/>
        <v>0.40535200000000005</v>
      </c>
      <c r="AB94">
        <v>20.267600000000002</v>
      </c>
      <c r="AE94">
        <v>1887.6666666666597</v>
      </c>
      <c r="AF94">
        <v>-2.0988325748128363E-2</v>
      </c>
    </row>
    <row r="95" spans="4:32" x14ac:dyDescent="0.35">
      <c r="D95">
        <v>0.27296799999999999</v>
      </c>
      <c r="M95">
        <f t="shared" si="14"/>
        <v>94</v>
      </c>
      <c r="N95">
        <f t="shared" si="15"/>
        <v>1887.749999999993</v>
      </c>
      <c r="O95">
        <f t="shared" si="10"/>
        <v>0</v>
      </c>
      <c r="P95">
        <f t="array" ref="P95">+SUM($G$2:$G$18*SIN(2*PI()*(N95)*$B$1/$F$2:$F$18+$H$2:$H$18))</f>
        <v>0.19746496677270223</v>
      </c>
      <c r="Q95">
        <f t="shared" si="11"/>
        <v>0</v>
      </c>
      <c r="R95">
        <f t="shared" si="12"/>
        <v>9.6406686019679718E-3</v>
      </c>
      <c r="S95">
        <f t="array" ref="S95">+$B$2*SIN(R95*$B$3+$B$4)+0*R95+ SUM($J$2:$J$20*SIN(2*PI()*N95*$I$2:$I$20+$K$2:$K$20))</f>
        <v>-2.3091489720784199E-2</v>
      </c>
      <c r="U95" s="3">
        <f t="shared" si="8"/>
        <v>1887.749999999993</v>
      </c>
      <c r="V95" s="3">
        <f t="shared" si="9"/>
        <v>0.41956400000000005</v>
      </c>
      <c r="Z95" s="1">
        <v>1887.7917</v>
      </c>
      <c r="AA95" s="2">
        <f t="shared" si="13"/>
        <v>0.20696200000000001</v>
      </c>
      <c r="AB95">
        <v>10.348100000000001</v>
      </c>
      <c r="AE95">
        <v>1887.749999999993</v>
      </c>
      <c r="AF95">
        <v>-2.3091489720784199E-2</v>
      </c>
    </row>
    <row r="96" spans="4:32" x14ac:dyDescent="0.35">
      <c r="D96">
        <v>0.40535200000000005</v>
      </c>
      <c r="M96">
        <f t="shared" si="14"/>
        <v>95</v>
      </c>
      <c r="N96">
        <f t="shared" si="15"/>
        <v>1887.8333333333262</v>
      </c>
      <c r="O96">
        <f t="shared" si="10"/>
        <v>0</v>
      </c>
      <c r="P96">
        <f t="array" ref="P96">+SUM($G$2:$G$18*SIN(2*PI()*(N96)*$B$1/$F$2:$F$18+$H$2:$H$18))</f>
        <v>0.10190898218579936</v>
      </c>
      <c r="Q96">
        <f t="shared" si="11"/>
        <v>0</v>
      </c>
      <c r="R96">
        <f t="shared" si="12"/>
        <v>9.6258398949963381E-3</v>
      </c>
      <c r="S96">
        <f t="array" ref="S96">+$B$2*SIN(R96*$B$3+$B$4)+0*R96+ SUM($J$2:$J$20*SIN(2*PI()*N96*$I$2:$I$20+$K$2:$K$20))</f>
        <v>-2.5191238733163583E-2</v>
      </c>
      <c r="U96" s="3">
        <f t="shared" si="8"/>
        <v>1887.8333333333262</v>
      </c>
      <c r="V96" s="3">
        <f t="shared" si="9"/>
        <v>0.16583999999999999</v>
      </c>
      <c r="Z96" s="1">
        <v>1887.875</v>
      </c>
      <c r="AA96" s="2">
        <f t="shared" si="13"/>
        <v>0.22242000000000001</v>
      </c>
      <c r="AB96">
        <v>11.121</v>
      </c>
      <c r="AE96">
        <v>1887.8333333333262</v>
      </c>
      <c r="AF96">
        <v>-2.5191238733163583E-2</v>
      </c>
    </row>
    <row r="97" spans="4:32" x14ac:dyDescent="0.35">
      <c r="D97">
        <v>0.20696200000000001</v>
      </c>
      <c r="M97">
        <f t="shared" si="14"/>
        <v>96</v>
      </c>
      <c r="N97">
        <f t="shared" si="15"/>
        <v>1887.9166666666595</v>
      </c>
      <c r="O97">
        <f t="shared" si="10"/>
        <v>0</v>
      </c>
      <c r="P97">
        <f t="array" ref="P97">+SUM($G$2:$G$18*SIN(2*PI()*(N97)*$B$1/$F$2:$F$18+$H$2:$H$18))</f>
        <v>-6.9703093176681483E-2</v>
      </c>
      <c r="Q97">
        <f t="shared" si="11"/>
        <v>0</v>
      </c>
      <c r="R97">
        <f t="shared" si="12"/>
        <v>9.6110339966658399E-3</v>
      </c>
      <c r="S97">
        <f t="array" ref="S97">+$B$2*SIN(R97*$B$3+$B$4)+0*R97+ SUM($J$2:$J$20*SIN(2*PI()*N97*$I$2:$I$20+$K$2:$K$20))</f>
        <v>-2.7287562273290242E-2</v>
      </c>
      <c r="U97" s="3">
        <f t="shared" si="8"/>
        <v>1887.9166666666595</v>
      </c>
      <c r="V97" s="3">
        <f t="shared" si="9"/>
        <v>1.2114E-2</v>
      </c>
      <c r="Z97" s="1">
        <v>1887.9583</v>
      </c>
      <c r="AA97" s="2">
        <f t="shared" si="13"/>
        <v>0.208646</v>
      </c>
      <c r="AB97">
        <v>10.4323</v>
      </c>
      <c r="AE97">
        <v>1887.9166666666595</v>
      </c>
      <c r="AF97">
        <v>-2.7287562273290242E-2</v>
      </c>
    </row>
    <row r="98" spans="4:32" x14ac:dyDescent="0.35">
      <c r="D98">
        <v>0.22242000000000001</v>
      </c>
      <c r="M98">
        <f t="shared" si="14"/>
        <v>97</v>
      </c>
      <c r="N98">
        <f t="shared" si="15"/>
        <v>1887.9999999999927</v>
      </c>
      <c r="O98">
        <f t="shared" si="10"/>
        <v>36.637715116165623</v>
      </c>
      <c r="P98">
        <f t="array" ref="P98">+SUM($G$2:$G$18*SIN(2*PI()*(N98)*$B$1/$F$2:$F$18+$H$2:$H$18))</f>
        <v>-0.10424225645314084</v>
      </c>
      <c r="Q98">
        <f t="shared" si="11"/>
        <v>-3.8191980949964512</v>
      </c>
      <c r="R98">
        <f t="shared" si="12"/>
        <v>3.7217859612582145E-3</v>
      </c>
      <c r="S98">
        <f t="array" ref="S98">+$B$2*SIN(R98*$B$3+$B$4)+0*R98+ SUM($J$2:$J$20*SIN(2*PI()*N98*$I$2:$I$20+$K$2:$K$20))</f>
        <v>-0.68542317425028654</v>
      </c>
      <c r="U98" s="3">
        <f t="shared" si="8"/>
        <v>1887.9999999999927</v>
      </c>
      <c r="V98" s="3">
        <f t="shared" si="9"/>
        <v>0.17992799999999998</v>
      </c>
      <c r="Z98" s="1">
        <v>1888.0417</v>
      </c>
      <c r="AA98" s="2">
        <f t="shared" si="13"/>
        <v>0.22564000000000001</v>
      </c>
      <c r="AB98">
        <v>11.282</v>
      </c>
      <c r="AE98">
        <v>1887.9999999999927</v>
      </c>
      <c r="AF98">
        <v>-0.68542317425028654</v>
      </c>
    </row>
    <row r="99" spans="4:32" x14ac:dyDescent="0.35">
      <c r="D99">
        <v>0.208646</v>
      </c>
      <c r="M99">
        <f t="shared" si="14"/>
        <v>98</v>
      </c>
      <c r="N99">
        <f t="shared" si="15"/>
        <v>1888.083333333326</v>
      </c>
      <c r="O99">
        <f t="shared" si="10"/>
        <v>0</v>
      </c>
      <c r="P99">
        <f t="array" ref="P99">+SUM($G$2:$G$18*SIN(2*PI()*(N99)*$B$1/$F$2:$F$18+$H$2:$H$18))</f>
        <v>0.13380693805495578</v>
      </c>
      <c r="Q99">
        <f t="shared" si="11"/>
        <v>0</v>
      </c>
      <c r="R99">
        <f t="shared" si="12"/>
        <v>3.7160613299375847E-3</v>
      </c>
      <c r="S99">
        <f t="array" ref="S99">+$B$2*SIN(R99*$B$3+$B$4)+0*R99+ SUM($J$2:$J$20*SIN(2*PI()*N99*$I$2:$I$20+$K$2:$K$20))</f>
        <v>-0.68575799945278215</v>
      </c>
      <c r="U99" s="3">
        <f t="shared" si="8"/>
        <v>1888.083333333326</v>
      </c>
      <c r="V99" s="3">
        <f t="shared" si="9"/>
        <v>0.21235600000000002</v>
      </c>
      <c r="Z99" s="1">
        <v>1888.125</v>
      </c>
      <c r="AA99" s="2">
        <f t="shared" si="13"/>
        <v>0.20263200000000001</v>
      </c>
      <c r="AB99">
        <v>10.131600000000001</v>
      </c>
      <c r="AE99">
        <v>1888.083333333326</v>
      </c>
      <c r="AF99">
        <v>-0.68575799945278215</v>
      </c>
    </row>
    <row r="100" spans="4:32" x14ac:dyDescent="0.35">
      <c r="D100">
        <v>0.22564000000000001</v>
      </c>
      <c r="M100">
        <f t="shared" si="14"/>
        <v>99</v>
      </c>
      <c r="N100">
        <f t="shared" si="15"/>
        <v>1888.1666666666592</v>
      </c>
      <c r="O100">
        <f t="shared" si="10"/>
        <v>0</v>
      </c>
      <c r="P100">
        <f t="array" ref="P100">+SUM($G$2:$G$18*SIN(2*PI()*(N100)*$B$1/$F$2:$F$18+$H$2:$H$18))</f>
        <v>0.11089208973571266</v>
      </c>
      <c r="Q100">
        <f t="shared" si="11"/>
        <v>0</v>
      </c>
      <c r="R100">
        <f t="shared" si="12"/>
        <v>3.7103455039066997E-3</v>
      </c>
      <c r="S100">
        <f t="array" ref="S100">+$B$2*SIN(R100*$B$3+$B$4)+0*R100+ SUM($J$2:$J$20*SIN(2*PI()*N100*$I$2:$I$20+$K$2:$K$20))</f>
        <v>-0.6860915153960494</v>
      </c>
      <c r="U100" s="3">
        <f t="shared" si="8"/>
        <v>1888.1666666666592</v>
      </c>
      <c r="V100" s="3">
        <f t="shared" si="9"/>
        <v>-0.33829799999999999</v>
      </c>
      <c r="Z100" s="1">
        <v>1888.2083</v>
      </c>
      <c r="AA100" s="2">
        <f t="shared" si="13"/>
        <v>-3.4222000000000002E-2</v>
      </c>
      <c r="AB100">
        <v>-1.7111000000000001</v>
      </c>
      <c r="AE100">
        <v>1888.1666666666592</v>
      </c>
      <c r="AF100">
        <v>-0.6860915153960494</v>
      </c>
    </row>
    <row r="101" spans="4:32" x14ac:dyDescent="0.35">
      <c r="D101">
        <v>0.20263200000000001</v>
      </c>
      <c r="M101">
        <f t="shared" si="14"/>
        <v>100</v>
      </c>
      <c r="N101">
        <f t="shared" si="15"/>
        <v>1888.2499999999925</v>
      </c>
      <c r="O101">
        <f t="shared" si="10"/>
        <v>0</v>
      </c>
      <c r="P101">
        <f t="array" ref="P101">+SUM($G$2:$G$18*SIN(2*PI()*(N101)*$B$1/$F$2:$F$18+$H$2:$H$18))</f>
        <v>-0.16653933276904478</v>
      </c>
      <c r="Q101">
        <f t="shared" si="11"/>
        <v>0</v>
      </c>
      <c r="R101">
        <f t="shared" si="12"/>
        <v>3.704638469621783E-3</v>
      </c>
      <c r="S101">
        <f t="array" ref="S101">+$B$2*SIN(R101*$B$3+$B$4)+0*R101+ SUM($J$2:$J$20*SIN(2*PI()*N101*$I$2:$I$20+$K$2:$K$20))</f>
        <v>-0.68642372615027902</v>
      </c>
      <c r="U101" s="3">
        <f t="shared" si="8"/>
        <v>1888.2499999999925</v>
      </c>
      <c r="V101" s="3">
        <f t="shared" si="9"/>
        <v>-0.62587199999999998</v>
      </c>
      <c r="Z101" s="1">
        <v>1888.2917</v>
      </c>
      <c r="AA101" s="2">
        <f t="shared" si="13"/>
        <v>-0.12646399999999999</v>
      </c>
      <c r="AB101">
        <v>-6.3231999999999999</v>
      </c>
      <c r="AE101">
        <v>1888.2499999999925</v>
      </c>
      <c r="AF101">
        <v>-0.68642372615027902</v>
      </c>
    </row>
    <row r="102" spans="4:32" x14ac:dyDescent="0.35">
      <c r="D102">
        <v>-3.4222000000000002E-2</v>
      </c>
      <c r="M102">
        <f t="shared" si="14"/>
        <v>101</v>
      </c>
      <c r="N102">
        <f t="shared" si="15"/>
        <v>1888.3333333333258</v>
      </c>
      <c r="O102">
        <f t="shared" si="10"/>
        <v>0</v>
      </c>
      <c r="P102">
        <f t="array" ref="P102">+SUM($G$2:$G$18*SIN(2*PI()*(N102)*$B$1/$F$2:$F$18+$H$2:$H$18))</f>
        <v>-0.10655958640044472</v>
      </c>
      <c r="Q102">
        <f t="shared" si="11"/>
        <v>0</v>
      </c>
      <c r="R102">
        <f t="shared" si="12"/>
        <v>3.6989402135598902E-3</v>
      </c>
      <c r="S102">
        <f t="array" ref="S102">+$B$2*SIN(R102*$B$3+$B$4)+0*R102+ SUM($J$2:$J$20*SIN(2*PI()*N102*$I$2:$I$20+$K$2:$K$20))</f>
        <v>-0.68675463577576668</v>
      </c>
      <c r="U102" s="3">
        <f t="shared" si="8"/>
        <v>1888.3333333333258</v>
      </c>
      <c r="V102" s="3">
        <f t="shared" si="9"/>
        <v>-0.91806399999999999</v>
      </c>
      <c r="Z102" s="1">
        <v>1888.375</v>
      </c>
      <c r="AA102" s="2">
        <f t="shared" si="13"/>
        <v>-0.35562800000000006</v>
      </c>
      <c r="AB102">
        <v>-17.781400000000001</v>
      </c>
      <c r="AE102">
        <v>1888.3333333333258</v>
      </c>
      <c r="AF102">
        <v>-0.68675463577576668</v>
      </c>
    </row>
    <row r="103" spans="4:32" x14ac:dyDescent="0.35">
      <c r="D103">
        <v>-0.12646399999999999</v>
      </c>
      <c r="M103">
        <f t="shared" si="14"/>
        <v>102</v>
      </c>
      <c r="N103">
        <f t="shared" si="15"/>
        <v>1888.416666666659</v>
      </c>
      <c r="O103">
        <f t="shared" si="10"/>
        <v>0</v>
      </c>
      <c r="P103">
        <f t="array" ref="P103">+SUM($G$2:$G$18*SIN(2*PI()*(N103)*$B$1/$F$2:$F$18+$H$2:$H$18))</f>
        <v>0.1681868088073139</v>
      </c>
      <c r="Q103">
        <f t="shared" si="11"/>
        <v>0</v>
      </c>
      <c r="R103">
        <f t="shared" si="12"/>
        <v>3.6932507222188775E-3</v>
      </c>
      <c r="S103">
        <f t="array" ref="S103">+$B$2*SIN(R103*$B$3+$B$4)+0*R103+ SUM($J$2:$J$20*SIN(2*PI()*N103*$I$2:$I$20+$K$2:$K$20))</f>
        <v>-0.68708424832292103</v>
      </c>
      <c r="U103" s="3">
        <f t="shared" si="8"/>
        <v>1888.416666666659</v>
      </c>
      <c r="V103" s="3">
        <f t="shared" si="9"/>
        <v>-0.85948800000000003</v>
      </c>
      <c r="Z103" s="1">
        <v>1888.4583</v>
      </c>
      <c r="AA103" s="2">
        <f t="shared" si="13"/>
        <v>-0.28325400000000001</v>
      </c>
      <c r="AB103">
        <v>-14.162699999999999</v>
      </c>
      <c r="AE103">
        <v>1888.416666666659</v>
      </c>
      <c r="AF103">
        <v>-0.68708424832292103</v>
      </c>
    </row>
    <row r="104" spans="4:32" x14ac:dyDescent="0.35">
      <c r="D104">
        <v>-0.35562800000000006</v>
      </c>
      <c r="M104">
        <f t="shared" si="14"/>
        <v>103</v>
      </c>
      <c r="N104">
        <f t="shared" si="15"/>
        <v>1888.4999999999923</v>
      </c>
      <c r="O104">
        <f t="shared" si="10"/>
        <v>0</v>
      </c>
      <c r="P104">
        <f t="array" ref="P104">+SUM($G$2:$G$18*SIN(2*PI()*(N104)*$B$1/$F$2:$F$18+$H$2:$H$18))</f>
        <v>0.35843447394724681</v>
      </c>
      <c r="Q104">
        <f t="shared" si="11"/>
        <v>0</v>
      </c>
      <c r="R104">
        <f t="shared" si="12"/>
        <v>3.6875699821173687E-3</v>
      </c>
      <c r="S104">
        <f t="array" ref="S104">+$B$2*SIN(R104*$B$3+$B$4)+0*R104+ SUM($J$2:$J$20*SIN(2*PI()*N104*$I$2:$I$20+$K$2:$K$20))</f>
        <v>-0.68741256783227345</v>
      </c>
      <c r="U104" s="3">
        <f t="shared" si="8"/>
        <v>1888.4999999999923</v>
      </c>
      <c r="V104" s="3">
        <f t="shared" si="9"/>
        <v>-0.77783600000000008</v>
      </c>
      <c r="Z104" s="1">
        <v>1888.5417</v>
      </c>
      <c r="AA104" s="2">
        <f t="shared" si="13"/>
        <v>-0.57242400000000004</v>
      </c>
      <c r="AB104">
        <v>-28.621200000000002</v>
      </c>
      <c r="AE104">
        <v>1888.4999999999923</v>
      </c>
      <c r="AF104">
        <v>-0.68741256783227345</v>
      </c>
    </row>
    <row r="105" spans="4:32" x14ac:dyDescent="0.35">
      <c r="D105">
        <v>-0.28325400000000001</v>
      </c>
      <c r="M105">
        <f t="shared" si="14"/>
        <v>104</v>
      </c>
      <c r="N105">
        <f t="shared" si="15"/>
        <v>1888.5833333333255</v>
      </c>
      <c r="O105">
        <f t="shared" si="10"/>
        <v>0</v>
      </c>
      <c r="P105">
        <f t="array" ref="P105">+SUM($G$2:$G$18*SIN(2*PI()*(N105)*$B$1/$F$2:$F$18+$H$2:$H$18))</f>
        <v>0.36026132743102957</v>
      </c>
      <c r="Q105">
        <f t="shared" si="11"/>
        <v>0</v>
      </c>
      <c r="R105">
        <f t="shared" si="12"/>
        <v>3.681897979794724E-3</v>
      </c>
      <c r="S105">
        <f t="array" ref="S105">+$B$2*SIN(R105*$B$3+$B$4)+0*R105+ SUM($J$2:$J$20*SIN(2*PI()*N105*$I$2:$I$20+$K$2:$K$20))</f>
        <v>-0.68773959833448628</v>
      </c>
      <c r="U105" s="3">
        <f t="shared" si="8"/>
        <v>1888.5833333333255</v>
      </c>
      <c r="V105" s="3">
        <f t="shared" si="9"/>
        <v>-0.60541400000000001</v>
      </c>
      <c r="Z105" s="1">
        <v>1888.625</v>
      </c>
      <c r="AA105" s="2">
        <f t="shared" si="13"/>
        <v>-0.27082200000000001</v>
      </c>
      <c r="AB105">
        <v>-13.5411</v>
      </c>
      <c r="AE105">
        <v>1888.5833333333255</v>
      </c>
      <c r="AF105">
        <v>-0.68773959833448628</v>
      </c>
    </row>
    <row r="106" spans="4:32" x14ac:dyDescent="0.35">
      <c r="D106">
        <v>-0.57242400000000004</v>
      </c>
      <c r="M106">
        <f t="shared" si="14"/>
        <v>105</v>
      </c>
      <c r="N106">
        <f t="shared" si="15"/>
        <v>1888.6666666666588</v>
      </c>
      <c r="O106">
        <f t="shared" si="10"/>
        <v>0</v>
      </c>
      <c r="P106">
        <f t="array" ref="P106">+SUM($G$2:$G$18*SIN(2*PI()*(N106)*$B$1/$F$2:$F$18+$H$2:$H$18))</f>
        <v>7.2049224634088527E-2</v>
      </c>
      <c r="Q106">
        <f t="shared" si="11"/>
        <v>0</v>
      </c>
      <c r="R106">
        <f t="shared" si="12"/>
        <v>3.6762347018110082E-3</v>
      </c>
      <c r="S106">
        <f t="array" ref="S106">+$B$2*SIN(R106*$B$3+$B$4)+0*R106+ SUM($J$2:$J$20*SIN(2*PI()*N106*$I$2:$I$20+$K$2:$K$20))</f>
        <v>-0.68806534385036322</v>
      </c>
      <c r="U106" s="3">
        <f t="shared" si="8"/>
        <v>1888.6666666666588</v>
      </c>
      <c r="V106" s="3">
        <f t="shared" si="9"/>
        <v>-0.60992000000000002</v>
      </c>
      <c r="Z106" s="1">
        <v>1888.7083</v>
      </c>
      <c r="AA106" s="2">
        <f t="shared" si="13"/>
        <v>-0.33999000000000001</v>
      </c>
      <c r="AB106">
        <v>-16.999500000000001</v>
      </c>
      <c r="AE106">
        <v>1888.6666666666588</v>
      </c>
      <c r="AF106">
        <v>-0.68806534385036322</v>
      </c>
    </row>
    <row r="107" spans="4:32" x14ac:dyDescent="0.35">
      <c r="D107">
        <v>-0.27082200000000001</v>
      </c>
      <c r="M107">
        <f t="shared" si="14"/>
        <v>106</v>
      </c>
      <c r="N107">
        <f t="shared" si="15"/>
        <v>1888.749999999992</v>
      </c>
      <c r="O107">
        <f t="shared" si="10"/>
        <v>0</v>
      </c>
      <c r="P107">
        <f t="array" ref="P107">+SUM($G$2:$G$18*SIN(2*PI()*(N107)*$B$1/$F$2:$F$18+$H$2:$H$18))</f>
        <v>-5.56361350124851E-3</v>
      </c>
      <c r="Q107">
        <f t="shared" si="11"/>
        <v>0</v>
      </c>
      <c r="R107">
        <f t="shared" si="12"/>
        <v>3.6705801347469585E-3</v>
      </c>
      <c r="S107">
        <f t="array" ref="S107">+$B$2*SIN(R107*$B$3+$B$4)+0*R107+ SUM($J$2:$J$20*SIN(2*PI()*N107*$I$2:$I$20+$K$2:$K$20))</f>
        <v>-0.68838980839085706</v>
      </c>
      <c r="U107" s="3">
        <f t="shared" si="8"/>
        <v>1888.749999999992</v>
      </c>
      <c r="V107" s="3">
        <f t="shared" si="9"/>
        <v>-0.568272</v>
      </c>
      <c r="Z107" s="1">
        <v>1888.7917</v>
      </c>
      <c r="AA107" s="2">
        <f t="shared" si="13"/>
        <v>-0.224546</v>
      </c>
      <c r="AB107">
        <v>-11.2273</v>
      </c>
      <c r="AE107">
        <v>1888.749999999992</v>
      </c>
      <c r="AF107">
        <v>-0.68838980839085706</v>
      </c>
    </row>
    <row r="108" spans="4:32" x14ac:dyDescent="0.35">
      <c r="D108">
        <v>-0.33999000000000001</v>
      </c>
      <c r="M108">
        <f t="shared" si="14"/>
        <v>107</v>
      </c>
      <c r="N108">
        <f t="shared" si="15"/>
        <v>1888.8333333333253</v>
      </c>
      <c r="O108">
        <f t="shared" si="10"/>
        <v>0</v>
      </c>
      <c r="P108">
        <f t="array" ref="P108">+SUM($G$2:$G$18*SIN(2*PI()*(N108)*$B$1/$F$2:$F$18+$H$2:$H$18))</f>
        <v>0.31733535770809596</v>
      </c>
      <c r="Q108">
        <f t="shared" si="11"/>
        <v>0</v>
      </c>
      <c r="R108">
        <f t="shared" si="12"/>
        <v>3.6649342652039529E-3</v>
      </c>
      <c r="S108">
        <f t="array" ref="S108">+$B$2*SIN(R108*$B$3+$B$4)+0*R108+ SUM($J$2:$J$20*SIN(2*PI()*N108*$I$2:$I$20+$K$2:$K$20))</f>
        <v>-0.6887129959570808</v>
      </c>
      <c r="U108" s="3">
        <f t="shared" si="8"/>
        <v>1888.8333333333253</v>
      </c>
      <c r="V108" s="3">
        <f t="shared" si="9"/>
        <v>-0.55123800000000001</v>
      </c>
      <c r="Z108" s="1">
        <v>1888.875</v>
      </c>
      <c r="AA108" s="2">
        <f t="shared" si="13"/>
        <v>-0.18756399999999998</v>
      </c>
      <c r="AB108">
        <v>-9.3781999999999996</v>
      </c>
      <c r="AE108">
        <v>1888.8333333333253</v>
      </c>
      <c r="AF108">
        <v>-0.6887129959570808</v>
      </c>
    </row>
    <row r="109" spans="4:32" x14ac:dyDescent="0.35">
      <c r="D109">
        <v>-0.224546</v>
      </c>
      <c r="M109">
        <f t="shared" si="14"/>
        <v>108</v>
      </c>
      <c r="N109">
        <f t="shared" si="15"/>
        <v>1888.9166666666586</v>
      </c>
      <c r="O109">
        <f t="shared" si="10"/>
        <v>0</v>
      </c>
      <c r="P109">
        <f t="array" ref="P109">+SUM($G$2:$G$18*SIN(2*PI()*(N109)*$B$1/$F$2:$F$18+$H$2:$H$18))</f>
        <v>0.2960602678920124</v>
      </c>
      <c r="Q109">
        <f t="shared" si="11"/>
        <v>0</v>
      </c>
      <c r="R109">
        <f t="shared" si="12"/>
        <v>3.6592970798039783E-3</v>
      </c>
      <c r="S109">
        <f t="array" ref="S109">+$B$2*SIN(R109*$B$3+$B$4)+0*R109+ SUM($J$2:$J$20*SIN(2*PI()*N109*$I$2:$I$20+$K$2:$K$20))</f>
        <v>-0.68903491054031574</v>
      </c>
      <c r="U109" s="3">
        <f t="shared" si="8"/>
        <v>1888.9166666666586</v>
      </c>
      <c r="V109" s="3">
        <f t="shared" si="9"/>
        <v>-0.32036200000000004</v>
      </c>
      <c r="Z109" s="1">
        <v>1888.9583</v>
      </c>
      <c r="AA109" s="2">
        <f t="shared" si="13"/>
        <v>-0.155198</v>
      </c>
      <c r="AB109">
        <v>-7.7599</v>
      </c>
      <c r="AE109">
        <v>1888.9166666666586</v>
      </c>
      <c r="AF109">
        <v>-0.68903491054031574</v>
      </c>
    </row>
    <row r="110" spans="4:32" x14ac:dyDescent="0.35">
      <c r="D110">
        <v>-0.18756399999999998</v>
      </c>
      <c r="M110">
        <f t="shared" si="14"/>
        <v>109</v>
      </c>
      <c r="N110">
        <f t="shared" si="15"/>
        <v>1888.9999999999918</v>
      </c>
      <c r="O110">
        <f t="shared" si="10"/>
        <v>36.637715116165623</v>
      </c>
      <c r="P110">
        <f t="array" ref="P110">+SUM($G$2:$G$18*SIN(2*PI()*(N110)*$B$1/$F$2:$F$18+$H$2:$H$18))</f>
        <v>-5.5833694369986753E-2</v>
      </c>
      <c r="Q110">
        <f t="shared" si="11"/>
        <v>-2.0456189882106353</v>
      </c>
      <c r="R110">
        <f t="shared" si="12"/>
        <v>5.0721827173239378E-4</v>
      </c>
      <c r="S110">
        <f t="array" ref="S110">+$B$2*SIN(R110*$B$3+$B$4)+0*R110+ SUM($J$2:$J$20*SIN(2*PI()*N110*$I$2:$I$20+$K$2:$K$20))</f>
        <v>-0.74071712213544816</v>
      </c>
      <c r="U110" s="3">
        <f t="shared" si="8"/>
        <v>1888.9999999999918</v>
      </c>
      <c r="V110" s="3">
        <f t="shared" si="9"/>
        <v>-0.37563999999999997</v>
      </c>
      <c r="Z110" s="1">
        <v>1889.0417</v>
      </c>
      <c r="AA110" s="2">
        <f t="shared" si="13"/>
        <v>7.9360000000000003E-3</v>
      </c>
      <c r="AB110">
        <v>0.39679999999999999</v>
      </c>
      <c r="AE110">
        <v>1888.9999999999918</v>
      </c>
      <c r="AF110">
        <v>-0.74071712213544816</v>
      </c>
    </row>
    <row r="111" spans="4:32" x14ac:dyDescent="0.35">
      <c r="D111">
        <v>-0.155198</v>
      </c>
      <c r="M111">
        <f t="shared" si="14"/>
        <v>110</v>
      </c>
      <c r="N111">
        <f t="shared" si="15"/>
        <v>1889.0833333333251</v>
      </c>
      <c r="O111">
        <f t="shared" si="10"/>
        <v>0</v>
      </c>
      <c r="P111">
        <f t="array" ref="P111">+SUM($G$2:$G$18*SIN(2*PI()*(N111)*$B$1/$F$2:$F$18+$H$2:$H$18))</f>
        <v>-6.3069579189582392E-2</v>
      </c>
      <c r="Q111">
        <f t="shared" si="11"/>
        <v>0</v>
      </c>
      <c r="R111">
        <f t="shared" si="12"/>
        <v>5.0643809854807303E-4</v>
      </c>
      <c r="S111">
        <f t="array" ref="S111">+$B$2*SIN(R111*$B$3+$B$4)+0*R111+ SUM($J$2:$J$20*SIN(2*PI()*N111*$I$2:$I$20+$K$2:$K$20))</f>
        <v>-0.74069744459035614</v>
      </c>
      <c r="U111" s="3">
        <f t="shared" si="8"/>
        <v>1889.0833333333251</v>
      </c>
      <c r="V111" s="3">
        <f t="shared" si="9"/>
        <v>-0.61399599999999999</v>
      </c>
      <c r="Z111" s="1">
        <v>1889.125</v>
      </c>
      <c r="AA111" s="2">
        <f t="shared" si="13"/>
        <v>5.7222000000000002E-2</v>
      </c>
      <c r="AB111">
        <v>2.8611</v>
      </c>
      <c r="AE111">
        <v>1889.0833333333251</v>
      </c>
      <c r="AF111">
        <v>-0.74069744459035614</v>
      </c>
    </row>
    <row r="112" spans="4:32" x14ac:dyDescent="0.35">
      <c r="D112">
        <v>7.9360000000000003E-3</v>
      </c>
      <c r="M112">
        <f t="shared" si="14"/>
        <v>111</v>
      </c>
      <c r="N112">
        <f t="shared" si="15"/>
        <v>1889.1666666666583</v>
      </c>
      <c r="O112">
        <f t="shared" si="10"/>
        <v>0</v>
      </c>
      <c r="P112">
        <f t="array" ref="P112">+SUM($G$2:$G$18*SIN(2*PI()*(N112)*$B$1/$F$2:$F$18+$H$2:$H$18))</f>
        <v>0.25363953379089077</v>
      </c>
      <c r="Q112">
        <f t="shared" si="11"/>
        <v>0</v>
      </c>
      <c r="R112">
        <f t="shared" si="12"/>
        <v>5.0565912538005984E-4</v>
      </c>
      <c r="S112">
        <f t="array" ref="S112">+$B$2*SIN(R112*$B$3+$B$4)+0*R112+ SUM($J$2:$J$20*SIN(2*PI()*N112*$I$2:$I$20+$K$2:$K$20))</f>
        <v>-0.7406777813784684</v>
      </c>
      <c r="U112" s="3">
        <f t="shared" si="8"/>
        <v>1889.1666666666583</v>
      </c>
      <c r="V112" s="3">
        <f t="shared" si="9"/>
        <v>-0.62466200000000005</v>
      </c>
      <c r="Z112" s="1">
        <v>1889.2083</v>
      </c>
      <c r="AA112" s="2">
        <f t="shared" si="13"/>
        <v>0.112662</v>
      </c>
      <c r="AB112">
        <v>5.6330999999999998</v>
      </c>
      <c r="AE112">
        <v>1889.1666666666583</v>
      </c>
      <c r="AF112">
        <v>-0.7406777813784684</v>
      </c>
    </row>
    <row r="113" spans="4:32" x14ac:dyDescent="0.35">
      <c r="D113">
        <v>5.7222000000000002E-2</v>
      </c>
      <c r="M113">
        <f t="shared" si="14"/>
        <v>112</v>
      </c>
      <c r="N113">
        <f t="shared" si="15"/>
        <v>1889.2499999999916</v>
      </c>
      <c r="O113">
        <f t="shared" si="10"/>
        <v>0</v>
      </c>
      <c r="P113">
        <f t="array" ref="P113">+SUM($G$2:$G$18*SIN(2*PI()*(N113)*$B$1/$F$2:$F$18+$H$2:$H$18))</f>
        <v>0.56135416585028375</v>
      </c>
      <c r="Q113">
        <f t="shared" si="11"/>
        <v>0</v>
      </c>
      <c r="R113">
        <f t="shared" si="12"/>
        <v>5.0488135038255987E-4</v>
      </c>
      <c r="S113">
        <f t="array" ref="S113">+$B$2*SIN(R113*$B$3+$B$4)+0*R113+ SUM($J$2:$J$20*SIN(2*PI()*N113*$I$2:$I$20+$K$2:$K$20))</f>
        <v>-0.74065813252713875</v>
      </c>
      <c r="U113" s="3">
        <f t="shared" si="8"/>
        <v>1889.2499999999916</v>
      </c>
      <c r="V113" s="3">
        <f t="shared" si="9"/>
        <v>-0.73532600000000004</v>
      </c>
      <c r="Z113" s="1">
        <v>1889.2917</v>
      </c>
      <c r="AA113" s="2">
        <f t="shared" si="13"/>
        <v>0.33271600000000001</v>
      </c>
      <c r="AB113">
        <v>16.6358</v>
      </c>
      <c r="AE113">
        <v>1889.2499999999916</v>
      </c>
      <c r="AF113">
        <v>-0.74065813252713875</v>
      </c>
    </row>
    <row r="114" spans="4:32" x14ac:dyDescent="0.35">
      <c r="D114">
        <v>0.112662</v>
      </c>
      <c r="M114">
        <f t="shared" si="14"/>
        <v>113</v>
      </c>
      <c r="N114">
        <f t="shared" si="15"/>
        <v>1889.3333333333248</v>
      </c>
      <c r="O114">
        <f t="shared" si="10"/>
        <v>0</v>
      </c>
      <c r="P114">
        <f t="array" ref="P114">+SUM($G$2:$G$18*SIN(2*PI()*(N114)*$B$1/$F$2:$F$18+$H$2:$H$18))</f>
        <v>0.48138929314707557</v>
      </c>
      <c r="Q114">
        <f t="shared" si="11"/>
        <v>0</v>
      </c>
      <c r="R114">
        <f t="shared" si="12"/>
        <v>5.0410477171261808E-4</v>
      </c>
      <c r="S114">
        <f t="array" ref="S114">+$B$2*SIN(R114*$B$3+$B$4)+0*R114+ SUM($J$2:$J$20*SIN(2*PI()*N114*$I$2:$I$20+$K$2:$K$20))</f>
        <v>-0.74063849806352555</v>
      </c>
      <c r="U114" s="3">
        <f t="shared" si="8"/>
        <v>1889.3333333333248</v>
      </c>
      <c r="V114" s="3">
        <f t="shared" si="9"/>
        <v>-0.91676199999999997</v>
      </c>
      <c r="Z114" s="1">
        <v>1889.375</v>
      </c>
      <c r="AA114" s="2">
        <f t="shared" si="13"/>
        <v>0.16353799999999999</v>
      </c>
      <c r="AB114">
        <v>8.1768999999999998</v>
      </c>
      <c r="AE114">
        <v>1889.3333333333248</v>
      </c>
      <c r="AF114">
        <v>-0.74063849806352555</v>
      </c>
    </row>
    <row r="115" spans="4:32" x14ac:dyDescent="0.35">
      <c r="D115">
        <v>0.33271600000000001</v>
      </c>
      <c r="M115">
        <f t="shared" si="14"/>
        <v>114</v>
      </c>
      <c r="N115">
        <f t="shared" si="15"/>
        <v>1889.4166666666581</v>
      </c>
      <c r="O115">
        <f t="shared" si="10"/>
        <v>0</v>
      </c>
      <c r="P115">
        <f t="array" ref="P115">+SUM($G$2:$G$18*SIN(2*PI()*(N115)*$B$1/$F$2:$F$18+$H$2:$H$18))</f>
        <v>2.0844301035523913E-2</v>
      </c>
      <c r="Q115">
        <f t="shared" si="11"/>
        <v>0</v>
      </c>
      <c r="R115">
        <f t="shared" si="12"/>
        <v>5.0332938753011407E-4</v>
      </c>
      <c r="S115">
        <f t="array" ref="S115">+$B$2*SIN(R115*$B$3+$B$4)+0*R115+ SUM($J$2:$J$20*SIN(2*PI()*N115*$I$2:$I$20+$K$2:$K$20))</f>
        <v>-0.74061887801459236</v>
      </c>
      <c r="U115" s="3">
        <f t="shared" si="8"/>
        <v>1889.4166666666581</v>
      </c>
      <c r="V115" s="3">
        <f t="shared" si="9"/>
        <v>-1.0658920000000001</v>
      </c>
      <c r="Z115" s="1">
        <v>1889.4583</v>
      </c>
      <c r="AA115" s="2">
        <f t="shared" si="13"/>
        <v>0.13128200000000001</v>
      </c>
      <c r="AB115">
        <v>6.5640999999999998</v>
      </c>
      <c r="AE115">
        <v>1889.4166666666581</v>
      </c>
      <c r="AF115">
        <v>-0.74061887801459236</v>
      </c>
    </row>
    <row r="116" spans="4:32" x14ac:dyDescent="0.35">
      <c r="D116">
        <v>0.16353799999999999</v>
      </c>
      <c r="M116">
        <f t="shared" si="14"/>
        <v>115</v>
      </c>
      <c r="N116">
        <f t="shared" si="15"/>
        <v>1889.4999999999914</v>
      </c>
      <c r="O116">
        <f t="shared" si="10"/>
        <v>0</v>
      </c>
      <c r="P116">
        <f t="array" ref="P116">+SUM($G$2:$G$18*SIN(2*PI()*(N116)*$B$1/$F$2:$F$18+$H$2:$H$18))</f>
        <v>1.3346751074214402E-2</v>
      </c>
      <c r="Q116">
        <f t="shared" si="11"/>
        <v>0</v>
      </c>
      <c r="R116">
        <f t="shared" si="12"/>
        <v>5.0255519599775786E-4</v>
      </c>
      <c r="S116">
        <f t="array" ref="S116">+$B$2*SIN(R116*$B$3+$B$4)+0*R116+ SUM($J$2:$J$20*SIN(2*PI()*N116*$I$2:$I$20+$K$2:$K$20))</f>
        <v>-0.74059927240710854</v>
      </c>
      <c r="U116" s="3">
        <f t="shared" si="8"/>
        <v>1889.4999999999914</v>
      </c>
      <c r="V116" s="3">
        <f t="shared" si="9"/>
        <v>-1.1196380000000001</v>
      </c>
      <c r="Z116" s="1">
        <v>1889.5417</v>
      </c>
      <c r="AA116" s="2">
        <f t="shared" si="13"/>
        <v>-4.7131999999999993E-2</v>
      </c>
      <c r="AB116">
        <v>-2.3565999999999998</v>
      </c>
      <c r="AE116">
        <v>1889.4999999999914</v>
      </c>
      <c r="AF116">
        <v>-0.74059927240710854</v>
      </c>
    </row>
    <row r="117" spans="4:32" x14ac:dyDescent="0.35">
      <c r="D117">
        <v>0.13128200000000001</v>
      </c>
      <c r="M117">
        <f t="shared" si="14"/>
        <v>116</v>
      </c>
      <c r="N117">
        <f t="shared" si="15"/>
        <v>1889.5833333333246</v>
      </c>
      <c r="O117">
        <f t="shared" si="10"/>
        <v>0</v>
      </c>
      <c r="P117">
        <f t="array" ref="P117">+SUM($G$2:$G$18*SIN(2*PI()*(N117)*$B$1/$F$2:$F$18+$H$2:$H$18))</f>
        <v>0.43859694086145584</v>
      </c>
      <c r="Q117">
        <f t="shared" si="11"/>
        <v>0</v>
      </c>
      <c r="R117">
        <f t="shared" si="12"/>
        <v>5.0178219528108545E-4</v>
      </c>
      <c r="S117">
        <f t="array" ref="S117">+$B$2*SIN(R117*$B$3+$B$4)+0*R117+ SUM($J$2:$J$20*SIN(2*PI()*N117*$I$2:$I$20+$K$2:$K$20))</f>
        <v>-0.74057968126765084</v>
      </c>
      <c r="U117" s="3">
        <f t="shared" si="8"/>
        <v>1889.5833333333246</v>
      </c>
      <c r="V117" s="3">
        <f t="shared" si="9"/>
        <v>-1.0256940000000001</v>
      </c>
      <c r="Z117" s="1">
        <v>1889.625</v>
      </c>
      <c r="AA117" s="2">
        <f t="shared" si="13"/>
        <v>3.6880000000000003E-3</v>
      </c>
      <c r="AB117">
        <v>0.18440000000000001</v>
      </c>
      <c r="AE117">
        <v>1889.5833333333246</v>
      </c>
      <c r="AF117">
        <v>-0.74057968126765084</v>
      </c>
    </row>
    <row r="118" spans="4:32" x14ac:dyDescent="0.35">
      <c r="D118">
        <v>-4.7131999999999993E-2</v>
      </c>
      <c r="M118">
        <f t="shared" si="14"/>
        <v>117</v>
      </c>
      <c r="N118">
        <f t="shared" si="15"/>
        <v>1889.6666666666579</v>
      </c>
      <c r="O118">
        <f t="shared" si="10"/>
        <v>0</v>
      </c>
      <c r="P118">
        <f t="array" ref="P118">+SUM($G$2:$G$18*SIN(2*PI()*(N118)*$B$1/$F$2:$F$18+$H$2:$H$18))</f>
        <v>0.30504926105560587</v>
      </c>
      <c r="Q118">
        <f t="shared" si="11"/>
        <v>0</v>
      </c>
      <c r="R118">
        <f t="shared" si="12"/>
        <v>5.0101038354845447E-4</v>
      </c>
      <c r="S118">
        <f t="array" ref="S118">+$B$2*SIN(R118*$B$3+$B$4)+0*R118+ SUM($J$2:$J$20*SIN(2*PI()*N118*$I$2:$I$20+$K$2:$K$20))</f>
        <v>-0.74056010462260302</v>
      </c>
      <c r="U118" s="3">
        <f t="shared" si="8"/>
        <v>1889.6666666666579</v>
      </c>
      <c r="V118" s="3">
        <f t="shared" si="9"/>
        <v>-0.896366</v>
      </c>
      <c r="Z118" s="1">
        <v>1889.7083</v>
      </c>
      <c r="AA118" s="2">
        <f t="shared" si="13"/>
        <v>-0.445494</v>
      </c>
      <c r="AB118">
        <v>-22.274699999999999</v>
      </c>
      <c r="AE118">
        <v>1889.6666666666579</v>
      </c>
      <c r="AF118">
        <v>-0.74056010462260302</v>
      </c>
    </row>
    <row r="119" spans="4:32" x14ac:dyDescent="0.35">
      <c r="D119">
        <v>3.6880000000000003E-3</v>
      </c>
      <c r="M119">
        <f t="shared" si="14"/>
        <v>118</v>
      </c>
      <c r="N119">
        <f t="shared" si="15"/>
        <v>1889.7499999999911</v>
      </c>
      <c r="O119">
        <f t="shared" si="10"/>
        <v>0</v>
      </c>
      <c r="P119">
        <f t="array" ref="P119">+SUM($G$2:$G$18*SIN(2*PI()*(N119)*$B$1/$F$2:$F$18+$H$2:$H$18))</f>
        <v>-0.17434195999396884</v>
      </c>
      <c r="Q119">
        <f t="shared" si="11"/>
        <v>0</v>
      </c>
      <c r="R119">
        <f t="shared" si="12"/>
        <v>5.0023975897103986E-4</v>
      </c>
      <c r="S119">
        <f t="array" ref="S119">+$B$2*SIN(R119*$B$3+$B$4)+0*R119+ SUM($J$2:$J$20*SIN(2*PI()*N119*$I$2:$I$20+$K$2:$K$20))</f>
        <v>-0.74054054249815737</v>
      </c>
      <c r="U119" s="3">
        <f t="shared" si="8"/>
        <v>1889.7499999999911</v>
      </c>
      <c r="V119" s="3">
        <f t="shared" si="9"/>
        <v>-0.85011399999999993</v>
      </c>
      <c r="Z119" s="1">
        <v>1889.7917</v>
      </c>
      <c r="AA119" s="2">
        <f t="shared" si="13"/>
        <v>-0.42852600000000002</v>
      </c>
      <c r="AB119">
        <v>-21.426300000000001</v>
      </c>
      <c r="AE119">
        <v>1889.7499999999911</v>
      </c>
      <c r="AF119">
        <v>-0.74054054249815737</v>
      </c>
    </row>
    <row r="120" spans="4:32" x14ac:dyDescent="0.35">
      <c r="D120">
        <v>-0.445494</v>
      </c>
      <c r="M120">
        <f t="shared" si="14"/>
        <v>119</v>
      </c>
      <c r="N120">
        <f t="shared" si="15"/>
        <v>1889.8333333333244</v>
      </c>
      <c r="O120">
        <f t="shared" si="10"/>
        <v>0</v>
      </c>
      <c r="P120">
        <f t="array" ref="P120">+SUM($G$2:$G$18*SIN(2*PI()*(N120)*$B$1/$F$2:$F$18+$H$2:$H$18))</f>
        <v>-0.1513690296240533</v>
      </c>
      <c r="Q120">
        <f t="shared" si="11"/>
        <v>0</v>
      </c>
      <c r="R120">
        <f t="shared" si="12"/>
        <v>4.9947031972282961E-4</v>
      </c>
      <c r="S120">
        <f t="array" ref="S120">+$B$2*SIN(R120*$B$3+$B$4)+0*R120+ SUM($J$2:$J$20*SIN(2*PI()*N120*$I$2:$I$20+$K$2:$K$20))</f>
        <v>-0.7405209949203152</v>
      </c>
      <c r="U120" s="3">
        <f t="shared" si="8"/>
        <v>1889.8333333333244</v>
      </c>
      <c r="V120" s="3">
        <f t="shared" si="9"/>
        <v>-0.85463399999999989</v>
      </c>
      <c r="Z120" s="1">
        <v>1889.875</v>
      </c>
      <c r="AA120" s="2">
        <f t="shared" si="13"/>
        <v>-0.50848000000000004</v>
      </c>
      <c r="AB120">
        <v>-25.423999999999999</v>
      </c>
      <c r="AE120">
        <v>1889.8333333333244</v>
      </c>
      <c r="AF120">
        <v>-0.7405209949203152</v>
      </c>
    </row>
    <row r="121" spans="4:32" x14ac:dyDescent="0.35">
      <c r="D121">
        <v>-0.42852600000000002</v>
      </c>
      <c r="M121">
        <f t="shared" si="14"/>
        <v>120</v>
      </c>
      <c r="N121">
        <f t="shared" si="15"/>
        <v>1889.9166666666576</v>
      </c>
      <c r="O121">
        <f t="shared" si="10"/>
        <v>0</v>
      </c>
      <c r="P121">
        <f t="array" ref="P121">+SUM($G$2:$G$18*SIN(2*PI()*(N121)*$B$1/$F$2:$F$18+$H$2:$H$18))</f>
        <v>0.30996465801139084</v>
      </c>
      <c r="Q121">
        <f t="shared" si="11"/>
        <v>0</v>
      </c>
      <c r="R121">
        <f t="shared" si="12"/>
        <v>4.9870206398062035E-4</v>
      </c>
      <c r="S121">
        <f t="array" ref="S121">+$B$2*SIN(R121*$B$3+$B$4)+0*R121+ SUM($J$2:$J$20*SIN(2*PI()*N121*$I$2:$I$20+$K$2:$K$20))</f>
        <v>-0.74050146191488797</v>
      </c>
      <c r="U121" s="3">
        <f t="shared" si="8"/>
        <v>1889.9166666666576</v>
      </c>
      <c r="V121" s="3">
        <f t="shared" si="9"/>
        <v>-1.0037720000000001</v>
      </c>
      <c r="Z121" s="1">
        <v>1889.9583</v>
      </c>
      <c r="AA121" s="2">
        <f t="shared" si="13"/>
        <v>-0.22074200000000002</v>
      </c>
      <c r="AB121">
        <v>-11.037100000000001</v>
      </c>
      <c r="AE121">
        <v>1889.9166666666576</v>
      </c>
      <c r="AF121">
        <v>-0.74050146191488797</v>
      </c>
    </row>
    <row r="122" spans="4:32" x14ac:dyDescent="0.35">
      <c r="D122">
        <v>-0.50848000000000004</v>
      </c>
      <c r="M122">
        <f t="shared" si="14"/>
        <v>121</v>
      </c>
      <c r="N122">
        <f t="shared" si="15"/>
        <v>1889.9999999999909</v>
      </c>
      <c r="O122">
        <f t="shared" si="10"/>
        <v>36.637715116165623</v>
      </c>
      <c r="P122">
        <f t="array" ref="P122">+SUM($G$2:$G$18*SIN(2*PI()*(N122)*$B$1/$F$2:$F$18+$H$2:$H$18))</f>
        <v>0.62777685005804984</v>
      </c>
      <c r="Q122">
        <f t="shared" si="11"/>
        <v>23.000309388950651</v>
      </c>
      <c r="R122">
        <f t="shared" si="12"/>
        <v>3.5875652269413062E-2</v>
      </c>
      <c r="S122">
        <f t="array" ref="S122">+$B$2*SIN(R122*$B$3+$B$4)+0*R122+ SUM($J$2:$J$20*SIN(2*PI()*N122*$I$2:$I$20+$K$2:$K$20))</f>
        <v>-0.73851446006103028</v>
      </c>
      <c r="U122" s="3">
        <f t="shared" si="8"/>
        <v>1889.9999999999909</v>
      </c>
      <c r="V122" s="3">
        <f t="shared" si="9"/>
        <v>-1.3467560000000001</v>
      </c>
      <c r="Z122" s="1">
        <v>1890.0417</v>
      </c>
      <c r="AA122" s="2">
        <f t="shared" si="13"/>
        <v>-7.1470000000000006E-2</v>
      </c>
      <c r="AB122">
        <v>-3.5735000000000001</v>
      </c>
      <c r="AE122">
        <v>1889.9999999999909</v>
      </c>
      <c r="AF122">
        <v>-0.73851446006103028</v>
      </c>
    </row>
    <row r="123" spans="4:32" x14ac:dyDescent="0.35">
      <c r="D123">
        <v>-0.22074200000000002</v>
      </c>
      <c r="M123">
        <f t="shared" si="14"/>
        <v>122</v>
      </c>
      <c r="N123">
        <f t="shared" si="15"/>
        <v>1890.0833333333242</v>
      </c>
      <c r="O123">
        <f t="shared" si="10"/>
        <v>0</v>
      </c>
      <c r="P123">
        <f t="array" ref="P123">+SUM($G$2:$G$18*SIN(2*PI()*(N123)*$B$1/$F$2:$F$18+$H$2:$H$18))</f>
        <v>0.27949615738456801</v>
      </c>
      <c r="Q123">
        <f t="shared" si="11"/>
        <v>0</v>
      </c>
      <c r="R123">
        <f t="shared" si="12"/>
        <v>3.5820470460258172E-2</v>
      </c>
      <c r="S123">
        <f t="array" ref="S123">+$B$2*SIN(R123*$B$3+$B$4)+0*R123+ SUM($J$2:$J$20*SIN(2*PI()*N123*$I$2:$I$20+$K$2:$K$20))</f>
        <v>-0.73998687987286393</v>
      </c>
      <c r="U123" s="3">
        <f t="shared" ref="U123:U186" si="16">+N123</f>
        <v>1890.0833333333242</v>
      </c>
      <c r="V123" s="3">
        <f t="shared" ref="V123:V186" si="17">+D81</f>
        <v>-1.3497399999999999</v>
      </c>
      <c r="Z123" s="1">
        <v>1890.125</v>
      </c>
      <c r="AA123" s="2">
        <f t="shared" si="13"/>
        <v>-0.10680999999999999</v>
      </c>
      <c r="AB123">
        <v>-5.3404999999999996</v>
      </c>
      <c r="AE123">
        <v>1890.0833333333242</v>
      </c>
      <c r="AF123">
        <v>-0.73998687987286393</v>
      </c>
    </row>
    <row r="124" spans="4:32" x14ac:dyDescent="0.35">
      <c r="D124">
        <v>-7.1470000000000006E-2</v>
      </c>
      <c r="M124">
        <f t="shared" si="14"/>
        <v>123</v>
      </c>
      <c r="N124">
        <f t="shared" si="15"/>
        <v>1890.1666666666574</v>
      </c>
      <c r="O124">
        <f t="shared" si="10"/>
        <v>0</v>
      </c>
      <c r="P124">
        <f t="array" ref="P124">+SUM($G$2:$G$18*SIN(2*PI()*(N124)*$B$1/$F$2:$F$18+$H$2:$H$18))</f>
        <v>-0.31475544524092119</v>
      </c>
      <c r="Q124">
        <f t="shared" si="11"/>
        <v>0</v>
      </c>
      <c r="R124">
        <f t="shared" si="12"/>
        <v>3.5765373528502543E-2</v>
      </c>
      <c r="S124">
        <f t="array" ref="S124">+$B$2*SIN(R124*$B$3+$B$4)+0*R124+ SUM($J$2:$J$20*SIN(2*PI()*N124*$I$2:$I$20+$K$2:$K$20))</f>
        <v>-0.74137739998642793</v>
      </c>
      <c r="U124" s="3">
        <f t="shared" si="16"/>
        <v>1890.1666666666574</v>
      </c>
      <c r="V124" s="3">
        <f t="shared" si="17"/>
        <v>-1.6250340000000001</v>
      </c>
      <c r="Z124" s="1">
        <v>1890.2083</v>
      </c>
      <c r="AA124" s="2">
        <f t="shared" si="13"/>
        <v>-0.19446200000000002</v>
      </c>
      <c r="AB124">
        <v>-9.7231000000000005</v>
      </c>
      <c r="AE124">
        <v>1890.1666666666574</v>
      </c>
      <c r="AF124">
        <v>-0.74137739998642793</v>
      </c>
    </row>
    <row r="125" spans="4:32" x14ac:dyDescent="0.35">
      <c r="D125">
        <v>-0.10680999999999999</v>
      </c>
      <c r="M125">
        <f t="shared" si="14"/>
        <v>124</v>
      </c>
      <c r="N125">
        <f t="shared" si="15"/>
        <v>1890.2499999999907</v>
      </c>
      <c r="O125">
        <f t="shared" si="10"/>
        <v>0</v>
      </c>
      <c r="P125">
        <f t="array" ref="P125">+SUM($G$2:$G$18*SIN(2*PI()*(N125)*$B$1/$F$2:$F$18+$H$2:$H$18))</f>
        <v>-0.10197020131459145</v>
      </c>
      <c r="Q125">
        <f t="shared" si="11"/>
        <v>0</v>
      </c>
      <c r="R125">
        <f t="shared" si="12"/>
        <v>3.5710361343592782E-2</v>
      </c>
      <c r="S125">
        <f t="array" ref="S125">+$B$2*SIN(R125*$B$3+$B$4)+0*R125+ SUM($J$2:$J$20*SIN(2*PI()*N125*$I$2:$I$20+$K$2:$K$20))</f>
        <v>-0.74268624197604927</v>
      </c>
      <c r="U125" s="3">
        <f t="shared" si="16"/>
        <v>1890.2499999999907</v>
      </c>
      <c r="V125" s="3">
        <f t="shared" si="17"/>
        <v>-1.9249440000000002</v>
      </c>
      <c r="Z125" s="1">
        <v>1890.2917</v>
      </c>
      <c r="AA125" s="2">
        <f t="shared" si="13"/>
        <v>-0.10519199999999999</v>
      </c>
      <c r="AB125">
        <v>-5.2595999999999998</v>
      </c>
      <c r="AE125">
        <v>1890.2499999999907</v>
      </c>
      <c r="AF125">
        <v>-0.74268624197604927</v>
      </c>
    </row>
    <row r="126" spans="4:32" x14ac:dyDescent="0.35">
      <c r="D126">
        <v>-0.19446200000000002</v>
      </c>
      <c r="M126">
        <f t="shared" si="14"/>
        <v>125</v>
      </c>
      <c r="N126">
        <f t="shared" si="15"/>
        <v>1890.3333333333239</v>
      </c>
      <c r="O126">
        <f t="shared" si="10"/>
        <v>0</v>
      </c>
      <c r="P126">
        <f t="array" ref="P126">+SUM($G$2:$G$18*SIN(2*PI()*(N126)*$B$1/$F$2:$F$18+$H$2:$H$18))</f>
        <v>0.42103481837148071</v>
      </c>
      <c r="Q126">
        <f t="shared" si="11"/>
        <v>0</v>
      </c>
      <c r="R126">
        <f t="shared" si="12"/>
        <v>3.5655433775176291E-2</v>
      </c>
      <c r="S126">
        <f t="array" ref="S126">+$B$2*SIN(R126*$B$3+$B$4)+0*R126+ SUM($J$2:$J$20*SIN(2*PI()*N126*$I$2:$I$20+$K$2:$K$20))</f>
        <v>-0.74391363597595994</v>
      </c>
      <c r="U126" s="3">
        <f t="shared" si="16"/>
        <v>1890.3333333333239</v>
      </c>
      <c r="V126" s="3">
        <f t="shared" si="17"/>
        <v>-1.577162</v>
      </c>
      <c r="Z126" s="1">
        <v>1890.375</v>
      </c>
      <c r="AA126" s="2">
        <f t="shared" si="13"/>
        <v>4.078E-3</v>
      </c>
      <c r="AB126">
        <v>0.2039</v>
      </c>
      <c r="AE126">
        <v>1890.3333333333239</v>
      </c>
      <c r="AF126">
        <v>-0.74391363597595994</v>
      </c>
    </row>
    <row r="127" spans="4:32" x14ac:dyDescent="0.35">
      <c r="D127">
        <v>-0.10519199999999999</v>
      </c>
      <c r="M127">
        <f t="shared" si="14"/>
        <v>126</v>
      </c>
      <c r="N127">
        <f t="shared" si="15"/>
        <v>1890.4166666666572</v>
      </c>
      <c r="O127">
        <f t="shared" si="10"/>
        <v>0</v>
      </c>
      <c r="P127">
        <f t="array" ref="P127">+SUM($G$2:$G$18*SIN(2*PI()*(N127)*$B$1/$F$2:$F$18+$H$2:$H$18))</f>
        <v>9.6984725639529978E-2</v>
      </c>
      <c r="Q127">
        <f t="shared" si="11"/>
        <v>0</v>
      </c>
      <c r="R127">
        <f t="shared" si="12"/>
        <v>3.5600590693100981E-2</v>
      </c>
      <c r="S127">
        <f t="array" ref="S127">+$B$2*SIN(R127*$B$3+$B$4)+0*R127+ SUM($J$2:$J$20*SIN(2*PI()*N127*$I$2:$I$20+$K$2:$K$20))</f>
        <v>-0.74505982056011766</v>
      </c>
      <c r="U127" s="3">
        <f t="shared" si="16"/>
        <v>1890.4166666666572</v>
      </c>
      <c r="V127" s="3">
        <f t="shared" si="17"/>
        <v>-1.215538</v>
      </c>
      <c r="Z127" s="1">
        <v>1890.4583</v>
      </c>
      <c r="AA127" s="2">
        <f t="shared" si="13"/>
        <v>3.7961999999999996E-2</v>
      </c>
      <c r="AB127">
        <v>1.8980999999999999</v>
      </c>
      <c r="AE127">
        <v>1890.4166666666572</v>
      </c>
      <c r="AF127">
        <v>-0.74505982056011766</v>
      </c>
    </row>
    <row r="128" spans="4:32" x14ac:dyDescent="0.35">
      <c r="D128">
        <v>4.078E-3</v>
      </c>
      <c r="M128">
        <f t="shared" si="14"/>
        <v>127</v>
      </c>
      <c r="N128">
        <f t="shared" si="15"/>
        <v>1890.4999999999905</v>
      </c>
      <c r="O128">
        <f t="shared" si="10"/>
        <v>0</v>
      </c>
      <c r="P128">
        <f t="array" ref="P128">+SUM($G$2:$G$18*SIN(2*PI()*(N128)*$B$1/$F$2:$F$18+$H$2:$H$18))</f>
        <v>-0.48562326556740215</v>
      </c>
      <c r="Q128">
        <f t="shared" si="11"/>
        <v>0</v>
      </c>
      <c r="R128">
        <f t="shared" si="12"/>
        <v>3.5545831967414954E-2</v>
      </c>
      <c r="S128">
        <f t="array" ref="S128">+$B$2*SIN(R128*$B$3+$B$4)+0*R128+ SUM($J$2:$J$20*SIN(2*PI()*N128*$I$2:$I$20+$K$2:$K$20))</f>
        <v>-0.74612504262211743</v>
      </c>
      <c r="U128" s="3">
        <f t="shared" si="16"/>
        <v>1890.4999999999905</v>
      </c>
      <c r="V128" s="3">
        <f t="shared" si="17"/>
        <v>-1.0708360000000001</v>
      </c>
      <c r="Z128" s="1">
        <v>1890.5417</v>
      </c>
      <c r="AA128" s="2">
        <f t="shared" si="13"/>
        <v>0.18568999999999999</v>
      </c>
      <c r="AB128">
        <v>9.2844999999999995</v>
      </c>
      <c r="AE128">
        <v>1890.4999999999905</v>
      </c>
      <c r="AF128">
        <v>-0.74612504262211743</v>
      </c>
    </row>
    <row r="129" spans="4:32" x14ac:dyDescent="0.35">
      <c r="D129">
        <v>3.7961999999999996E-2</v>
      </c>
      <c r="M129">
        <f t="shared" si="14"/>
        <v>128</v>
      </c>
      <c r="N129">
        <f t="shared" si="15"/>
        <v>1890.5833333333237</v>
      </c>
      <c r="O129">
        <f t="shared" si="10"/>
        <v>0</v>
      </c>
      <c r="P129">
        <f t="array" ref="P129">+SUM($G$2:$G$18*SIN(2*PI()*(N129)*$B$1/$F$2:$F$18+$H$2:$H$18))</f>
        <v>-0.32688850701351868</v>
      </c>
      <c r="Q129">
        <f t="shared" si="11"/>
        <v>0</v>
      </c>
      <c r="R129">
        <f t="shared" si="12"/>
        <v>3.5491157468366195E-2</v>
      </c>
      <c r="S129">
        <f t="array" ref="S129">+$B$2*SIN(R129*$B$3+$B$4)+0*R129+ SUM($J$2:$J$20*SIN(2*PI()*N129*$I$2:$I$20+$K$2:$K$20))</f>
        <v>-0.74710955725522454</v>
      </c>
      <c r="U129" s="3">
        <f t="shared" si="16"/>
        <v>1890.5833333333237</v>
      </c>
      <c r="V129" s="3">
        <f t="shared" si="17"/>
        <v>-0.83844200000000002</v>
      </c>
      <c r="Z129" s="1">
        <v>1890.625</v>
      </c>
      <c r="AA129" s="2">
        <f t="shared" si="13"/>
        <v>2.7264E-2</v>
      </c>
      <c r="AB129">
        <v>1.3632</v>
      </c>
      <c r="AE129">
        <v>1890.5833333333237</v>
      </c>
      <c r="AF129">
        <v>-0.74710955725522454</v>
      </c>
    </row>
    <row r="130" spans="4:32" x14ac:dyDescent="0.35">
      <c r="D130">
        <v>0.18568999999999999</v>
      </c>
      <c r="M130">
        <f t="shared" si="14"/>
        <v>129</v>
      </c>
      <c r="N130">
        <f t="shared" si="15"/>
        <v>1890.666666666657</v>
      </c>
      <c r="O130">
        <f t="shared" ref="O130:O193" si="18">+IF(MOD(M130,$B$5)=1, $B$6, 0)</f>
        <v>0</v>
      </c>
      <c r="P130">
        <f t="array" ref="P130">+SUM($G$2:$G$18*SIN(2*PI()*(N130)*$B$1/$F$2:$F$18+$H$2:$H$18))</f>
        <v>0.30177008727382115</v>
      </c>
      <c r="Q130">
        <f t="shared" si="11"/>
        <v>0</v>
      </c>
      <c r="R130">
        <f t="shared" si="12"/>
        <v>3.5436567066402261E-2</v>
      </c>
      <c r="S130">
        <f t="array" ref="S130">+$B$2*SIN(R130*$B$3+$B$4)+0*R130+ SUM($J$2:$J$20*SIN(2*PI()*N130*$I$2:$I$20+$K$2:$K$20))</f>
        <v>-0.74801362763253998</v>
      </c>
      <c r="U130" s="3">
        <f t="shared" si="16"/>
        <v>1890.666666666657</v>
      </c>
      <c r="V130" s="3">
        <f t="shared" si="17"/>
        <v>-0.68912800000000007</v>
      </c>
      <c r="Z130" s="1">
        <v>1890.7083</v>
      </c>
      <c r="AA130" s="2">
        <f t="shared" si="13"/>
        <v>0.11960800000000001</v>
      </c>
      <c r="AB130">
        <v>5.9804000000000004</v>
      </c>
      <c r="AE130">
        <v>1890.666666666657</v>
      </c>
      <c r="AF130">
        <v>-0.74801362763253998</v>
      </c>
    </row>
    <row r="131" spans="4:32" x14ac:dyDescent="0.35">
      <c r="D131">
        <v>2.7264E-2</v>
      </c>
      <c r="M131">
        <f t="shared" si="14"/>
        <v>130</v>
      </c>
      <c r="N131">
        <f t="shared" si="15"/>
        <v>1890.7499999999902</v>
      </c>
      <c r="O131">
        <f t="shared" si="18"/>
        <v>0</v>
      </c>
      <c r="P131">
        <f t="array" ref="P131">+SUM($G$2:$G$18*SIN(2*PI()*(N131)*$B$1/$F$2:$F$18+$H$2:$H$18))</f>
        <v>0.49724573225550639</v>
      </c>
      <c r="Q131">
        <f t="shared" ref="Q131:Q194" si="19">+O131*P131</f>
        <v>0</v>
      </c>
      <c r="R131">
        <f t="shared" ref="R131:R194" si="20">+(1-$B$7)*R130+($B$7)*Q131</f>
        <v>3.5382060632169983E-2</v>
      </c>
      <c r="S131">
        <f t="array" ref="S131">+$B$2*SIN(R131*$B$3+$B$4)+0*R131+ SUM($J$2:$J$20*SIN(2*PI()*N131*$I$2:$I$20+$K$2:$K$20))</f>
        <v>-0.74883752488732847</v>
      </c>
      <c r="U131" s="3">
        <f t="shared" si="16"/>
        <v>1890.7499999999902</v>
      </c>
      <c r="V131" s="3">
        <f t="shared" si="17"/>
        <v>-0.70443</v>
      </c>
      <c r="Z131" s="1">
        <v>1890.7917</v>
      </c>
      <c r="AA131" s="2">
        <f t="shared" ref="AA131:AA194" si="21">+AB131/50</f>
        <v>0.201178</v>
      </c>
      <c r="AB131">
        <v>10.0589</v>
      </c>
      <c r="AE131">
        <v>1890.7499999999902</v>
      </c>
      <c r="AF131">
        <v>-0.74883752488732847</v>
      </c>
    </row>
    <row r="132" spans="4:32" x14ac:dyDescent="0.35">
      <c r="D132">
        <v>0.11960800000000001</v>
      </c>
      <c r="M132">
        <f t="shared" ref="M132:M195" si="22">+M131+1</f>
        <v>131</v>
      </c>
      <c r="N132">
        <f t="shared" ref="N132:N195" si="23">+N131+1/12</f>
        <v>1890.8333333333235</v>
      </c>
      <c r="O132">
        <f t="shared" si="18"/>
        <v>0</v>
      </c>
      <c r="P132">
        <f t="array" ref="P132">+SUM($G$2:$G$18*SIN(2*PI()*(N132)*$B$1/$F$2:$F$18+$H$2:$H$18))</f>
        <v>-0.18698531929808013</v>
      </c>
      <c r="Q132">
        <f t="shared" si="19"/>
        <v>0</v>
      </c>
      <c r="R132">
        <f t="shared" si="20"/>
        <v>3.532763803651516E-2</v>
      </c>
      <c r="S132">
        <f t="array" ref="S132">+$B$2*SIN(R132*$B$3+$B$4)+0*R132+ SUM($J$2:$J$20*SIN(2*PI()*N132*$I$2:$I$20+$K$2:$K$20))</f>
        <v>-0.7495815279935214</v>
      </c>
      <c r="U132" s="3">
        <f t="shared" si="16"/>
        <v>1890.8333333333235</v>
      </c>
      <c r="V132" s="3">
        <f t="shared" si="17"/>
        <v>-0.70742400000000005</v>
      </c>
      <c r="Z132" s="1">
        <v>1890.875</v>
      </c>
      <c r="AA132" s="2">
        <f t="shared" si="21"/>
        <v>0.11351800000000001</v>
      </c>
      <c r="AB132">
        <v>5.6759000000000004</v>
      </c>
      <c r="AE132">
        <v>1890.8333333333235</v>
      </c>
      <c r="AF132">
        <v>-0.7495815279935214</v>
      </c>
    </row>
    <row r="133" spans="4:32" x14ac:dyDescent="0.35">
      <c r="D133">
        <v>0.201178</v>
      </c>
      <c r="M133">
        <f t="shared" si="22"/>
        <v>132</v>
      </c>
      <c r="N133">
        <f t="shared" si="23"/>
        <v>1890.9166666666567</v>
      </c>
      <c r="O133">
        <f t="shared" si="18"/>
        <v>0</v>
      </c>
      <c r="P133">
        <f t="array" ref="P133">+SUM($G$2:$G$18*SIN(2*PI()*(N133)*$B$1/$F$2:$F$18+$H$2:$H$18))</f>
        <v>-0.77994185052947018</v>
      </c>
      <c r="Q133">
        <f t="shared" si="19"/>
        <v>0</v>
      </c>
      <c r="R133">
        <f t="shared" si="20"/>
        <v>3.5273299150482246E-2</v>
      </c>
      <c r="S133">
        <f t="array" ref="S133">+$B$2*SIN(R133*$B$3+$B$4)+0*R133+ SUM($J$2:$J$20*SIN(2*PI()*N133*$I$2:$I$20+$K$2:$K$20))</f>
        <v>-0.75024592364642084</v>
      </c>
      <c r="U133" s="3">
        <f t="shared" si="16"/>
        <v>1890.9166666666567</v>
      </c>
      <c r="V133" s="3">
        <f t="shared" si="17"/>
        <v>-0.73657399999999995</v>
      </c>
      <c r="Z133" s="1">
        <v>1890.9583</v>
      </c>
      <c r="AA133" s="2">
        <f t="shared" si="21"/>
        <v>0.15354999999999999</v>
      </c>
      <c r="AB133">
        <v>7.6775000000000002</v>
      </c>
      <c r="AE133">
        <v>1890.9166666666567</v>
      </c>
      <c r="AF133">
        <v>-0.75024592364642084</v>
      </c>
    </row>
    <row r="134" spans="4:32" x14ac:dyDescent="0.35">
      <c r="D134">
        <v>0.11351800000000001</v>
      </c>
      <c r="M134">
        <f t="shared" si="22"/>
        <v>133</v>
      </c>
      <c r="N134">
        <f t="shared" si="23"/>
        <v>1890.99999999999</v>
      </c>
      <c r="O134">
        <f t="shared" si="18"/>
        <v>36.637715116165623</v>
      </c>
      <c r="P134">
        <f t="array" ref="P134">+SUM($G$2:$G$18*SIN(2*PI()*(N134)*$B$1/$F$2:$F$18+$H$2:$H$18))</f>
        <v>-0.24517820156073905</v>
      </c>
      <c r="Q134">
        <f t="shared" si="19"/>
        <v>-8.9827691014761903</v>
      </c>
      <c r="R134">
        <f t="shared" si="20"/>
        <v>2.1402279023375576E-2</v>
      </c>
      <c r="S134">
        <f t="array" ref="S134">+$B$2*SIN(R134*$B$3+$B$4)+0*R134+ SUM($J$2:$J$20*SIN(2*PI()*N134*$I$2:$I$20+$K$2:$K$20))</f>
        <v>0.61602602161348008</v>
      </c>
      <c r="U134" s="3">
        <f t="shared" si="16"/>
        <v>1890.99999999999</v>
      </c>
      <c r="V134" s="3">
        <f t="shared" si="17"/>
        <v>-0.60110999999999992</v>
      </c>
      <c r="Z134" s="1">
        <v>1891.0417</v>
      </c>
      <c r="AA134" s="2">
        <f t="shared" si="21"/>
        <v>8.2810000000000009E-2</v>
      </c>
      <c r="AB134">
        <v>4.1405000000000003</v>
      </c>
      <c r="AE134">
        <v>1890.99999999999</v>
      </c>
      <c r="AF134">
        <v>0.61602602161348008</v>
      </c>
    </row>
    <row r="135" spans="4:32" x14ac:dyDescent="0.35">
      <c r="D135">
        <v>0.15354999999999999</v>
      </c>
      <c r="M135">
        <f t="shared" si="22"/>
        <v>134</v>
      </c>
      <c r="N135">
        <f t="shared" si="23"/>
        <v>1891.0833333333233</v>
      </c>
      <c r="O135">
        <f t="shared" si="18"/>
        <v>0</v>
      </c>
      <c r="P135">
        <f t="array" ref="P135">+SUM($G$2:$G$18*SIN(2*PI()*(N135)*$B$1/$F$2:$F$18+$H$2:$H$18))</f>
        <v>0.34076186010722631</v>
      </c>
      <c r="Q135">
        <f t="shared" si="19"/>
        <v>0</v>
      </c>
      <c r="R135">
        <f t="shared" si="20"/>
        <v>2.1369359302009155E-2</v>
      </c>
      <c r="S135">
        <f t="array" ref="S135">+$B$2*SIN(R135*$B$3+$B$4)+0*R135+ SUM($J$2:$J$20*SIN(2*PI()*N135*$I$2:$I$20+$K$2:$K$20))</f>
        <v>0.61869433987665778</v>
      </c>
      <c r="U135" s="3">
        <f t="shared" si="16"/>
        <v>1891.0833333333233</v>
      </c>
      <c r="V135" s="3">
        <f t="shared" si="17"/>
        <v>-0.1918</v>
      </c>
      <c r="Z135" s="1">
        <v>1891.125</v>
      </c>
      <c r="AA135" s="2">
        <f t="shared" si="21"/>
        <v>2.2837999999999997E-2</v>
      </c>
      <c r="AB135">
        <v>1.1418999999999999</v>
      </c>
      <c r="AE135">
        <v>1891.0833333333233</v>
      </c>
      <c r="AF135">
        <v>0.61869433987665778</v>
      </c>
    </row>
    <row r="136" spans="4:32" x14ac:dyDescent="0.35">
      <c r="D136">
        <v>8.2810000000000009E-2</v>
      </c>
      <c r="M136">
        <f t="shared" si="22"/>
        <v>135</v>
      </c>
      <c r="N136">
        <f t="shared" si="23"/>
        <v>1891.1666666666565</v>
      </c>
      <c r="O136">
        <f t="shared" si="18"/>
        <v>0</v>
      </c>
      <c r="P136">
        <f t="array" ref="P136">+SUM($G$2:$G$18*SIN(2*PI()*(N136)*$B$1/$F$2:$F$18+$H$2:$H$18))</f>
        <v>-0.15689429005900113</v>
      </c>
      <c r="Q136">
        <f t="shared" si="19"/>
        <v>0</v>
      </c>
      <c r="R136">
        <f t="shared" si="20"/>
        <v>2.1336490215813582E-2</v>
      </c>
      <c r="S136">
        <f t="array" ref="S136">+$B$2*SIN(R136*$B$3+$B$4)+0*R136+ SUM($J$2:$J$20*SIN(2*PI()*N136*$I$2:$I$20+$K$2:$K$20))</f>
        <v>0.62133485772727415</v>
      </c>
      <c r="U136" s="3">
        <f t="shared" si="16"/>
        <v>1891.1666666666565</v>
      </c>
      <c r="V136" s="3">
        <f t="shared" si="17"/>
        <v>-0.13326199999999999</v>
      </c>
      <c r="Z136" s="1">
        <v>1891.2083</v>
      </c>
      <c r="AA136" s="2">
        <f t="shared" si="21"/>
        <v>3.5173999999999997E-2</v>
      </c>
      <c r="AB136">
        <v>1.7586999999999999</v>
      </c>
      <c r="AE136">
        <v>1891.1666666666565</v>
      </c>
      <c r="AF136">
        <v>0.62133485772727415</v>
      </c>
    </row>
    <row r="137" spans="4:32" x14ac:dyDescent="0.35">
      <c r="D137">
        <v>2.2837999999999997E-2</v>
      </c>
      <c r="M137">
        <f t="shared" si="22"/>
        <v>136</v>
      </c>
      <c r="N137">
        <f t="shared" si="23"/>
        <v>1891.2499999999898</v>
      </c>
      <c r="O137">
        <f t="shared" si="18"/>
        <v>0</v>
      </c>
      <c r="P137">
        <f t="array" ref="P137">+SUM($G$2:$G$18*SIN(2*PI()*(N137)*$B$1/$F$2:$F$18+$H$2:$H$18))</f>
        <v>-0.74768129792202687</v>
      </c>
      <c r="Q137">
        <f t="shared" si="19"/>
        <v>0</v>
      </c>
      <c r="R137">
        <f t="shared" si="20"/>
        <v>2.1303671686904824E-2</v>
      </c>
      <c r="S137">
        <f t="array" ref="S137">+$B$2*SIN(R137*$B$3+$B$4)+0*R137+ SUM($J$2:$J$20*SIN(2*PI()*N137*$I$2:$I$20+$K$2:$K$20))</f>
        <v>0.6239475899436111</v>
      </c>
      <c r="U137" s="3">
        <f t="shared" si="16"/>
        <v>1891.2499999999898</v>
      </c>
      <c r="V137" s="3">
        <f t="shared" si="17"/>
        <v>0.27296799999999999</v>
      </c>
      <c r="Z137" s="1">
        <v>1891.2917</v>
      </c>
      <c r="AA137" s="2">
        <f t="shared" si="21"/>
        <v>3.9813999999999995E-2</v>
      </c>
      <c r="AB137">
        <v>1.9906999999999999</v>
      </c>
      <c r="AE137">
        <v>1891.2499999999898</v>
      </c>
      <c r="AF137">
        <v>0.6239475899436111</v>
      </c>
    </row>
    <row r="138" spans="4:32" x14ac:dyDescent="0.35">
      <c r="D138">
        <v>3.5173999999999997E-2</v>
      </c>
      <c r="M138">
        <f t="shared" si="22"/>
        <v>137</v>
      </c>
      <c r="N138">
        <f t="shared" si="23"/>
        <v>1891.333333333323</v>
      </c>
      <c r="O138">
        <f t="shared" si="18"/>
        <v>0</v>
      </c>
      <c r="P138">
        <f t="array" ref="P138">+SUM($G$2:$G$18*SIN(2*PI()*(N138)*$B$1/$F$2:$F$18+$H$2:$H$18))</f>
        <v>-0.42325663094510602</v>
      </c>
      <c r="Q138">
        <f t="shared" si="19"/>
        <v>0</v>
      </c>
      <c r="R138">
        <f t="shared" si="20"/>
        <v>2.1270903637518653E-2</v>
      </c>
      <c r="S138">
        <f t="array" ref="S138">+$B$2*SIN(R138*$B$3+$B$4)+0*R138+ SUM($J$2:$J$20*SIN(2*PI()*N138*$I$2:$I$20+$K$2:$K$20))</f>
        <v>0.62653255273482233</v>
      </c>
      <c r="U138" s="3">
        <f t="shared" si="16"/>
        <v>1891.333333333323</v>
      </c>
      <c r="V138" s="3">
        <f t="shared" si="17"/>
        <v>0.40535200000000005</v>
      </c>
      <c r="Z138" s="1">
        <v>1891.375</v>
      </c>
      <c r="AA138" s="2">
        <f t="shared" si="21"/>
        <v>-0.25708200000000003</v>
      </c>
      <c r="AB138">
        <v>-12.854100000000001</v>
      </c>
      <c r="AE138">
        <v>1891.333333333323</v>
      </c>
      <c r="AF138">
        <v>0.62653255273482233</v>
      </c>
    </row>
    <row r="139" spans="4:32" x14ac:dyDescent="0.35">
      <c r="D139">
        <v>3.9813999999999995E-2</v>
      </c>
      <c r="M139">
        <f t="shared" si="22"/>
        <v>138</v>
      </c>
      <c r="N139">
        <f t="shared" si="23"/>
        <v>1891.4166666666563</v>
      </c>
      <c r="O139">
        <f t="shared" si="18"/>
        <v>0</v>
      </c>
      <c r="P139">
        <f t="array" ref="P139">+SUM($G$2:$G$18*SIN(2*PI()*(N139)*$B$1/$F$2:$F$18+$H$2:$H$18))</f>
        <v>0.28699682682304822</v>
      </c>
      <c r="Q139">
        <f t="shared" si="19"/>
        <v>0</v>
      </c>
      <c r="R139">
        <f t="shared" si="20"/>
        <v>2.1238185990010448E-2</v>
      </c>
      <c r="S139">
        <f t="array" ref="S139">+$B$2*SIN(R139*$B$3+$B$4)+0*R139+ SUM($J$2:$J$20*SIN(2*PI()*N139*$I$2:$I$20+$K$2:$K$20))</f>
        <v>0.62908976372619518</v>
      </c>
      <c r="U139" s="3">
        <f t="shared" si="16"/>
        <v>1891.4166666666563</v>
      </c>
      <c r="V139" s="3">
        <f t="shared" si="17"/>
        <v>0.20696200000000001</v>
      </c>
      <c r="Z139" s="1">
        <v>1891.4583</v>
      </c>
      <c r="AA139" s="2">
        <f t="shared" si="21"/>
        <v>-0.60628799999999994</v>
      </c>
      <c r="AB139">
        <v>-30.314399999999999</v>
      </c>
      <c r="AE139">
        <v>1891.4166666666563</v>
      </c>
      <c r="AF139">
        <v>0.62908976372619518</v>
      </c>
    </row>
    <row r="140" spans="4:32" x14ac:dyDescent="0.35">
      <c r="D140">
        <v>-0.25708200000000003</v>
      </c>
      <c r="M140">
        <f t="shared" si="22"/>
        <v>139</v>
      </c>
      <c r="N140">
        <f t="shared" si="23"/>
        <v>1891.4999999999895</v>
      </c>
      <c r="O140">
        <f t="shared" si="18"/>
        <v>0</v>
      </c>
      <c r="P140">
        <f t="array" ref="P140">+SUM($G$2:$G$18*SIN(2*PI()*(N140)*$B$1/$F$2:$F$18+$H$2:$H$18))</f>
        <v>0.28214350941936561</v>
      </c>
      <c r="Q140">
        <f t="shared" si="19"/>
        <v>0</v>
      </c>
      <c r="R140">
        <f t="shared" si="20"/>
        <v>2.1205518666855015E-2</v>
      </c>
      <c r="S140">
        <f t="array" ref="S140">+$B$2*SIN(R140*$B$3+$B$4)+0*R140+ SUM($J$2:$J$20*SIN(2*PI()*N140*$I$2:$I$20+$K$2:$K$20))</f>
        <v>0.63161924194445662</v>
      </c>
      <c r="U140" s="3">
        <f t="shared" si="16"/>
        <v>1891.4999999999895</v>
      </c>
      <c r="V140" s="3">
        <f t="shared" si="17"/>
        <v>0.22242000000000001</v>
      </c>
      <c r="Z140" s="1">
        <v>1891.5417</v>
      </c>
      <c r="AA140" s="2">
        <f t="shared" si="21"/>
        <v>-0.55242000000000002</v>
      </c>
      <c r="AB140">
        <v>-27.620999999999999</v>
      </c>
      <c r="AE140">
        <v>1891.4999999999895</v>
      </c>
      <c r="AF140">
        <v>0.63161924194445662</v>
      </c>
    </row>
    <row r="141" spans="4:32" x14ac:dyDescent="0.35">
      <c r="D141">
        <v>-0.60628799999999994</v>
      </c>
      <c r="M141">
        <f t="shared" si="22"/>
        <v>140</v>
      </c>
      <c r="N141">
        <f t="shared" si="23"/>
        <v>1891.5833333333228</v>
      </c>
      <c r="O141">
        <f t="shared" si="18"/>
        <v>0</v>
      </c>
      <c r="P141">
        <f t="array" ref="P141">+SUM($G$2:$G$18*SIN(2*PI()*(N141)*$B$1/$F$2:$F$18+$H$2:$H$18))</f>
        <v>-0.63553407171698217</v>
      </c>
      <c r="Q141">
        <f t="shared" si="19"/>
        <v>0</v>
      </c>
      <c r="R141">
        <f t="shared" si="20"/>
        <v>2.1172901590646411E-2</v>
      </c>
      <c r="S141">
        <f t="array" ref="S141">+$B$2*SIN(R141*$B$3+$B$4)+0*R141+ SUM($J$2:$J$20*SIN(2*PI()*N141*$I$2:$I$20+$K$2:$K$20))</f>
        <v>0.63412100780312697</v>
      </c>
      <c r="U141" s="3">
        <f t="shared" si="16"/>
        <v>1891.5833333333228</v>
      </c>
      <c r="V141" s="3">
        <f t="shared" si="17"/>
        <v>0.208646</v>
      </c>
      <c r="Z141" s="1">
        <v>1891.625</v>
      </c>
      <c r="AA141" s="2">
        <f t="shared" si="21"/>
        <v>-0.36932000000000004</v>
      </c>
      <c r="AB141">
        <v>-18.466000000000001</v>
      </c>
      <c r="AE141">
        <v>1891.5833333333228</v>
      </c>
      <c r="AF141">
        <v>0.63412100780312697</v>
      </c>
    </row>
    <row r="142" spans="4:32" x14ac:dyDescent="0.35">
      <c r="D142">
        <v>-0.55242000000000002</v>
      </c>
      <c r="M142">
        <f t="shared" si="22"/>
        <v>141</v>
      </c>
      <c r="N142">
        <f t="shared" si="23"/>
        <v>1891.6666666666561</v>
      </c>
      <c r="O142">
        <f t="shared" si="18"/>
        <v>0</v>
      </c>
      <c r="P142">
        <f t="array" ref="P142">+SUM($G$2:$G$18*SIN(2*PI()*(N142)*$B$1/$F$2:$F$18+$H$2:$H$18))</f>
        <v>-1.0634886750585522</v>
      </c>
      <c r="Q142">
        <f t="shared" si="19"/>
        <v>0</v>
      </c>
      <c r="R142">
        <f t="shared" si="20"/>
        <v>2.1140334684097747E-2</v>
      </c>
      <c r="S142">
        <f t="array" ref="S142">+$B$2*SIN(R142*$B$3+$B$4)+0*R142+ SUM($J$2:$J$20*SIN(2*PI()*N142*$I$2:$I$20+$K$2:$K$20))</f>
        <v>0.63659508308792379</v>
      </c>
      <c r="U142" s="3">
        <f t="shared" si="16"/>
        <v>1891.6666666666561</v>
      </c>
      <c r="V142" s="3">
        <f t="shared" si="17"/>
        <v>0.22564000000000001</v>
      </c>
      <c r="Z142" s="1">
        <v>1891.7083</v>
      </c>
      <c r="AA142" s="2">
        <f t="shared" si="21"/>
        <v>-0.38314599999999999</v>
      </c>
      <c r="AB142">
        <v>-19.157299999999999</v>
      </c>
      <c r="AE142">
        <v>1891.6666666666561</v>
      </c>
      <c r="AF142">
        <v>0.63659508308792379</v>
      </c>
    </row>
    <row r="143" spans="4:32" x14ac:dyDescent="0.35">
      <c r="D143">
        <v>-0.36932000000000004</v>
      </c>
      <c r="M143">
        <f t="shared" si="22"/>
        <v>142</v>
      </c>
      <c r="N143">
        <f t="shared" si="23"/>
        <v>1891.7499999999893</v>
      </c>
      <c r="O143">
        <f t="shared" si="18"/>
        <v>0</v>
      </c>
      <c r="P143">
        <f t="array" ref="P143">+SUM($G$2:$G$18*SIN(2*PI()*(N143)*$B$1/$F$2:$F$18+$H$2:$H$18))</f>
        <v>-0.22725289130421061</v>
      </c>
      <c r="Q143">
        <f t="shared" si="19"/>
        <v>0</v>
      </c>
      <c r="R143">
        <f t="shared" si="20"/>
        <v>2.1107817870041016E-2</v>
      </c>
      <c r="S143">
        <f t="array" ref="S143">+$B$2*SIN(R143*$B$3+$B$4)+0*R143+ SUM($J$2:$J$20*SIN(2*PI()*N143*$I$2:$I$20+$K$2:$K$20))</f>
        <v>0.63904149094221163</v>
      </c>
      <c r="U143" s="3">
        <f t="shared" si="16"/>
        <v>1891.7499999999893</v>
      </c>
      <c r="V143" s="3">
        <f t="shared" si="17"/>
        <v>0.20263200000000001</v>
      </c>
      <c r="Z143" s="1">
        <v>1891.7917</v>
      </c>
      <c r="AA143" s="2">
        <f t="shared" si="21"/>
        <v>-0.493896</v>
      </c>
      <c r="AB143">
        <v>-24.694800000000001</v>
      </c>
      <c r="AE143">
        <v>1891.7499999999893</v>
      </c>
      <c r="AF143">
        <v>0.63904149094221163</v>
      </c>
    </row>
    <row r="144" spans="4:32" x14ac:dyDescent="0.35">
      <c r="D144">
        <v>-0.38314599999999999</v>
      </c>
      <c r="M144">
        <f t="shared" si="22"/>
        <v>143</v>
      </c>
      <c r="N144">
        <f t="shared" si="23"/>
        <v>1891.8333333333226</v>
      </c>
      <c r="O144">
        <f t="shared" si="18"/>
        <v>0</v>
      </c>
      <c r="P144">
        <f t="array" ref="P144">+SUM($G$2:$G$18*SIN(2*PI()*(N144)*$B$1/$F$2:$F$18+$H$2:$H$18))</f>
        <v>0.36063581438604131</v>
      </c>
      <c r="Q144">
        <f t="shared" si="19"/>
        <v>0</v>
      </c>
      <c r="R144">
        <f t="shared" si="20"/>
        <v>2.1075351071426909E-2</v>
      </c>
      <c r="S144">
        <f t="array" ref="S144">+$B$2*SIN(R144*$B$3+$B$4)+0*R144+ SUM($J$2:$J$20*SIN(2*PI()*N144*$I$2:$I$20+$K$2:$K$20))</f>
        <v>0.6414602558525021</v>
      </c>
      <c r="U144" s="3">
        <f t="shared" si="16"/>
        <v>1891.8333333333226</v>
      </c>
      <c r="V144" s="3">
        <f t="shared" si="17"/>
        <v>-3.4222000000000002E-2</v>
      </c>
      <c r="Z144" s="1">
        <v>1891.875</v>
      </c>
      <c r="AA144" s="2">
        <f t="shared" si="21"/>
        <v>-0.37849200000000005</v>
      </c>
      <c r="AB144">
        <v>-18.924600000000002</v>
      </c>
      <c r="AE144">
        <v>1891.8333333333226</v>
      </c>
      <c r="AF144">
        <v>0.6414602558525021</v>
      </c>
    </row>
    <row r="145" spans="4:32" x14ac:dyDescent="0.35">
      <c r="D145">
        <v>-0.493896</v>
      </c>
      <c r="M145">
        <f t="shared" si="22"/>
        <v>144</v>
      </c>
      <c r="N145">
        <f t="shared" si="23"/>
        <v>1891.9166666666558</v>
      </c>
      <c r="O145">
        <f t="shared" si="18"/>
        <v>0</v>
      </c>
      <c r="P145">
        <f t="array" ref="P145">+SUM($G$2:$G$18*SIN(2*PI()*(N145)*$B$1/$F$2:$F$18+$H$2:$H$18))</f>
        <v>-0.2011487128518846</v>
      </c>
      <c r="Q145">
        <f t="shared" si="19"/>
        <v>0</v>
      </c>
      <c r="R145">
        <f t="shared" si="20"/>
        <v>2.1042934211324624E-2</v>
      </c>
      <c r="S145">
        <f t="array" ref="S145">+$B$2*SIN(R145*$B$3+$B$4)+0*R145+ SUM($J$2:$J$20*SIN(2*PI()*N145*$I$2:$I$20+$K$2:$K$20))</f>
        <v>0.64385140363400717</v>
      </c>
      <c r="U145" s="3">
        <f t="shared" si="16"/>
        <v>1891.9166666666558</v>
      </c>
      <c r="V145" s="3">
        <f t="shared" si="17"/>
        <v>-0.12646399999999999</v>
      </c>
      <c r="Z145" s="1">
        <v>1891.9583</v>
      </c>
      <c r="AA145" s="2">
        <f t="shared" si="21"/>
        <v>-0.23847399999999999</v>
      </c>
      <c r="AB145">
        <v>-11.9237</v>
      </c>
      <c r="AE145">
        <v>1891.9166666666558</v>
      </c>
      <c r="AF145">
        <v>0.64385140363400717</v>
      </c>
    </row>
    <row r="146" spans="4:32" x14ac:dyDescent="0.35">
      <c r="D146">
        <v>-0.37849200000000005</v>
      </c>
      <c r="M146">
        <f t="shared" si="22"/>
        <v>145</v>
      </c>
      <c r="N146">
        <f t="shared" si="23"/>
        <v>1891.9999999999891</v>
      </c>
      <c r="O146">
        <f t="shared" si="18"/>
        <v>36.637715116165623</v>
      </c>
      <c r="P146">
        <f t="array" ref="P146">+SUM($G$2:$G$18*SIN(2*PI()*(N146)*$B$1/$F$2:$F$18+$H$2:$H$18))</f>
        <v>-0.69925819714413706</v>
      </c>
      <c r="Q146">
        <f t="shared" si="19"/>
        <v>-25.619222619610472</v>
      </c>
      <c r="R146">
        <f t="shared" si="20"/>
        <v>-1.8395407699410591E-2</v>
      </c>
      <c r="S146">
        <f t="array" ref="S146">+$B$2*SIN(R146*$B$3+$B$4)+0*R146+ SUM($J$2:$J$20*SIN(2*PI()*N146*$I$2:$I$20+$K$2:$K$20))</f>
        <v>0.62336613919268091</v>
      </c>
      <c r="U146" s="3">
        <f t="shared" si="16"/>
        <v>1891.9999999999891</v>
      </c>
      <c r="V146" s="3">
        <f t="shared" si="17"/>
        <v>-0.35562800000000006</v>
      </c>
      <c r="Z146" s="1">
        <v>1892.0417</v>
      </c>
      <c r="AA146" s="2">
        <f t="shared" si="21"/>
        <v>-2.3075999999999999E-2</v>
      </c>
      <c r="AB146">
        <v>-1.1537999999999999</v>
      </c>
      <c r="AE146">
        <v>1891.9999999999891</v>
      </c>
      <c r="AF146">
        <v>0.62336613919268091</v>
      </c>
    </row>
    <row r="147" spans="4:32" x14ac:dyDescent="0.35">
      <c r="D147">
        <v>-0.23847399999999999</v>
      </c>
      <c r="M147">
        <f t="shared" si="22"/>
        <v>146</v>
      </c>
      <c r="N147">
        <f t="shared" si="23"/>
        <v>1892.0833333333223</v>
      </c>
      <c r="O147">
        <f t="shared" si="18"/>
        <v>0</v>
      </c>
      <c r="P147">
        <f t="array" ref="P147">+SUM($G$2:$G$18*SIN(2*PI()*(N147)*$B$1/$F$2:$F$18+$H$2:$H$18))</f>
        <v>-0.30376417507284004</v>
      </c>
      <c r="Q147">
        <f t="shared" si="19"/>
        <v>0</v>
      </c>
      <c r="R147">
        <f t="shared" si="20"/>
        <v>-1.8367112969899548E-2</v>
      </c>
      <c r="S147">
        <f t="array" ref="S147">+$B$2*SIN(R147*$B$3+$B$4)+0*R147+ SUM($J$2:$J$20*SIN(2*PI()*N147*$I$2:$I$20+$K$2:$K$20))</f>
        <v>0.62560420883948753</v>
      </c>
      <c r="U147" s="3">
        <f t="shared" si="16"/>
        <v>1892.0833333333223</v>
      </c>
      <c r="V147" s="3">
        <f t="shared" si="17"/>
        <v>-0.28325400000000001</v>
      </c>
      <c r="Z147" s="1">
        <v>1892.125</v>
      </c>
      <c r="AA147" s="2">
        <f t="shared" si="21"/>
        <v>3.6940000000000001E-2</v>
      </c>
      <c r="AB147">
        <v>1.847</v>
      </c>
      <c r="AE147">
        <v>1892.0833333333223</v>
      </c>
      <c r="AF147">
        <v>0.62560420883948753</v>
      </c>
    </row>
    <row r="148" spans="4:32" x14ac:dyDescent="0.35">
      <c r="D148">
        <v>-2.3075999999999999E-2</v>
      </c>
      <c r="M148">
        <f t="shared" si="22"/>
        <v>147</v>
      </c>
      <c r="N148">
        <f t="shared" si="23"/>
        <v>1892.1666666666556</v>
      </c>
      <c r="O148">
        <f t="shared" si="18"/>
        <v>0</v>
      </c>
      <c r="P148">
        <f t="array" ref="P148">+SUM($G$2:$G$18*SIN(2*PI()*(N148)*$B$1/$F$2:$F$18+$H$2:$H$18))</f>
        <v>0.32832978043424965</v>
      </c>
      <c r="Q148">
        <f t="shared" si="19"/>
        <v>0</v>
      </c>
      <c r="R148">
        <f t="shared" si="20"/>
        <v>-1.8338861761670076E-2</v>
      </c>
      <c r="S148">
        <f t="array" ref="S148">+$B$2*SIN(R148*$B$3+$B$4)+0*R148+ SUM($J$2:$J$20*SIN(2*PI()*N148*$I$2:$I$20+$K$2:$K$20))</f>
        <v>0.62782113489493352</v>
      </c>
      <c r="U148" s="3">
        <f t="shared" si="16"/>
        <v>1892.1666666666556</v>
      </c>
      <c r="V148" s="3">
        <f t="shared" si="17"/>
        <v>-0.57242400000000004</v>
      </c>
      <c r="Z148" s="1">
        <v>1892.2083</v>
      </c>
      <c r="AA148" s="2">
        <f t="shared" si="21"/>
        <v>4.3108000000000007E-2</v>
      </c>
      <c r="AB148">
        <v>2.1554000000000002</v>
      </c>
      <c r="AE148">
        <v>1892.1666666666556</v>
      </c>
      <c r="AF148">
        <v>0.62782113489493352</v>
      </c>
    </row>
    <row r="149" spans="4:32" x14ac:dyDescent="0.35">
      <c r="D149">
        <v>3.6940000000000001E-2</v>
      </c>
      <c r="M149">
        <f t="shared" si="22"/>
        <v>148</v>
      </c>
      <c r="N149">
        <f t="shared" si="23"/>
        <v>1892.2499999999889</v>
      </c>
      <c r="O149">
        <f t="shared" si="18"/>
        <v>0</v>
      </c>
      <c r="P149">
        <f t="array" ref="P149">+SUM($G$2:$G$18*SIN(2*PI()*(N149)*$B$1/$F$2:$F$18+$H$2:$H$18))</f>
        <v>0.14543162852259323</v>
      </c>
      <c r="Q149">
        <f t="shared" si="19"/>
        <v>0</v>
      </c>
      <c r="R149">
        <f t="shared" si="20"/>
        <v>-1.831065400778031E-2</v>
      </c>
      <c r="S149">
        <f t="array" ref="S149">+$B$2*SIN(R149*$B$3+$B$4)+0*R149+ SUM($J$2:$J$20*SIN(2*PI()*N149*$I$2:$I$20+$K$2:$K$20))</f>
        <v>0.63001694175818446</v>
      </c>
      <c r="U149" s="3">
        <f t="shared" si="16"/>
        <v>1892.2499999999889</v>
      </c>
      <c r="V149" s="3">
        <f t="shared" si="17"/>
        <v>-0.27082200000000001</v>
      </c>
      <c r="Z149" s="1">
        <v>1892.2917</v>
      </c>
      <c r="AA149" s="2">
        <f t="shared" si="21"/>
        <v>-0.103034</v>
      </c>
      <c r="AB149">
        <v>-5.1516999999999999</v>
      </c>
      <c r="AE149">
        <v>1892.2499999999889</v>
      </c>
      <c r="AF149">
        <v>0.63001694175818446</v>
      </c>
    </row>
    <row r="150" spans="4:32" x14ac:dyDescent="0.35">
      <c r="D150">
        <v>4.3108000000000007E-2</v>
      </c>
      <c r="M150">
        <f t="shared" si="22"/>
        <v>149</v>
      </c>
      <c r="N150">
        <f t="shared" si="23"/>
        <v>1892.3333333333221</v>
      </c>
      <c r="O150">
        <f t="shared" si="18"/>
        <v>0</v>
      </c>
      <c r="P150">
        <f t="array" ref="P150">+SUM($G$2:$G$18*SIN(2*PI()*(N150)*$B$1/$F$2:$F$18+$H$2:$H$18))</f>
        <v>-0.78280064040656094</v>
      </c>
      <c r="Q150">
        <f t="shared" si="19"/>
        <v>0</v>
      </c>
      <c r="R150">
        <f t="shared" si="20"/>
        <v>-1.8282489641391352E-2</v>
      </c>
      <c r="S150">
        <f t="array" ref="S150">+$B$2*SIN(R150*$B$3+$B$4)+0*R150+ SUM($J$2:$J$20*SIN(2*PI()*N150*$I$2:$I$20+$K$2:$K$20))</f>
        <v>0.63219165460196081</v>
      </c>
      <c r="U150" s="3">
        <f t="shared" si="16"/>
        <v>1892.3333333333221</v>
      </c>
      <c r="V150" s="3">
        <f t="shared" si="17"/>
        <v>-0.33999000000000001</v>
      </c>
      <c r="Z150" s="1">
        <v>1892.375</v>
      </c>
      <c r="AA150" s="2">
        <f t="shared" si="21"/>
        <v>-0.40917399999999998</v>
      </c>
      <c r="AB150">
        <v>-20.4587</v>
      </c>
      <c r="AE150">
        <v>1892.3333333333221</v>
      </c>
      <c r="AF150">
        <v>0.63219165460196081</v>
      </c>
    </row>
    <row r="151" spans="4:32" x14ac:dyDescent="0.35">
      <c r="D151">
        <v>-0.103034</v>
      </c>
      <c r="M151">
        <f t="shared" si="22"/>
        <v>150</v>
      </c>
      <c r="N151">
        <f t="shared" si="23"/>
        <v>1892.4166666666554</v>
      </c>
      <c r="O151">
        <f t="shared" si="18"/>
        <v>0</v>
      </c>
      <c r="P151">
        <f t="array" ref="P151">+SUM($G$2:$G$18*SIN(2*PI()*(N151)*$B$1/$F$2:$F$18+$H$2:$H$18))</f>
        <v>-0.94493479798418534</v>
      </c>
      <c r="Q151">
        <f t="shared" si="19"/>
        <v>0</v>
      </c>
      <c r="R151">
        <f t="shared" si="20"/>
        <v>-1.8254368595767113E-2</v>
      </c>
      <c r="S151">
        <f t="array" ref="S151">+$B$2*SIN(R151*$B$3+$B$4)+0*R151+ SUM($J$2:$J$20*SIN(2*PI()*N151*$I$2:$I$20+$K$2:$K$20))</f>
        <v>0.63434529936390427</v>
      </c>
      <c r="U151" s="3">
        <f t="shared" si="16"/>
        <v>1892.4166666666554</v>
      </c>
      <c r="V151" s="3">
        <f t="shared" si="17"/>
        <v>-0.224546</v>
      </c>
      <c r="Z151" s="1">
        <v>1892.4583</v>
      </c>
      <c r="AA151" s="2">
        <f t="shared" si="21"/>
        <v>-0.29070200000000002</v>
      </c>
      <c r="AB151">
        <v>-14.5351</v>
      </c>
      <c r="AE151">
        <v>1892.4166666666554</v>
      </c>
      <c r="AF151">
        <v>0.63434529936390427</v>
      </c>
    </row>
    <row r="152" spans="4:32" x14ac:dyDescent="0.35">
      <c r="D152">
        <v>-0.40917399999999998</v>
      </c>
      <c r="M152">
        <f t="shared" si="22"/>
        <v>151</v>
      </c>
      <c r="N152">
        <f t="shared" si="23"/>
        <v>1892.4999999999886</v>
      </c>
      <c r="O152">
        <f t="shared" si="18"/>
        <v>0</v>
      </c>
      <c r="P152">
        <f t="array" ref="P152">+SUM($G$2:$G$18*SIN(2*PI()*(N152)*$B$1/$F$2:$F$18+$H$2:$H$18))</f>
        <v>3.7204735265639471E-2</v>
      </c>
      <c r="Q152">
        <f t="shared" si="19"/>
        <v>0</v>
      </c>
      <c r="R152">
        <f t="shared" si="20"/>
        <v>-1.822629080427415E-2</v>
      </c>
      <c r="S152">
        <f t="array" ref="S152">+$B$2*SIN(R152*$B$3+$B$4)+0*R152+ SUM($J$2:$J$20*SIN(2*PI()*N152*$I$2:$I$20+$K$2:$K$20))</f>
        <v>0.63647790273798843</v>
      </c>
      <c r="U152" s="3">
        <f t="shared" si="16"/>
        <v>1892.4999999999886</v>
      </c>
      <c r="V152" s="3">
        <f t="shared" si="17"/>
        <v>-0.18756399999999998</v>
      </c>
      <c r="Z152" s="1">
        <v>1892.5417</v>
      </c>
      <c r="AA152" s="2">
        <f t="shared" si="21"/>
        <v>-0.21376999999999999</v>
      </c>
      <c r="AB152">
        <v>-10.688499999999999</v>
      </c>
      <c r="AE152">
        <v>1892.4999999999886</v>
      </c>
      <c r="AF152">
        <v>0.63647790273798843</v>
      </c>
    </row>
    <row r="153" spans="4:32" x14ac:dyDescent="0.35">
      <c r="D153">
        <v>-0.29070200000000002</v>
      </c>
      <c r="M153">
        <f t="shared" si="22"/>
        <v>152</v>
      </c>
      <c r="N153">
        <f t="shared" si="23"/>
        <v>1892.5833333333219</v>
      </c>
      <c r="O153">
        <f t="shared" si="18"/>
        <v>0</v>
      </c>
      <c r="P153">
        <f t="array" ref="P153">+SUM($G$2:$G$18*SIN(2*PI()*(N153)*$B$1/$F$2:$F$18+$H$2:$H$18))</f>
        <v>0.55586889982075616</v>
      </c>
      <c r="Q153">
        <f t="shared" si="19"/>
        <v>0</v>
      </c>
      <c r="R153">
        <f t="shared" si="20"/>
        <v>-1.8198256200381513E-2</v>
      </c>
      <c r="S153">
        <f t="array" ref="S153">+$B$2*SIN(R153*$B$3+$B$4)+0*R153+ SUM($J$2:$J$20*SIN(2*PI()*N153*$I$2:$I$20+$K$2:$K$20))</f>
        <v>0.6385894921659685</v>
      </c>
      <c r="U153" s="3">
        <f t="shared" si="16"/>
        <v>1892.5833333333219</v>
      </c>
      <c r="V153" s="3">
        <f t="shared" si="17"/>
        <v>-0.155198</v>
      </c>
      <c r="Z153" s="1">
        <v>1892.625</v>
      </c>
      <c r="AA153" s="2">
        <f t="shared" si="21"/>
        <v>-0.28760799999999997</v>
      </c>
      <c r="AB153">
        <v>-14.3804</v>
      </c>
      <c r="AE153">
        <v>1892.5833333333219</v>
      </c>
      <c r="AF153">
        <v>0.6385894921659685</v>
      </c>
    </row>
    <row r="154" spans="4:32" x14ac:dyDescent="0.35">
      <c r="D154">
        <v>-0.21376999999999999</v>
      </c>
      <c r="M154">
        <f t="shared" si="22"/>
        <v>153</v>
      </c>
      <c r="N154">
        <f t="shared" si="23"/>
        <v>1892.6666666666551</v>
      </c>
      <c r="O154">
        <f t="shared" si="18"/>
        <v>0</v>
      </c>
      <c r="P154">
        <f t="array" ref="P154">+SUM($G$2:$G$18*SIN(2*PI()*(N154)*$B$1/$F$2:$F$18+$H$2:$H$18))</f>
        <v>7.0587478882391974E-2</v>
      </c>
      <c r="Q154">
        <f t="shared" si="19"/>
        <v>0</v>
      </c>
      <c r="R154">
        <f t="shared" si="20"/>
        <v>-1.8170264717660586E-2</v>
      </c>
      <c r="S154">
        <f t="array" ref="S154">+$B$2*SIN(R154*$B$3+$B$4)+0*R154+ SUM($J$2:$J$20*SIN(2*PI()*N154*$I$2:$I$20+$K$2:$K$20))</f>
        <v>0.6406800958288712</v>
      </c>
      <c r="U154" s="3">
        <f t="shared" si="16"/>
        <v>1892.6666666666551</v>
      </c>
      <c r="V154" s="3">
        <f t="shared" si="17"/>
        <v>7.9360000000000003E-3</v>
      </c>
      <c r="Z154" s="1">
        <v>1892.7083</v>
      </c>
      <c r="AA154" s="2">
        <f t="shared" si="21"/>
        <v>-0.39837000000000006</v>
      </c>
      <c r="AB154">
        <v>-19.918500000000002</v>
      </c>
      <c r="AE154">
        <v>1892.6666666666551</v>
      </c>
      <c r="AF154">
        <v>0.6406800958288712</v>
      </c>
    </row>
    <row r="155" spans="4:32" x14ac:dyDescent="0.35">
      <c r="D155">
        <v>-0.28760799999999997</v>
      </c>
      <c r="M155">
        <f t="shared" si="22"/>
        <v>154</v>
      </c>
      <c r="N155">
        <f t="shared" si="23"/>
        <v>1892.7499999999884</v>
      </c>
      <c r="O155">
        <f t="shared" si="18"/>
        <v>0</v>
      </c>
      <c r="P155">
        <f t="array" ref="P155">+SUM($G$2:$G$18*SIN(2*PI()*(N155)*$B$1/$F$2:$F$18+$H$2:$H$18))</f>
        <v>-0.30152244070779938</v>
      </c>
      <c r="Q155">
        <f t="shared" si="19"/>
        <v>0</v>
      </c>
      <c r="R155">
        <f t="shared" si="20"/>
        <v>-1.8142316289784931E-2</v>
      </c>
      <c r="S155">
        <f t="array" ref="S155">+$B$2*SIN(R155*$B$3+$B$4)+0*R155+ SUM($J$2:$J$20*SIN(2*PI()*N155*$I$2:$I$20+$K$2:$K$20))</f>
        <v>0.64274974263852436</v>
      </c>
      <c r="U155" s="3">
        <f t="shared" si="16"/>
        <v>1892.7499999999884</v>
      </c>
      <c r="V155" s="3">
        <f t="shared" si="17"/>
        <v>5.7222000000000002E-2</v>
      </c>
      <c r="Z155" s="1">
        <v>1892.7917</v>
      </c>
      <c r="AA155" s="2">
        <f t="shared" si="21"/>
        <v>-0.23221</v>
      </c>
      <c r="AB155">
        <v>-11.6105</v>
      </c>
      <c r="AE155">
        <v>1892.7499999999884</v>
      </c>
      <c r="AF155">
        <v>0.64274974263852436</v>
      </c>
    </row>
    <row r="156" spans="4:32" x14ac:dyDescent="0.35">
      <c r="D156">
        <v>-0.39837000000000006</v>
      </c>
      <c r="M156">
        <f t="shared" si="22"/>
        <v>155</v>
      </c>
      <c r="N156">
        <f t="shared" si="23"/>
        <v>1892.8333333333217</v>
      </c>
      <c r="O156">
        <f t="shared" si="18"/>
        <v>0</v>
      </c>
      <c r="P156">
        <f t="array" ref="P156">+SUM($G$2:$G$18*SIN(2*PI()*(N156)*$B$1/$F$2:$F$18+$H$2:$H$18))</f>
        <v>-2.3695747759587132E-2</v>
      </c>
      <c r="Q156">
        <f t="shared" si="19"/>
        <v>0</v>
      </c>
      <c r="R156">
        <f t="shared" si="20"/>
        <v>-1.8114410850530126E-2</v>
      </c>
      <c r="S156">
        <f t="array" ref="S156">+$B$2*SIN(R156*$B$3+$B$4)+0*R156+ SUM($J$2:$J$20*SIN(2*PI()*N156*$I$2:$I$20+$K$2:$K$20))</f>
        <v>0.64479846222912718</v>
      </c>
      <c r="U156" s="3">
        <f t="shared" si="16"/>
        <v>1892.8333333333217</v>
      </c>
      <c r="V156" s="3">
        <f t="shared" si="17"/>
        <v>0.112662</v>
      </c>
      <c r="Z156" s="1">
        <v>1892.875</v>
      </c>
      <c r="AA156" s="2">
        <f t="shared" si="21"/>
        <v>-0.14143600000000001</v>
      </c>
      <c r="AB156">
        <v>-7.0717999999999996</v>
      </c>
      <c r="AE156">
        <v>1892.8333333333217</v>
      </c>
      <c r="AF156">
        <v>0.64479846222912718</v>
      </c>
    </row>
    <row r="157" spans="4:32" x14ac:dyDescent="0.35">
      <c r="D157">
        <v>-0.23221</v>
      </c>
      <c r="M157">
        <f t="shared" si="22"/>
        <v>156</v>
      </c>
      <c r="N157">
        <f t="shared" si="23"/>
        <v>1892.9166666666549</v>
      </c>
      <c r="O157">
        <f t="shared" si="18"/>
        <v>0</v>
      </c>
      <c r="P157">
        <f t="array" ref="P157">+SUM($G$2:$G$18*SIN(2*PI()*(N157)*$B$1/$F$2:$F$18+$H$2:$H$18))</f>
        <v>0.38152824716216938</v>
      </c>
      <c r="Q157">
        <f t="shared" si="19"/>
        <v>0</v>
      </c>
      <c r="R157">
        <f t="shared" si="20"/>
        <v>-1.8086548333773617E-2</v>
      </c>
      <c r="S157">
        <f t="array" ref="S157">+$B$2*SIN(R157*$B$3+$B$4)+0*R157+ SUM($J$2:$J$20*SIN(2*PI()*N157*$I$2:$I$20+$K$2:$K$20))</f>
        <v>0.64682628494886629</v>
      </c>
      <c r="U157" s="3">
        <f t="shared" si="16"/>
        <v>1892.9166666666549</v>
      </c>
      <c r="V157" s="3">
        <f t="shared" si="17"/>
        <v>0.33271600000000001</v>
      </c>
      <c r="Z157" s="1">
        <v>1892.9583</v>
      </c>
      <c r="AA157" s="2">
        <f t="shared" si="21"/>
        <v>-0.109124</v>
      </c>
      <c r="AB157">
        <v>-5.4561999999999999</v>
      </c>
      <c r="AE157">
        <v>1892.9166666666549</v>
      </c>
      <c r="AF157">
        <v>0.64682628494886629</v>
      </c>
    </row>
    <row r="158" spans="4:32" x14ac:dyDescent="0.35">
      <c r="D158">
        <v>-0.14143600000000001</v>
      </c>
      <c r="M158">
        <f t="shared" si="22"/>
        <v>157</v>
      </c>
      <c r="N158">
        <f t="shared" si="23"/>
        <v>1892.9999999999882</v>
      </c>
      <c r="O158">
        <f t="shared" si="18"/>
        <v>36.637715116165623</v>
      </c>
      <c r="P158">
        <f t="array" ref="P158">+SUM($G$2:$G$18*SIN(2*PI()*(N158)*$B$1/$F$2:$F$18+$H$2:$H$18))</f>
        <v>0.13483357266219095</v>
      </c>
      <c r="Q158">
        <f t="shared" si="19"/>
        <v>4.9399940232921695</v>
      </c>
      <c r="R158">
        <f t="shared" si="20"/>
        <v>-1.0460321671093382E-2</v>
      </c>
      <c r="S158">
        <f t="array" ref="S158">+$B$2*SIN(R158*$B$3+$B$4)+0*R158+ SUM($J$2:$J$20*SIN(2*PI()*N158*$I$2:$I$20+$K$2:$K$20))</f>
        <v>0.46881333344005494</v>
      </c>
      <c r="U158" s="3">
        <f t="shared" si="16"/>
        <v>1892.9999999999882</v>
      </c>
      <c r="V158" s="3">
        <f t="shared" si="17"/>
        <v>0.16353799999999999</v>
      </c>
      <c r="Z158" s="1">
        <v>1893.0417</v>
      </c>
      <c r="AA158" s="2">
        <f t="shared" si="21"/>
        <v>-0.12912200000000001</v>
      </c>
      <c r="AB158">
        <v>-6.4561000000000002</v>
      </c>
      <c r="AE158">
        <v>1892.9999999999882</v>
      </c>
      <c r="AF158">
        <v>0.46881333344005494</v>
      </c>
    </row>
    <row r="159" spans="4:32" x14ac:dyDescent="0.35">
      <c r="D159">
        <v>-0.109124</v>
      </c>
      <c r="M159">
        <f t="shared" si="22"/>
        <v>158</v>
      </c>
      <c r="N159">
        <f t="shared" si="23"/>
        <v>1893.0833333333214</v>
      </c>
      <c r="O159">
        <f t="shared" si="18"/>
        <v>0</v>
      </c>
      <c r="P159">
        <f t="array" ref="P159">+SUM($G$2:$G$18*SIN(2*PI()*(N159)*$B$1/$F$2:$F$18+$H$2:$H$18))</f>
        <v>-0.57215195461197998</v>
      </c>
      <c r="Q159">
        <f t="shared" si="19"/>
        <v>0</v>
      </c>
      <c r="R159">
        <f t="shared" si="20"/>
        <v>-1.0444232222187525E-2</v>
      </c>
      <c r="S159">
        <f t="array" ref="S159">+$B$2*SIN(R159*$B$3+$B$4)+0*R159+ SUM($J$2:$J$20*SIN(2*PI()*N159*$I$2:$I$20+$K$2:$K$20))</f>
        <v>0.46702782136629228</v>
      </c>
      <c r="U159" s="3">
        <f t="shared" si="16"/>
        <v>1893.0833333333214</v>
      </c>
      <c r="V159" s="3">
        <f t="shared" si="17"/>
        <v>0.13128200000000001</v>
      </c>
      <c r="Z159" s="1">
        <v>1893.125</v>
      </c>
      <c r="AA159" s="2">
        <f t="shared" si="21"/>
        <v>-0.16296600000000003</v>
      </c>
      <c r="AB159">
        <v>-8.1483000000000008</v>
      </c>
      <c r="AE159">
        <v>1893.0833333333214</v>
      </c>
      <c r="AF159">
        <v>0.46702782136629228</v>
      </c>
    </row>
    <row r="160" spans="4:32" x14ac:dyDescent="0.35">
      <c r="D160">
        <v>-0.12912200000000001</v>
      </c>
      <c r="M160">
        <f t="shared" si="22"/>
        <v>159</v>
      </c>
      <c r="N160">
        <f t="shared" si="23"/>
        <v>1893.1666666666547</v>
      </c>
      <c r="O160">
        <f t="shared" si="18"/>
        <v>0</v>
      </c>
      <c r="P160">
        <f t="array" ref="P160">+SUM($G$2:$G$18*SIN(2*PI()*(N160)*$B$1/$F$2:$F$18+$H$2:$H$18))</f>
        <v>-0.48237237095745655</v>
      </c>
      <c r="Q160">
        <f t="shared" si="19"/>
        <v>0</v>
      </c>
      <c r="R160">
        <f t="shared" si="20"/>
        <v>-1.0428167521121573E-2</v>
      </c>
      <c r="S160">
        <f t="array" ref="S160">+$B$2*SIN(R160*$B$3+$B$4)+0*R160+ SUM($J$2:$J$20*SIN(2*PI()*N160*$I$2:$I$20+$K$2:$K$20))</f>
        <v>0.46524078281278775</v>
      </c>
      <c r="U160" s="3">
        <f t="shared" si="16"/>
        <v>1893.1666666666547</v>
      </c>
      <c r="V160" s="3">
        <f t="shared" si="17"/>
        <v>-4.7131999999999993E-2</v>
      </c>
      <c r="Z160" s="1">
        <v>1893.2083</v>
      </c>
      <c r="AA160" s="2">
        <f t="shared" si="21"/>
        <v>-7.5274000000000008E-2</v>
      </c>
      <c r="AB160">
        <v>-3.7637</v>
      </c>
      <c r="AE160">
        <v>1893.1666666666547</v>
      </c>
      <c r="AF160">
        <v>0.46524078281278775</v>
      </c>
    </row>
    <row r="161" spans="4:32" x14ac:dyDescent="0.35">
      <c r="D161">
        <v>-0.16296600000000003</v>
      </c>
      <c r="M161">
        <f t="shared" si="22"/>
        <v>160</v>
      </c>
      <c r="N161">
        <f t="shared" si="23"/>
        <v>1893.2499999999879</v>
      </c>
      <c r="O161">
        <f t="shared" si="18"/>
        <v>0</v>
      </c>
      <c r="P161">
        <f t="array" ref="P161">+SUM($G$2:$G$18*SIN(2*PI()*(N161)*$B$1/$F$2:$F$18+$H$2:$H$18))</f>
        <v>0.41873720161800865</v>
      </c>
      <c r="Q161">
        <f t="shared" si="19"/>
        <v>0</v>
      </c>
      <c r="R161">
        <f t="shared" si="20"/>
        <v>-1.0412127529829864E-2</v>
      </c>
      <c r="S161">
        <f t="array" ref="S161">+$B$2*SIN(R161*$B$3+$B$4)+0*R161+ SUM($J$2:$J$20*SIN(2*PI()*N161*$I$2:$I$20+$K$2:$K$20))</f>
        <v>0.46345224956121411</v>
      </c>
      <c r="U161" s="3">
        <f t="shared" si="16"/>
        <v>1893.2499999999879</v>
      </c>
      <c r="V161" s="3">
        <f t="shared" si="17"/>
        <v>3.6880000000000003E-3</v>
      </c>
      <c r="Z161" s="1">
        <v>1893.2917</v>
      </c>
      <c r="AA161" s="2">
        <f t="shared" si="21"/>
        <v>6.9339999999999999E-2</v>
      </c>
      <c r="AB161">
        <v>3.4670000000000001</v>
      </c>
      <c r="AE161">
        <v>1893.2499999999879</v>
      </c>
      <c r="AF161">
        <v>0.46345224956121411</v>
      </c>
    </row>
    <row r="162" spans="4:32" x14ac:dyDescent="0.35">
      <c r="D162">
        <v>-7.5274000000000008E-2</v>
      </c>
      <c r="M162">
        <f t="shared" si="22"/>
        <v>161</v>
      </c>
      <c r="N162">
        <f t="shared" si="23"/>
        <v>1893.3333333333212</v>
      </c>
      <c r="O162">
        <f t="shared" si="18"/>
        <v>0</v>
      </c>
      <c r="P162">
        <f t="array" ref="P162">+SUM($G$2:$G$18*SIN(2*PI()*(N162)*$B$1/$F$2:$F$18+$H$2:$H$18))</f>
        <v>0.81025648739133227</v>
      </c>
      <c r="Q162">
        <f t="shared" si="19"/>
        <v>0</v>
      </c>
      <c r="R162">
        <f t="shared" si="20"/>
        <v>-1.0396112210305281E-2</v>
      </c>
      <c r="S162">
        <f t="array" ref="S162">+$B$2*SIN(R162*$B$3+$B$4)+0*R162+ SUM($J$2:$J$20*SIN(2*PI()*N162*$I$2:$I$20+$K$2:$K$20))</f>
        <v>0.46166225321737042</v>
      </c>
      <c r="U162" s="3">
        <f t="shared" si="16"/>
        <v>1893.3333333333212</v>
      </c>
      <c r="V162" s="3">
        <f t="shared" si="17"/>
        <v>-0.445494</v>
      </c>
      <c r="Z162" s="1">
        <v>1893.375</v>
      </c>
      <c r="AA162" s="2">
        <f t="shared" si="21"/>
        <v>0.36164600000000002</v>
      </c>
      <c r="AB162">
        <v>18.0823</v>
      </c>
      <c r="AE162">
        <v>1893.3333333333212</v>
      </c>
      <c r="AF162">
        <v>0.46166225321737042</v>
      </c>
    </row>
    <row r="163" spans="4:32" x14ac:dyDescent="0.35">
      <c r="D163">
        <v>6.9339999999999999E-2</v>
      </c>
      <c r="M163">
        <f t="shared" si="22"/>
        <v>162</v>
      </c>
      <c r="N163">
        <f t="shared" si="23"/>
        <v>1893.4166666666545</v>
      </c>
      <c r="O163">
        <f t="shared" si="18"/>
        <v>0</v>
      </c>
      <c r="P163">
        <f t="array" ref="P163">+SUM($G$2:$G$18*SIN(2*PI()*(N163)*$B$1/$F$2:$F$18+$H$2:$H$18))</f>
        <v>0.49601005128463349</v>
      </c>
      <c r="Q163">
        <f t="shared" si="19"/>
        <v>0</v>
      </c>
      <c r="R163">
        <f t="shared" si="20"/>
        <v>-1.038012152459917E-2</v>
      </c>
      <c r="S163">
        <f t="array" ref="S163">+$B$2*SIN(R163*$B$3+$B$4)+0*R163+ SUM($J$2:$J$20*SIN(2*PI()*N163*$I$2:$I$20+$K$2:$K$20))</f>
        <v>0.45987082521162848</v>
      </c>
      <c r="U163" s="3">
        <f t="shared" si="16"/>
        <v>1893.4166666666545</v>
      </c>
      <c r="V163" s="3">
        <f t="shared" si="17"/>
        <v>-0.42852600000000002</v>
      </c>
      <c r="Z163" s="1">
        <v>1893.4583</v>
      </c>
      <c r="AA163" s="2">
        <f t="shared" si="21"/>
        <v>0.56318199999999996</v>
      </c>
      <c r="AB163">
        <v>28.159099999999999</v>
      </c>
      <c r="AE163">
        <v>1893.4166666666545</v>
      </c>
      <c r="AF163">
        <v>0.45987082521162848</v>
      </c>
    </row>
    <row r="164" spans="4:32" x14ac:dyDescent="0.35">
      <c r="D164">
        <v>0.36164600000000002</v>
      </c>
      <c r="M164">
        <f t="shared" si="22"/>
        <v>163</v>
      </c>
      <c r="N164">
        <f t="shared" si="23"/>
        <v>1893.4999999999877</v>
      </c>
      <c r="O164">
        <f t="shared" si="18"/>
        <v>0</v>
      </c>
      <c r="P164">
        <f t="array" ref="P164">+SUM($G$2:$G$18*SIN(2*PI()*(N164)*$B$1/$F$2:$F$18+$H$2:$H$18))</f>
        <v>0.19213995017990385</v>
      </c>
      <c r="Q164">
        <f t="shared" si="19"/>
        <v>0</v>
      </c>
      <c r="R164">
        <f t="shared" si="20"/>
        <v>-1.0364155434821247E-2</v>
      </c>
      <c r="S164">
        <f t="array" ref="S164">+$B$2*SIN(R164*$B$3+$B$4)+0*R164+ SUM($J$2:$J$20*SIN(2*PI()*N164*$I$2:$I$20+$K$2:$K$20))</f>
        <v>0.45807799679937888</v>
      </c>
      <c r="U164" s="3">
        <f t="shared" si="16"/>
        <v>1893.4999999999877</v>
      </c>
      <c r="V164" s="3">
        <f t="shared" si="17"/>
        <v>-0.50848000000000004</v>
      </c>
      <c r="Z164" s="1">
        <v>1893.5417</v>
      </c>
      <c r="AA164" s="2">
        <f t="shared" si="21"/>
        <v>0.303178</v>
      </c>
      <c r="AB164">
        <v>15.158899999999999</v>
      </c>
      <c r="AE164">
        <v>1893.4999999999877</v>
      </c>
      <c r="AF164">
        <v>0.45807799679937888</v>
      </c>
    </row>
    <row r="165" spans="4:32" x14ac:dyDescent="0.35">
      <c r="D165">
        <v>0.56318199999999996</v>
      </c>
      <c r="M165">
        <f t="shared" si="22"/>
        <v>164</v>
      </c>
      <c r="N165">
        <f t="shared" si="23"/>
        <v>1893.583333333321</v>
      </c>
      <c r="O165">
        <f t="shared" si="18"/>
        <v>0</v>
      </c>
      <c r="P165">
        <f t="array" ref="P165">+SUM($G$2:$G$18*SIN(2*PI()*(N165)*$B$1/$F$2:$F$18+$H$2:$H$18))</f>
        <v>0.17452644262981309</v>
      </c>
      <c r="Q165">
        <f t="shared" si="19"/>
        <v>0</v>
      </c>
      <c r="R165">
        <f t="shared" si="20"/>
        <v>-1.0348213903139506E-2</v>
      </c>
      <c r="S165">
        <f t="array" ref="S165">+$B$2*SIN(R165*$B$3+$B$4)+0*R165+ SUM($J$2:$J$20*SIN(2*PI()*N165*$I$2:$I$20+$K$2:$K$20))</f>
        <v>0.45628379906148236</v>
      </c>
      <c r="U165" s="3">
        <f t="shared" si="16"/>
        <v>1893.583333333321</v>
      </c>
      <c r="V165" s="3">
        <f t="shared" si="17"/>
        <v>-0.22074200000000002</v>
      </c>
      <c r="Z165" s="1">
        <v>1893.625</v>
      </c>
      <c r="AA165" s="2">
        <f t="shared" si="21"/>
        <v>0.40317199999999997</v>
      </c>
      <c r="AB165">
        <v>20.1586</v>
      </c>
      <c r="AE165">
        <v>1893.583333333321</v>
      </c>
      <c r="AF165">
        <v>0.45628379906148236</v>
      </c>
    </row>
    <row r="166" spans="4:32" x14ac:dyDescent="0.35">
      <c r="D166">
        <v>0.303178</v>
      </c>
      <c r="M166">
        <f t="shared" si="22"/>
        <v>165</v>
      </c>
      <c r="N166">
        <f t="shared" si="23"/>
        <v>1893.6666666666542</v>
      </c>
      <c r="O166">
        <f t="shared" si="18"/>
        <v>0</v>
      </c>
      <c r="P166">
        <f t="array" ref="P166">+SUM($G$2:$G$18*SIN(2*PI()*(N166)*$B$1/$F$2:$F$18+$H$2:$H$18))</f>
        <v>0.30607796134985576</v>
      </c>
      <c r="Q166">
        <f t="shared" si="19"/>
        <v>0</v>
      </c>
      <c r="R166">
        <f t="shared" si="20"/>
        <v>-1.0332296891780137E-2</v>
      </c>
      <c r="S166">
        <f t="array" ref="S166">+$B$2*SIN(R166*$B$3+$B$4)+0*R166+ SUM($J$2:$J$20*SIN(2*PI()*N166*$I$2:$I$20+$K$2:$K$20))</f>
        <v>0.45448826290472322</v>
      </c>
      <c r="U166" s="3">
        <f t="shared" si="16"/>
        <v>1893.6666666666542</v>
      </c>
      <c r="V166" s="3">
        <f t="shared" si="17"/>
        <v>-7.1470000000000006E-2</v>
      </c>
      <c r="Z166" s="1">
        <v>1893.7083</v>
      </c>
      <c r="AA166" s="2">
        <f t="shared" si="21"/>
        <v>0.54470600000000002</v>
      </c>
      <c r="AB166">
        <v>27.235299999999999</v>
      </c>
      <c r="AE166">
        <v>1893.6666666666542</v>
      </c>
      <c r="AF166">
        <v>0.45448826290472322</v>
      </c>
    </row>
    <row r="167" spans="4:32" x14ac:dyDescent="0.35">
      <c r="D167">
        <v>0.40317199999999997</v>
      </c>
      <c r="M167">
        <f t="shared" si="22"/>
        <v>166</v>
      </c>
      <c r="N167">
        <f t="shared" si="23"/>
        <v>1893.7499999999875</v>
      </c>
      <c r="O167">
        <f t="shared" si="18"/>
        <v>0</v>
      </c>
      <c r="P167">
        <f t="array" ref="P167">+SUM($G$2:$G$18*SIN(2*PI()*(N167)*$B$1/$F$2:$F$18+$H$2:$H$18))</f>
        <v>0.14906892939313243</v>
      </c>
      <c r="Q167">
        <f t="shared" si="19"/>
        <v>0</v>
      </c>
      <c r="R167">
        <f t="shared" si="20"/>
        <v>-1.0316404363027427E-2</v>
      </c>
      <c r="S167">
        <f t="array" ref="S167">+$B$2*SIN(R167*$B$3+$B$4)+0*R167+ SUM($J$2:$J$20*SIN(2*PI()*N167*$I$2:$I$20+$K$2:$K$20))</f>
        <v>0.45269141906226623</v>
      </c>
      <c r="U167" s="3">
        <f t="shared" si="16"/>
        <v>1893.7499999999875</v>
      </c>
      <c r="V167" s="3">
        <f t="shared" si="17"/>
        <v>-0.10680999999999999</v>
      </c>
      <c r="Z167" s="1">
        <v>1893.7917</v>
      </c>
      <c r="AA167" s="2">
        <f t="shared" si="21"/>
        <v>0.38469599999999998</v>
      </c>
      <c r="AB167">
        <v>19.2348</v>
      </c>
      <c r="AE167">
        <v>1893.7499999999875</v>
      </c>
      <c r="AF167">
        <v>0.45269141906226623</v>
      </c>
    </row>
    <row r="168" spans="4:32" x14ac:dyDescent="0.35">
      <c r="D168">
        <v>0.54470600000000002</v>
      </c>
      <c r="M168">
        <f t="shared" si="22"/>
        <v>167</v>
      </c>
      <c r="N168">
        <f t="shared" si="23"/>
        <v>1893.8333333333208</v>
      </c>
      <c r="O168">
        <f t="shared" si="18"/>
        <v>0</v>
      </c>
      <c r="P168">
        <f t="array" ref="P168">+SUM($G$2:$G$18*SIN(2*PI()*(N168)*$B$1/$F$2:$F$18+$H$2:$H$18))</f>
        <v>-0.19927141504330406</v>
      </c>
      <c r="Q168">
        <f t="shared" si="19"/>
        <v>0</v>
      </c>
      <c r="R168">
        <f t="shared" si="20"/>
        <v>-1.0300536279223676E-2</v>
      </c>
      <c r="S168">
        <f t="array" ref="S168">+$B$2*SIN(R168*$B$3+$B$4)+0*R168+ SUM($J$2:$J$20*SIN(2*PI()*N168*$I$2:$I$20+$K$2:$K$20))</f>
        <v>0.45089329809411327</v>
      </c>
      <c r="U168" s="3">
        <f t="shared" si="16"/>
        <v>1893.8333333333208</v>
      </c>
      <c r="V168" s="3">
        <f t="shared" si="17"/>
        <v>-0.19446200000000002</v>
      </c>
      <c r="Z168" s="1">
        <v>1893.875</v>
      </c>
      <c r="AA168" s="2">
        <f t="shared" si="21"/>
        <v>0.32468800000000003</v>
      </c>
      <c r="AB168">
        <v>16.234400000000001</v>
      </c>
      <c r="AE168">
        <v>1893.8333333333208</v>
      </c>
      <c r="AF168">
        <v>0.45089329809411327</v>
      </c>
    </row>
    <row r="169" spans="4:32" x14ac:dyDescent="0.35">
      <c r="D169">
        <v>0.38469599999999998</v>
      </c>
      <c r="M169">
        <f t="shared" si="22"/>
        <v>168</v>
      </c>
      <c r="N169">
        <f t="shared" si="23"/>
        <v>1893.916666666654</v>
      </c>
      <c r="O169">
        <f t="shared" si="18"/>
        <v>0</v>
      </c>
      <c r="P169">
        <f t="array" ref="P169">+SUM($G$2:$G$18*SIN(2*PI()*(N169)*$B$1/$F$2:$F$18+$H$2:$H$18))</f>
        <v>3.3841014609636511E-2</v>
      </c>
      <c r="Q169">
        <f t="shared" si="19"/>
        <v>0</v>
      </c>
      <c r="R169">
        <f t="shared" si="20"/>
        <v>-1.0284692602769109E-2</v>
      </c>
      <c r="S169">
        <f t="array" ref="S169">+$B$2*SIN(R169*$B$3+$B$4)+0*R169+ SUM($J$2:$J$20*SIN(2*PI()*N169*$I$2:$I$20+$K$2:$K$20))</f>
        <v>0.4490939303875679</v>
      </c>
      <c r="U169" s="3">
        <f t="shared" si="16"/>
        <v>1893.916666666654</v>
      </c>
      <c r="V169" s="3">
        <f t="shared" si="17"/>
        <v>-0.10519199999999999</v>
      </c>
      <c r="Z169" s="1">
        <v>1893.9583</v>
      </c>
      <c r="AA169" s="2">
        <f t="shared" si="21"/>
        <v>0.35698799999999997</v>
      </c>
      <c r="AB169">
        <v>17.849399999999999</v>
      </c>
      <c r="AE169">
        <v>1893.916666666654</v>
      </c>
      <c r="AF169">
        <v>0.4490939303875679</v>
      </c>
    </row>
    <row r="170" spans="4:32" x14ac:dyDescent="0.35">
      <c r="D170">
        <v>0.32468800000000003</v>
      </c>
      <c r="M170">
        <f t="shared" si="22"/>
        <v>169</v>
      </c>
      <c r="N170">
        <f t="shared" si="23"/>
        <v>1893.9999999999873</v>
      </c>
      <c r="O170">
        <f t="shared" si="18"/>
        <v>36.637715116165623</v>
      </c>
      <c r="P170">
        <f t="array" ref="P170">+SUM($G$2:$G$18*SIN(2*PI()*(N170)*$B$1/$F$2:$F$18+$H$2:$H$18))</f>
        <v>0.66098543349219674</v>
      </c>
      <c r="Q170">
        <f t="shared" si="19"/>
        <v>24.216996008222342</v>
      </c>
      <c r="R170">
        <f t="shared" si="20"/>
        <v>2.6980279471752879E-2</v>
      </c>
      <c r="S170">
        <f t="array" ref="S170">+$B$2*SIN(R170*$B$3+$B$4)+0*R170+ SUM($J$2:$J$20*SIN(2*PI()*N170*$I$2:$I$20+$K$2:$K$20))</f>
        <v>-6.8590263344072921E-2</v>
      </c>
      <c r="U170" s="3">
        <f t="shared" si="16"/>
        <v>1893.9999999999873</v>
      </c>
      <c r="V170" s="3">
        <f t="shared" si="17"/>
        <v>4.078E-3</v>
      </c>
      <c r="Z170" s="1">
        <v>1894.0417</v>
      </c>
      <c r="AA170" s="2">
        <f t="shared" si="21"/>
        <v>0.30774400000000002</v>
      </c>
      <c r="AB170">
        <v>15.3872</v>
      </c>
      <c r="AE170">
        <v>1893.9999999999873</v>
      </c>
      <c r="AF170">
        <v>-6.8590263344072921E-2</v>
      </c>
    </row>
    <row r="171" spans="4:32" x14ac:dyDescent="0.35">
      <c r="D171">
        <v>0.35698799999999997</v>
      </c>
      <c r="M171">
        <f t="shared" si="22"/>
        <v>170</v>
      </c>
      <c r="N171">
        <f t="shared" si="23"/>
        <v>1894.0833333333205</v>
      </c>
      <c r="O171">
        <f t="shared" si="18"/>
        <v>0</v>
      </c>
      <c r="P171">
        <f t="array" ref="P171">+SUM($G$2:$G$18*SIN(2*PI()*(N171)*$B$1/$F$2:$F$18+$H$2:$H$18))</f>
        <v>0.90037489638144041</v>
      </c>
      <c r="Q171">
        <f t="shared" si="19"/>
        <v>0</v>
      </c>
      <c r="R171">
        <f t="shared" si="20"/>
        <v>2.6938779999587874E-2</v>
      </c>
      <c r="S171">
        <f t="array" ref="S171">+$B$2*SIN(R171*$B$3+$B$4)+0*R171+ SUM($J$2:$J$20*SIN(2*PI()*N171*$I$2:$I$20+$K$2:$K$20))</f>
        <v>-6.2733327037998554E-2</v>
      </c>
      <c r="U171" s="3">
        <f t="shared" si="16"/>
        <v>1894.0833333333205</v>
      </c>
      <c r="V171" s="3">
        <f t="shared" si="17"/>
        <v>3.7961999999999996E-2</v>
      </c>
      <c r="Z171" s="1">
        <v>1894.125</v>
      </c>
      <c r="AA171" s="2">
        <f t="shared" si="21"/>
        <v>0.346194</v>
      </c>
      <c r="AB171">
        <v>17.309699999999999</v>
      </c>
      <c r="AE171">
        <v>1894.0833333333205</v>
      </c>
      <c r="AF171">
        <v>-6.2733327037998554E-2</v>
      </c>
    </row>
    <row r="172" spans="4:32" x14ac:dyDescent="0.35">
      <c r="D172">
        <v>0.30774400000000002</v>
      </c>
      <c r="M172">
        <f t="shared" si="22"/>
        <v>171</v>
      </c>
      <c r="N172">
        <f t="shared" si="23"/>
        <v>1894.1666666666538</v>
      </c>
      <c r="O172">
        <f t="shared" si="18"/>
        <v>0</v>
      </c>
      <c r="P172">
        <f t="array" ref="P172">+SUM($G$2:$G$18*SIN(2*PI()*(N172)*$B$1/$F$2:$F$18+$H$2:$H$18))</f>
        <v>0.76171340370512064</v>
      </c>
      <c r="Q172">
        <f t="shared" si="19"/>
        <v>0</v>
      </c>
      <c r="R172">
        <f t="shared" si="20"/>
        <v>2.6897344359459591E-2</v>
      </c>
      <c r="S172">
        <f t="array" ref="S172">+$B$2*SIN(R172*$B$3+$B$4)+0*R172+ SUM($J$2:$J$20*SIN(2*PI()*N172*$I$2:$I$20+$K$2:$K$20))</f>
        <v>-5.6881581014913328E-2</v>
      </c>
      <c r="U172" s="3">
        <f t="shared" si="16"/>
        <v>1894.1666666666538</v>
      </c>
      <c r="V172" s="3">
        <f t="shared" si="17"/>
        <v>0.18568999999999999</v>
      </c>
      <c r="Z172" s="1">
        <v>1894.2083</v>
      </c>
      <c r="AA172" s="2">
        <f t="shared" si="21"/>
        <v>0.393874</v>
      </c>
      <c r="AB172">
        <v>19.6937</v>
      </c>
      <c r="AE172">
        <v>1894.1666666666538</v>
      </c>
      <c r="AF172">
        <v>-5.6881581014913328E-2</v>
      </c>
    </row>
    <row r="173" spans="4:32" x14ac:dyDescent="0.35">
      <c r="D173">
        <v>0.346194</v>
      </c>
      <c r="M173">
        <f t="shared" si="22"/>
        <v>172</v>
      </c>
      <c r="N173">
        <f t="shared" si="23"/>
        <v>1894.249999999987</v>
      </c>
      <c r="O173">
        <f t="shared" si="18"/>
        <v>0</v>
      </c>
      <c r="P173">
        <f t="array" ref="P173">+SUM($G$2:$G$18*SIN(2*PI()*(N173)*$B$1/$F$2:$F$18+$H$2:$H$18))</f>
        <v>0.42284844694400092</v>
      </c>
      <c r="Q173">
        <f t="shared" si="19"/>
        <v>0</v>
      </c>
      <c r="R173">
        <f t="shared" si="20"/>
        <v>2.685597245318536E-2</v>
      </c>
      <c r="S173">
        <f t="array" ref="S173">+$B$2*SIN(R173*$B$3+$B$4)+0*R173+ SUM($J$2:$J$20*SIN(2*PI()*N173*$I$2:$I$20+$K$2:$K$20))</f>
        <v>-5.1035384106942146E-2</v>
      </c>
      <c r="U173" s="3">
        <f t="shared" si="16"/>
        <v>1894.249999999987</v>
      </c>
      <c r="V173" s="3">
        <f t="shared" si="17"/>
        <v>2.7264E-2</v>
      </c>
      <c r="Z173" s="1">
        <v>1894.2917</v>
      </c>
      <c r="AA173" s="2">
        <f t="shared" si="21"/>
        <v>0.22924399999999998</v>
      </c>
      <c r="AB173">
        <v>11.462199999999999</v>
      </c>
      <c r="AE173">
        <v>1894.249999999987</v>
      </c>
      <c r="AF173">
        <v>-5.1035384106942146E-2</v>
      </c>
    </row>
    <row r="174" spans="4:32" x14ac:dyDescent="0.35">
      <c r="D174">
        <v>0.393874</v>
      </c>
      <c r="M174">
        <f t="shared" si="22"/>
        <v>173</v>
      </c>
      <c r="N174">
        <f t="shared" si="23"/>
        <v>1894.3333333333203</v>
      </c>
      <c r="O174">
        <f t="shared" si="18"/>
        <v>0</v>
      </c>
      <c r="P174">
        <f t="array" ref="P174">+SUM($G$2:$G$18*SIN(2*PI()*(N174)*$B$1/$F$2:$F$18+$H$2:$H$18))</f>
        <v>6.1058758504956054E-2</v>
      </c>
      <c r="Q174">
        <f t="shared" si="19"/>
        <v>0</v>
      </c>
      <c r="R174">
        <f t="shared" si="20"/>
        <v>2.6814664182733532E-2</v>
      </c>
      <c r="S174">
        <f t="array" ref="S174">+$B$2*SIN(R174*$B$3+$B$4)+0*R174+ SUM($J$2:$J$20*SIN(2*PI()*N174*$I$2:$I$20+$K$2:$K$20))</f>
        <v>-4.5195092039579311E-2</v>
      </c>
      <c r="U174" s="3">
        <f t="shared" si="16"/>
        <v>1894.3333333333203</v>
      </c>
      <c r="V174" s="3">
        <f t="shared" si="17"/>
        <v>0.11960800000000001</v>
      </c>
      <c r="Z174" s="1">
        <v>1894.375</v>
      </c>
      <c r="AA174" s="2">
        <f t="shared" si="21"/>
        <v>-8.000199999999999E-2</v>
      </c>
      <c r="AB174">
        <v>-4.0000999999999998</v>
      </c>
      <c r="AE174">
        <v>1894.3333333333203</v>
      </c>
      <c r="AF174">
        <v>-4.5195092039579311E-2</v>
      </c>
    </row>
    <row r="175" spans="4:32" x14ac:dyDescent="0.35">
      <c r="D175">
        <v>0.22924399999999998</v>
      </c>
      <c r="M175">
        <f t="shared" si="22"/>
        <v>174</v>
      </c>
      <c r="N175">
        <f t="shared" si="23"/>
        <v>1894.4166666666536</v>
      </c>
      <c r="O175">
        <f t="shared" si="18"/>
        <v>0</v>
      </c>
      <c r="P175">
        <f t="array" ref="P175">+SUM($G$2:$G$18*SIN(2*PI()*(N175)*$B$1/$F$2:$F$18+$H$2:$H$18))</f>
        <v>1.3785071908618843E-2</v>
      </c>
      <c r="Q175">
        <f t="shared" si="19"/>
        <v>0</v>
      </c>
      <c r="R175">
        <f t="shared" si="20"/>
        <v>2.6773419450223244E-2</v>
      </c>
      <c r="S175">
        <f t="array" ref="S175">+$B$2*SIN(R175*$B$3+$B$4)+0*R175+ SUM($J$2:$J$20*SIN(2*PI()*N175*$I$2:$I$20+$K$2:$K$20))</f>
        <v>-3.936105742828605E-2</v>
      </c>
      <c r="U175" s="3">
        <f t="shared" si="16"/>
        <v>1894.4166666666536</v>
      </c>
      <c r="V175" s="3">
        <f t="shared" si="17"/>
        <v>0.201178</v>
      </c>
      <c r="Z175" s="1">
        <v>1894.4583</v>
      </c>
      <c r="AA175" s="2">
        <f t="shared" si="21"/>
        <v>-0.33078800000000003</v>
      </c>
      <c r="AB175">
        <v>-16.539400000000001</v>
      </c>
      <c r="AE175">
        <v>1894.4166666666536</v>
      </c>
      <c r="AF175">
        <v>-3.936105742828605E-2</v>
      </c>
    </row>
    <row r="176" spans="4:32" x14ac:dyDescent="0.35">
      <c r="D176">
        <v>-8.000199999999999E-2</v>
      </c>
      <c r="M176">
        <f t="shared" si="22"/>
        <v>175</v>
      </c>
      <c r="N176">
        <f t="shared" si="23"/>
        <v>1894.4999999999868</v>
      </c>
      <c r="O176">
        <f t="shared" si="18"/>
        <v>0</v>
      </c>
      <c r="P176">
        <f t="array" ref="P176">+SUM($G$2:$G$18*SIN(2*PI()*(N176)*$B$1/$F$2:$F$18+$H$2:$H$18))</f>
        <v>6.997839327967767E-2</v>
      </c>
      <c r="Q176">
        <f t="shared" si="19"/>
        <v>0</v>
      </c>
      <c r="R176">
        <f t="shared" si="20"/>
        <v>2.6732238157924186E-2</v>
      </c>
      <c r="S176">
        <f t="array" ref="S176">+$B$2*SIN(R176*$B$3+$B$4)+0*R176+ SUM($J$2:$J$20*SIN(2*PI()*N176*$I$2:$I$20+$K$2:$K$20))</f>
        <v>-3.3533629775481223E-2</v>
      </c>
      <c r="U176" s="3">
        <f t="shared" si="16"/>
        <v>1894.4999999999868</v>
      </c>
      <c r="V176" s="3">
        <f t="shared" si="17"/>
        <v>0.11351800000000001</v>
      </c>
      <c r="Z176" s="1">
        <v>1894.5417</v>
      </c>
      <c r="AA176" s="2">
        <f t="shared" si="21"/>
        <v>-8.4651999999999991E-2</v>
      </c>
      <c r="AB176">
        <v>-4.2325999999999997</v>
      </c>
      <c r="AE176">
        <v>1894.4999999999868</v>
      </c>
      <c r="AF176">
        <v>-3.3533629775481223E-2</v>
      </c>
    </row>
    <row r="177" spans="4:32" x14ac:dyDescent="0.35">
      <c r="D177">
        <v>-0.33078800000000003</v>
      </c>
      <c r="M177">
        <f t="shared" si="22"/>
        <v>176</v>
      </c>
      <c r="N177">
        <f t="shared" si="23"/>
        <v>1894.5833333333201</v>
      </c>
      <c r="O177">
        <f t="shared" si="18"/>
        <v>0</v>
      </c>
      <c r="P177">
        <f t="array" ref="P177">+SUM($G$2:$G$18*SIN(2*PI()*(N177)*$B$1/$F$2:$F$18+$H$2:$H$18))</f>
        <v>8.0169191967611103E-2</v>
      </c>
      <c r="Q177">
        <f t="shared" si="19"/>
        <v>0</v>
      </c>
      <c r="R177">
        <f t="shared" si="20"/>
        <v>2.6691120208256373E-2</v>
      </c>
      <c r="S177">
        <f t="array" ref="S177">+$B$2*SIN(R177*$B$3+$B$4)+0*R177+ SUM($J$2:$J$20*SIN(2*PI()*N177*$I$2:$I$20+$K$2:$K$20))</f>
        <v>-2.7713155467928418E-2</v>
      </c>
      <c r="U177" s="3">
        <f t="shared" si="16"/>
        <v>1894.5833333333201</v>
      </c>
      <c r="V177" s="3">
        <f t="shared" si="17"/>
        <v>0.15354999999999999</v>
      </c>
      <c r="Z177" s="1">
        <v>1894.625</v>
      </c>
      <c r="AA177" s="2">
        <f t="shared" si="21"/>
        <v>9.5327999999999996E-2</v>
      </c>
      <c r="AB177">
        <v>4.7664</v>
      </c>
      <c r="AE177">
        <v>1894.5833333333201</v>
      </c>
      <c r="AF177">
        <v>-2.7713155467928418E-2</v>
      </c>
    </row>
    <row r="178" spans="4:32" x14ac:dyDescent="0.35">
      <c r="D178">
        <v>-8.4651999999999991E-2</v>
      </c>
      <c r="M178">
        <f t="shared" si="22"/>
        <v>177</v>
      </c>
      <c r="N178">
        <f t="shared" si="23"/>
        <v>1894.6666666666533</v>
      </c>
      <c r="O178">
        <f t="shared" si="18"/>
        <v>0</v>
      </c>
      <c r="P178">
        <f t="array" ref="P178">+SUM($G$2:$G$18*SIN(2*PI()*(N178)*$B$1/$F$2:$F$18+$H$2:$H$18))</f>
        <v>0.32267607000430554</v>
      </c>
      <c r="Q178">
        <f t="shared" si="19"/>
        <v>0</v>
      </c>
      <c r="R178">
        <f t="shared" si="20"/>
        <v>2.6650065503789913E-2</v>
      </c>
      <c r="S178">
        <f t="array" ref="S178">+$B$2*SIN(R178*$B$3+$B$4)+0*R178+ SUM($J$2:$J$20*SIN(2*PI()*N178*$I$2:$I$20+$K$2:$K$20))</f>
        <v>-2.1899977774501488E-2</v>
      </c>
      <c r="U178" s="3">
        <f t="shared" si="16"/>
        <v>1894.6666666666533</v>
      </c>
      <c r="V178" s="3">
        <f t="shared" si="17"/>
        <v>8.2810000000000009E-2</v>
      </c>
      <c r="Z178" s="1">
        <v>1894.7083</v>
      </c>
      <c r="AA178" s="2">
        <f t="shared" si="21"/>
        <v>-0.12315200000000001</v>
      </c>
      <c r="AB178">
        <v>-6.1576000000000004</v>
      </c>
      <c r="AE178">
        <v>1894.6666666666533</v>
      </c>
      <c r="AF178">
        <v>-2.1899977774501488E-2</v>
      </c>
    </row>
    <row r="179" spans="4:32" x14ac:dyDescent="0.35">
      <c r="D179">
        <v>9.5327999999999996E-2</v>
      </c>
      <c r="M179">
        <f t="shared" si="22"/>
        <v>178</v>
      </c>
      <c r="N179">
        <f t="shared" si="23"/>
        <v>1894.7499999999866</v>
      </c>
      <c r="O179">
        <f t="shared" si="18"/>
        <v>0</v>
      </c>
      <c r="P179">
        <f t="array" ref="P179">+SUM($G$2:$G$18*SIN(2*PI()*(N179)*$B$1/$F$2:$F$18+$H$2:$H$18))</f>
        <v>0.59810696543102382</v>
      </c>
      <c r="Q179">
        <f t="shared" si="19"/>
        <v>0</v>
      </c>
      <c r="R179">
        <f t="shared" si="20"/>
        <v>2.6609073947244773E-2</v>
      </c>
      <c r="S179">
        <f t="array" ref="S179">+$B$2*SIN(R179*$B$3+$B$4)+0*R179+ SUM($J$2:$J$20*SIN(2*PI()*N179*$I$2:$I$20+$K$2:$K$20))</f>
        <v>-1.6094436844332916E-2</v>
      </c>
      <c r="U179" s="3">
        <f t="shared" si="16"/>
        <v>1894.7499999999866</v>
      </c>
      <c r="V179" s="3">
        <f t="shared" si="17"/>
        <v>2.2837999999999997E-2</v>
      </c>
      <c r="Z179" s="1">
        <v>1894.7917</v>
      </c>
      <c r="AA179" s="2">
        <f t="shared" si="21"/>
        <v>-0.20317399999999999</v>
      </c>
      <c r="AB179">
        <v>-10.1587</v>
      </c>
      <c r="AE179">
        <v>1894.7499999999866</v>
      </c>
      <c r="AF179">
        <v>-1.6094436844332916E-2</v>
      </c>
    </row>
    <row r="180" spans="4:32" x14ac:dyDescent="0.35">
      <c r="D180">
        <v>-0.12315200000000001</v>
      </c>
      <c r="M180">
        <f t="shared" si="22"/>
        <v>179</v>
      </c>
      <c r="N180">
        <f t="shared" si="23"/>
        <v>1894.8333333333198</v>
      </c>
      <c r="O180">
        <f t="shared" si="18"/>
        <v>0</v>
      </c>
      <c r="P180">
        <f t="array" ref="P180">+SUM($G$2:$G$18*SIN(2*PI()*(N180)*$B$1/$F$2:$F$18+$H$2:$H$18))</f>
        <v>0.69674021529124974</v>
      </c>
      <c r="Q180">
        <f t="shared" si="19"/>
        <v>0</v>
      </c>
      <c r="R180">
        <f t="shared" si="20"/>
        <v>2.6568145441490547E-2</v>
      </c>
      <c r="S180">
        <f t="array" ref="S180">+$B$2*SIN(R180*$B$3+$B$4)+0*R180+ SUM($J$2:$J$20*SIN(2*PI()*N180*$I$2:$I$20+$K$2:$K$20))</f>
        <v>-1.0296869705336664E-2</v>
      </c>
      <c r="U180" s="3">
        <f t="shared" si="16"/>
        <v>1894.8333333333198</v>
      </c>
      <c r="V180" s="3">
        <f t="shared" si="17"/>
        <v>3.5173999999999997E-2</v>
      </c>
      <c r="Z180" s="1">
        <v>1894.875</v>
      </c>
      <c r="AA180" s="2">
        <f t="shared" si="21"/>
        <v>-0.20473400000000003</v>
      </c>
      <c r="AB180">
        <v>-10.236700000000001</v>
      </c>
      <c r="AE180">
        <v>1894.8333333333198</v>
      </c>
      <c r="AF180">
        <v>-1.0296869705336664E-2</v>
      </c>
    </row>
    <row r="181" spans="4:32" x14ac:dyDescent="0.35">
      <c r="D181">
        <v>-0.20317399999999999</v>
      </c>
      <c r="M181">
        <f t="shared" si="22"/>
        <v>180</v>
      </c>
      <c r="N181">
        <f t="shared" si="23"/>
        <v>1894.9166666666531</v>
      </c>
      <c r="O181">
        <f t="shared" si="18"/>
        <v>0</v>
      </c>
      <c r="P181">
        <f t="array" ref="P181">+SUM($G$2:$G$18*SIN(2*PI()*(N181)*$B$1/$F$2:$F$18+$H$2:$H$18))</f>
        <v>0.66032492600672232</v>
      </c>
      <c r="Q181">
        <f t="shared" si="19"/>
        <v>0</v>
      </c>
      <c r="R181">
        <f t="shared" si="20"/>
        <v>2.6527279889546236E-2</v>
      </c>
      <c r="S181">
        <f t="array" ref="S181">+$B$2*SIN(R181*$B$3+$B$4)+0*R181+ SUM($J$2:$J$20*SIN(2*PI()*N181*$I$2:$I$20+$K$2:$K$20))</f>
        <v>-4.5076102631058726E-3</v>
      </c>
      <c r="U181" s="3">
        <f t="shared" si="16"/>
        <v>1894.9166666666531</v>
      </c>
      <c r="V181" s="3">
        <f t="shared" si="17"/>
        <v>3.9813999999999995E-2</v>
      </c>
      <c r="Z181" s="1">
        <v>1894.9583</v>
      </c>
      <c r="AA181" s="2">
        <f t="shared" si="21"/>
        <v>-0.18167999999999998</v>
      </c>
      <c r="AB181">
        <v>-9.0839999999999996</v>
      </c>
      <c r="AE181">
        <v>1894.9166666666531</v>
      </c>
      <c r="AF181">
        <v>-4.5076102631058726E-3</v>
      </c>
    </row>
    <row r="182" spans="4:32" x14ac:dyDescent="0.35">
      <c r="D182">
        <v>-0.20473400000000003</v>
      </c>
      <c r="M182">
        <f t="shared" si="22"/>
        <v>181</v>
      </c>
      <c r="N182">
        <f t="shared" si="23"/>
        <v>1894.9999999999864</v>
      </c>
      <c r="O182">
        <f t="shared" si="18"/>
        <v>36.637715116165623</v>
      </c>
      <c r="P182">
        <f t="array" ref="P182">+SUM($G$2:$G$18*SIN(2*PI()*(N182)*$B$1/$F$2:$F$18+$H$2:$H$18))</f>
        <v>0.21812105780016527</v>
      </c>
      <c r="Q182">
        <f t="shared" si="19"/>
        <v>7.9914571765191509</v>
      </c>
      <c r="R182">
        <f t="shared" si="20"/>
        <v>3.8778464570100132E-2</v>
      </c>
      <c r="S182">
        <f t="array" ref="S182">+$B$2*SIN(R182*$B$3+$B$4)+0*R182+ SUM($J$2:$J$20*SIN(2*PI()*N182*$I$2:$I$20+$K$2:$K$20))</f>
        <v>-0.55535508628801367</v>
      </c>
      <c r="U182" s="3">
        <f t="shared" si="16"/>
        <v>1894.9999999999864</v>
      </c>
      <c r="V182" s="3">
        <f t="shared" si="17"/>
        <v>-0.25708200000000003</v>
      </c>
      <c r="Z182" s="1">
        <v>1895.0417</v>
      </c>
      <c r="AA182" s="2">
        <f t="shared" si="21"/>
        <v>-0.138628</v>
      </c>
      <c r="AB182">
        <v>-6.9314</v>
      </c>
      <c r="AE182">
        <v>1894.9999999999864</v>
      </c>
      <c r="AF182">
        <v>-0.55535508628801367</v>
      </c>
    </row>
    <row r="183" spans="4:32" x14ac:dyDescent="0.35">
      <c r="D183">
        <v>-0.18167999999999998</v>
      </c>
      <c r="M183">
        <f t="shared" si="22"/>
        <v>182</v>
      </c>
      <c r="N183">
        <f t="shared" si="23"/>
        <v>1895.0833333333196</v>
      </c>
      <c r="O183">
        <f t="shared" si="18"/>
        <v>0</v>
      </c>
      <c r="P183">
        <f t="array" ref="P183">+SUM($G$2:$G$18*SIN(2*PI()*(N183)*$B$1/$F$2:$F$18+$H$2:$H$18))</f>
        <v>-0.35786107511009335</v>
      </c>
      <c r="Q183">
        <f t="shared" si="19"/>
        <v>0</v>
      </c>
      <c r="R183">
        <f t="shared" si="20"/>
        <v>3.8718817826532727E-2</v>
      </c>
      <c r="S183">
        <f t="array" ref="S183">+$B$2*SIN(R183*$B$3+$B$4)+0*R183+ SUM($J$2:$J$20*SIN(2*PI()*N183*$I$2:$I$20+$K$2:$K$20))</f>
        <v>-0.56102424896979353</v>
      </c>
      <c r="U183" s="3">
        <f t="shared" si="16"/>
        <v>1895.0833333333196</v>
      </c>
      <c r="V183" s="3">
        <f t="shared" si="17"/>
        <v>-0.60628799999999994</v>
      </c>
      <c r="Z183" s="1">
        <v>1895.125</v>
      </c>
      <c r="AA183" s="2">
        <f t="shared" si="21"/>
        <v>-9.7116000000000008E-2</v>
      </c>
      <c r="AB183">
        <v>-4.8558000000000003</v>
      </c>
      <c r="AE183">
        <v>1895.0833333333196</v>
      </c>
      <c r="AF183">
        <v>-0.56102424896979353</v>
      </c>
    </row>
    <row r="184" spans="4:32" x14ac:dyDescent="0.35">
      <c r="D184">
        <v>-0.138628</v>
      </c>
      <c r="M184">
        <f t="shared" si="22"/>
        <v>183</v>
      </c>
      <c r="N184">
        <f t="shared" si="23"/>
        <v>1895.1666666666529</v>
      </c>
      <c r="O184">
        <f t="shared" si="18"/>
        <v>0</v>
      </c>
      <c r="P184">
        <f t="array" ref="P184">+SUM($G$2:$G$18*SIN(2*PI()*(N184)*$B$1/$F$2:$F$18+$H$2:$H$18))</f>
        <v>-0.39149239071927705</v>
      </c>
      <c r="Q184">
        <f t="shared" si="19"/>
        <v>0</v>
      </c>
      <c r="R184">
        <f t="shared" si="20"/>
        <v>3.8659262828062958E-2</v>
      </c>
      <c r="S184">
        <f t="array" ref="S184">+$B$2*SIN(R184*$B$3+$B$4)+0*R184+ SUM($J$2:$J$20*SIN(2*PI()*N184*$I$2:$I$20+$K$2:$K$20))</f>
        <v>-0.56661415090206746</v>
      </c>
      <c r="U184" s="3">
        <f t="shared" si="16"/>
        <v>1895.1666666666529</v>
      </c>
      <c r="V184" s="3">
        <f t="shared" si="17"/>
        <v>-0.55242000000000002</v>
      </c>
      <c r="Z184" s="1">
        <v>1895.2083</v>
      </c>
      <c r="AA184" s="2">
        <f t="shared" si="21"/>
        <v>5.3628000000000002E-2</v>
      </c>
      <c r="AB184">
        <v>2.6814</v>
      </c>
      <c r="AE184">
        <v>1895.1666666666529</v>
      </c>
      <c r="AF184">
        <v>-0.56661415090206746</v>
      </c>
    </row>
    <row r="185" spans="4:32" x14ac:dyDescent="0.35">
      <c r="D185">
        <v>-9.7116000000000008E-2</v>
      </c>
      <c r="M185">
        <f t="shared" si="22"/>
        <v>184</v>
      </c>
      <c r="N185">
        <f t="shared" si="23"/>
        <v>1895.2499999999861</v>
      </c>
      <c r="O185">
        <f t="shared" si="18"/>
        <v>0</v>
      </c>
      <c r="P185">
        <f t="array" ref="P185">+SUM($G$2:$G$18*SIN(2*PI()*(N185)*$B$1/$F$2:$F$18+$H$2:$H$18))</f>
        <v>-8.2717266108754073E-2</v>
      </c>
      <c r="Q185">
        <f t="shared" si="19"/>
        <v>0</v>
      </c>
      <c r="R185">
        <f t="shared" si="20"/>
        <v>3.8599799433573938E-2</v>
      </c>
      <c r="S185">
        <f t="array" ref="S185">+$B$2*SIN(R185*$B$3+$B$4)+0*R185+ SUM($J$2:$J$20*SIN(2*PI()*N185*$I$2:$I$20+$K$2:$K$20))</f>
        <v>-0.57212443013471359</v>
      </c>
      <c r="U185" s="3">
        <f t="shared" si="16"/>
        <v>1895.2499999999861</v>
      </c>
      <c r="V185" s="3">
        <f t="shared" si="17"/>
        <v>-0.36932000000000004</v>
      </c>
      <c r="Z185" s="1">
        <v>1895.2917</v>
      </c>
      <c r="AA185" s="2">
        <f t="shared" si="21"/>
        <v>-2.1786E-2</v>
      </c>
      <c r="AB185">
        <v>-1.0892999999999999</v>
      </c>
      <c r="AE185">
        <v>1895.2499999999861</v>
      </c>
      <c r="AF185">
        <v>-0.57212443013471359</v>
      </c>
    </row>
    <row r="186" spans="4:32" x14ac:dyDescent="0.35">
      <c r="D186">
        <v>5.3628000000000002E-2</v>
      </c>
      <c r="M186">
        <f t="shared" si="22"/>
        <v>185</v>
      </c>
      <c r="N186">
        <f t="shared" si="23"/>
        <v>1895.3333333333194</v>
      </c>
      <c r="O186">
        <f t="shared" si="18"/>
        <v>0</v>
      </c>
      <c r="P186">
        <f t="array" ref="P186">+SUM($G$2:$G$18*SIN(2*PI()*(N186)*$B$1/$F$2:$F$18+$H$2:$H$18))</f>
        <v>0.17347072513005751</v>
      </c>
      <c r="Q186">
        <f t="shared" si="19"/>
        <v>0</v>
      </c>
      <c r="R186">
        <f t="shared" si="20"/>
        <v>3.8540427502165832E-2</v>
      </c>
      <c r="S186">
        <f t="array" ref="S186">+$B$2*SIN(R186*$B$3+$B$4)+0*R186+ SUM($J$2:$J$20*SIN(2*PI()*N186*$I$2:$I$20+$K$2:$K$20))</f>
        <v>-0.57755473886554265</v>
      </c>
      <c r="U186" s="3">
        <f t="shared" si="16"/>
        <v>1895.3333333333194</v>
      </c>
      <c r="V186" s="3">
        <f t="shared" si="17"/>
        <v>-0.38314599999999999</v>
      </c>
      <c r="Z186" s="1">
        <v>1895.375</v>
      </c>
      <c r="AA186" s="2">
        <f t="shared" si="21"/>
        <v>2.4340000000000001E-2</v>
      </c>
      <c r="AB186">
        <v>1.2170000000000001</v>
      </c>
      <c r="AE186">
        <v>1895.3333333333194</v>
      </c>
      <c r="AF186">
        <v>-0.57755473886554265</v>
      </c>
    </row>
    <row r="187" spans="4:32" x14ac:dyDescent="0.35">
      <c r="D187">
        <v>-2.1786E-2</v>
      </c>
      <c r="M187">
        <f t="shared" si="22"/>
        <v>186</v>
      </c>
      <c r="N187">
        <f t="shared" si="23"/>
        <v>1895.4166666666526</v>
      </c>
      <c r="O187">
        <f t="shared" si="18"/>
        <v>0</v>
      </c>
      <c r="P187">
        <f t="array" ref="P187">+SUM($G$2:$G$18*SIN(2*PI()*(N187)*$B$1/$F$2:$F$18+$H$2:$H$18))</f>
        <v>0.32915055820763472</v>
      </c>
      <c r="Q187">
        <f t="shared" si="19"/>
        <v>0</v>
      </c>
      <c r="R187">
        <f t="shared" si="20"/>
        <v>3.8481146893155536E-2</v>
      </c>
      <c r="S187">
        <f t="array" ref="S187">+$B$2*SIN(R187*$B$3+$B$4)+0*R187+ SUM($J$2:$J$20*SIN(2*PI()*N187*$I$2:$I$20+$K$2:$K$20))</f>
        <v>-0.58290474335230613</v>
      </c>
      <c r="U187" s="3">
        <f t="shared" ref="U187:U250" si="24">+N187</f>
        <v>1895.4166666666526</v>
      </c>
      <c r="V187" s="3">
        <f t="shared" ref="V187:V250" si="25">+D145</f>
        <v>-0.493896</v>
      </c>
      <c r="Z187" s="1">
        <v>1895.4583</v>
      </c>
      <c r="AA187" s="2">
        <f t="shared" si="21"/>
        <v>0.17354</v>
      </c>
      <c r="AB187">
        <v>8.6769999999999996</v>
      </c>
      <c r="AE187">
        <v>1895.4166666666526</v>
      </c>
      <c r="AF187">
        <v>-0.58290474335230613</v>
      </c>
    </row>
    <row r="188" spans="4:32" x14ac:dyDescent="0.35">
      <c r="D188">
        <v>2.4340000000000001E-2</v>
      </c>
      <c r="M188">
        <f t="shared" si="22"/>
        <v>187</v>
      </c>
      <c r="N188">
        <f t="shared" si="23"/>
        <v>1895.4999999999859</v>
      </c>
      <c r="O188">
        <f t="shared" si="18"/>
        <v>0</v>
      </c>
      <c r="P188">
        <f t="array" ref="P188">+SUM($G$2:$G$18*SIN(2*PI()*(N188)*$B$1/$F$2:$F$18+$H$2:$H$18))</f>
        <v>0.29709504759543742</v>
      </c>
      <c r="Q188">
        <f t="shared" si="19"/>
        <v>0</v>
      </c>
      <c r="R188">
        <f t="shared" si="20"/>
        <v>3.842195746607633E-2</v>
      </c>
      <c r="S188">
        <f t="array" ref="S188">+$B$2*SIN(R188*$B$3+$B$4)+0*R188+ SUM($J$2:$J$20*SIN(2*PI()*N188*$I$2:$I$20+$K$2:$K$20))</f>
        <v>-0.58817412382318646</v>
      </c>
      <c r="U188" s="3">
        <f t="shared" si="24"/>
        <v>1895.4999999999859</v>
      </c>
      <c r="V188" s="3">
        <f t="shared" si="25"/>
        <v>-0.37849200000000005</v>
      </c>
      <c r="Z188" s="1">
        <v>1895.5417</v>
      </c>
      <c r="AA188" s="2">
        <f t="shared" si="21"/>
        <v>6.1200000000000004E-2</v>
      </c>
      <c r="AB188">
        <v>3.06</v>
      </c>
      <c r="AE188">
        <v>1895.4999999999859</v>
      </c>
      <c r="AF188">
        <v>-0.58817412382318646</v>
      </c>
    </row>
    <row r="189" spans="4:32" x14ac:dyDescent="0.35">
      <c r="D189">
        <v>0.17354</v>
      </c>
      <c r="M189">
        <f t="shared" si="22"/>
        <v>188</v>
      </c>
      <c r="N189">
        <f t="shared" si="23"/>
        <v>1895.5833333333192</v>
      </c>
      <c r="O189">
        <f t="shared" si="18"/>
        <v>0</v>
      </c>
      <c r="P189">
        <f t="array" ref="P189">+SUM($G$2:$G$18*SIN(2*PI()*(N189)*$B$1/$F$2:$F$18+$H$2:$H$18))</f>
        <v>0.28791283659221312</v>
      </c>
      <c r="Q189">
        <f t="shared" si="19"/>
        <v>0</v>
      </c>
      <c r="R189">
        <f t="shared" si="20"/>
        <v>3.8362859080677547E-2</v>
      </c>
      <c r="S189">
        <f t="array" ref="S189">+$B$2*SIN(R189*$B$3+$B$4)+0*R189+ SUM($J$2:$J$20*SIN(2*PI()*N189*$I$2:$I$20+$K$2:$K$20))</f>
        <v>-0.59336257438583295</v>
      </c>
      <c r="U189" s="3">
        <f t="shared" si="24"/>
        <v>1895.5833333333192</v>
      </c>
      <c r="V189" s="3">
        <f t="shared" si="25"/>
        <v>-0.23847399999999999</v>
      </c>
      <c r="Z189" s="1">
        <v>1895.625</v>
      </c>
      <c r="AA189" s="2">
        <f t="shared" si="21"/>
        <v>-3.8831999999999998E-2</v>
      </c>
      <c r="AB189">
        <v>-1.9416</v>
      </c>
      <c r="AE189">
        <v>1895.5833333333192</v>
      </c>
      <c r="AF189">
        <v>-0.59336257438583295</v>
      </c>
    </row>
    <row r="190" spans="4:32" x14ac:dyDescent="0.35">
      <c r="D190">
        <v>6.1200000000000004E-2</v>
      </c>
      <c r="M190">
        <f t="shared" si="22"/>
        <v>189</v>
      </c>
      <c r="N190">
        <f t="shared" si="23"/>
        <v>1895.6666666666524</v>
      </c>
      <c r="O190">
        <f t="shared" si="18"/>
        <v>0</v>
      </c>
      <c r="P190">
        <f t="array" ref="P190">+SUM($G$2:$G$18*SIN(2*PI()*(N190)*$B$1/$F$2:$F$18+$H$2:$H$18))</f>
        <v>0.25750729951415741</v>
      </c>
      <c r="Q190">
        <f t="shared" si="19"/>
        <v>0</v>
      </c>
      <c r="R190">
        <f t="shared" si="20"/>
        <v>3.830385159692426E-2</v>
      </c>
      <c r="S190">
        <f t="array" ref="S190">+$B$2*SIN(R190*$B$3+$B$4)+0*R190+ SUM($J$2:$J$20*SIN(2*PI()*N190*$I$2:$I$20+$K$2:$K$20))</f>
        <v>-0.59846980293496843</v>
      </c>
      <c r="U190" s="3">
        <f t="shared" si="24"/>
        <v>1895.6666666666524</v>
      </c>
      <c r="V190" s="3">
        <f t="shared" si="25"/>
        <v>-2.3075999999999999E-2</v>
      </c>
      <c r="Z190" s="1">
        <v>1895.7083</v>
      </c>
      <c r="AA190" s="2">
        <f t="shared" si="21"/>
        <v>-2.5017999999999999E-2</v>
      </c>
      <c r="AB190">
        <v>-1.2508999999999999</v>
      </c>
      <c r="AE190">
        <v>1895.6666666666524</v>
      </c>
      <c r="AF190">
        <v>-0.59846980293496843</v>
      </c>
    </row>
    <row r="191" spans="4:32" x14ac:dyDescent="0.35">
      <c r="D191">
        <v>-3.8831999999999998E-2</v>
      </c>
      <c r="M191">
        <f t="shared" si="22"/>
        <v>190</v>
      </c>
      <c r="N191">
        <f t="shared" si="23"/>
        <v>1895.7499999999857</v>
      </c>
      <c r="O191">
        <f t="shared" si="18"/>
        <v>0</v>
      </c>
      <c r="P191">
        <f t="array" ref="P191">+SUM($G$2:$G$18*SIN(2*PI()*(N191)*$B$1/$F$2:$F$18+$H$2:$H$18))</f>
        <v>-0.26603026377028594</v>
      </c>
      <c r="Q191">
        <f t="shared" si="19"/>
        <v>0</v>
      </c>
      <c r="R191">
        <f t="shared" si="20"/>
        <v>3.8244934874996923E-2</v>
      </c>
      <c r="S191">
        <f t="array" ref="S191">+$B$2*SIN(R191*$B$3+$B$4)+0*R191+ SUM($J$2:$J$20*SIN(2*PI()*N191*$I$2:$I$20+$K$2:$K$20))</f>
        <v>-0.60349553105861953</v>
      </c>
      <c r="U191" s="3">
        <f t="shared" si="24"/>
        <v>1895.7499999999857</v>
      </c>
      <c r="V191" s="3">
        <f t="shared" si="25"/>
        <v>3.6940000000000001E-2</v>
      </c>
      <c r="Z191" s="1">
        <v>1895.7917</v>
      </c>
      <c r="AA191" s="2">
        <f t="shared" si="21"/>
        <v>2.8791999999999998E-2</v>
      </c>
      <c r="AB191">
        <v>1.4396</v>
      </c>
      <c r="AE191">
        <v>1895.7499999999857</v>
      </c>
      <c r="AF191">
        <v>-0.60349553105861953</v>
      </c>
    </row>
    <row r="192" spans="4:32" x14ac:dyDescent="0.35">
      <c r="D192">
        <v>-2.5017999999999999E-2</v>
      </c>
      <c r="M192">
        <f t="shared" si="22"/>
        <v>191</v>
      </c>
      <c r="N192">
        <f t="shared" si="23"/>
        <v>1895.8333333333189</v>
      </c>
      <c r="O192">
        <f t="shared" si="18"/>
        <v>0</v>
      </c>
      <c r="P192">
        <f t="array" ref="P192">+SUM($G$2:$G$18*SIN(2*PI()*(N192)*$B$1/$F$2:$F$18+$H$2:$H$18))</f>
        <v>-0.80831815048479261</v>
      </c>
      <c r="Q192">
        <f t="shared" si="19"/>
        <v>0</v>
      </c>
      <c r="R192">
        <f t="shared" si="20"/>
        <v>3.8186108775291064E-2</v>
      </c>
      <c r="S192">
        <f t="array" ref="S192">+$B$2*SIN(R192*$B$3+$B$4)+0*R192+ SUM($J$2:$J$20*SIN(2*PI()*N192*$I$2:$I$20+$K$2:$K$20))</f>
        <v>-0.60843949394300234</v>
      </c>
      <c r="U192" s="3">
        <f t="shared" si="24"/>
        <v>1895.8333333333189</v>
      </c>
      <c r="V192" s="3">
        <f t="shared" si="25"/>
        <v>4.3108000000000007E-2</v>
      </c>
      <c r="Z192" s="1">
        <v>1895.875</v>
      </c>
      <c r="AA192" s="2">
        <f t="shared" si="21"/>
        <v>0.13183400000000001</v>
      </c>
      <c r="AB192">
        <v>6.5917000000000003</v>
      </c>
      <c r="AE192">
        <v>1895.8333333333189</v>
      </c>
      <c r="AF192">
        <v>-0.60843949394300234</v>
      </c>
    </row>
    <row r="193" spans="4:32" x14ac:dyDescent="0.35">
      <c r="D193">
        <v>2.8791999999999998E-2</v>
      </c>
      <c r="M193">
        <f t="shared" si="22"/>
        <v>192</v>
      </c>
      <c r="N193">
        <f t="shared" si="23"/>
        <v>1895.9166666666522</v>
      </c>
      <c r="O193">
        <f t="shared" si="18"/>
        <v>0</v>
      </c>
      <c r="P193">
        <f t="array" ref="P193">+SUM($G$2:$G$18*SIN(2*PI()*(N193)*$B$1/$F$2:$F$18+$H$2:$H$18))</f>
        <v>-0.64644170586567862</v>
      </c>
      <c r="Q193">
        <f t="shared" si="19"/>
        <v>0</v>
      </c>
      <c r="R193">
        <f t="shared" si="20"/>
        <v>3.8127373158416925E-2</v>
      </c>
      <c r="S193">
        <f t="array" ref="S193">+$B$2*SIN(R193*$B$3+$B$4)+0*R193+ SUM($J$2:$J$20*SIN(2*PI()*N193*$I$2:$I$20+$K$2:$K$20))</f>
        <v>-0.61330144027610589</v>
      </c>
      <c r="U193" s="3">
        <f t="shared" si="24"/>
        <v>1895.9166666666522</v>
      </c>
      <c r="V193" s="3">
        <f t="shared" si="25"/>
        <v>-0.103034</v>
      </c>
      <c r="Z193" s="1">
        <v>1895.9583</v>
      </c>
      <c r="AA193" s="2">
        <f t="shared" si="21"/>
        <v>0.313336</v>
      </c>
      <c r="AB193">
        <v>15.6668</v>
      </c>
      <c r="AE193">
        <v>1895.9166666666522</v>
      </c>
      <c r="AF193">
        <v>-0.61330144027610589</v>
      </c>
    </row>
    <row r="194" spans="4:32" x14ac:dyDescent="0.35">
      <c r="D194">
        <v>0.13183400000000001</v>
      </c>
      <c r="M194">
        <f t="shared" si="22"/>
        <v>193</v>
      </c>
      <c r="N194">
        <f t="shared" si="23"/>
        <v>1895.9999999999854</v>
      </c>
      <c r="O194">
        <f t="shared" ref="O194:O257" si="26">+IF(MOD(M194,$B$5)=1, $B$6, 0)</f>
        <v>36.637715116165623</v>
      </c>
      <c r="P194">
        <f t="array" ref="P194">+SUM($G$2:$G$18*SIN(2*PI()*(N194)*$B$1/$F$2:$F$18+$H$2:$H$18))</f>
        <v>-0.14463893809992592</v>
      </c>
      <c r="Q194">
        <f t="shared" si="19"/>
        <v>-5.2992402088097998</v>
      </c>
      <c r="R194">
        <f t="shared" si="20"/>
        <v>2.9917749620818231E-2</v>
      </c>
      <c r="S194">
        <f t="array" ref="S194">+$B$2*SIN(R194*$B$3+$B$4)+0*R194+ SUM($J$2:$J$20*SIN(2*PI()*N194*$I$2:$I$20+$K$2:$K$20))</f>
        <v>-0.45200909671460832</v>
      </c>
      <c r="U194" s="3">
        <f t="shared" si="24"/>
        <v>1895.9999999999854</v>
      </c>
      <c r="V194" s="3">
        <f t="shared" si="25"/>
        <v>-0.40917399999999998</v>
      </c>
      <c r="Z194" s="1">
        <v>1896.0417</v>
      </c>
      <c r="AA194" s="2">
        <f t="shared" si="21"/>
        <v>0.57637399999999994</v>
      </c>
      <c r="AB194">
        <v>28.8187</v>
      </c>
      <c r="AE194">
        <v>1895.9999999999854</v>
      </c>
      <c r="AF194">
        <v>-0.45200909671460832</v>
      </c>
    </row>
    <row r="195" spans="4:32" x14ac:dyDescent="0.35">
      <c r="D195">
        <v>0.313336</v>
      </c>
      <c r="M195">
        <f t="shared" si="22"/>
        <v>194</v>
      </c>
      <c r="N195">
        <f t="shared" si="23"/>
        <v>1896.0833333333187</v>
      </c>
      <c r="O195">
        <f t="shared" si="26"/>
        <v>0</v>
      </c>
      <c r="P195">
        <f t="array" ref="P195">+SUM($G$2:$G$18*SIN(2*PI()*(N195)*$B$1/$F$2:$F$18+$H$2:$H$18))</f>
        <v>0.19778101403448617</v>
      </c>
      <c r="Q195">
        <f t="shared" ref="Q195:Q258" si="27">+O195*P195</f>
        <v>0</v>
      </c>
      <c r="R195">
        <f t="shared" ref="R195:R258" si="28">+(1-$B$7)*R194+($B$7)*Q195</f>
        <v>2.987173190558557E-2</v>
      </c>
      <c r="S195">
        <f t="array" ref="S195">+$B$2*SIN(R195*$B$3+$B$4)+0*R195+ SUM($J$2:$J$20*SIN(2*PI()*N195*$I$2:$I$20+$K$2:$K$20))</f>
        <v>-0.44677903070070457</v>
      </c>
      <c r="U195" s="3">
        <f t="shared" si="24"/>
        <v>1896.0833333333187</v>
      </c>
      <c r="V195" s="3">
        <f t="shared" si="25"/>
        <v>-0.29070200000000002</v>
      </c>
      <c r="Z195" s="1">
        <v>1896.125</v>
      </c>
      <c r="AA195" s="2">
        <f t="shared" ref="AA195:AA258" si="29">+AB195/50</f>
        <v>0.61941200000000007</v>
      </c>
      <c r="AB195">
        <v>30.970600000000001</v>
      </c>
      <c r="AE195">
        <v>1896.0833333333187</v>
      </c>
      <c r="AF195">
        <v>-0.44677903070070457</v>
      </c>
    </row>
    <row r="196" spans="4:32" x14ac:dyDescent="0.35">
      <c r="D196">
        <v>0.57637399999999994</v>
      </c>
      <c r="M196">
        <f t="shared" ref="M196:M259" si="30">+M195+1</f>
        <v>195</v>
      </c>
      <c r="N196">
        <f t="shared" ref="N196:N259" si="31">+N195+1/12</f>
        <v>1896.166666666652</v>
      </c>
      <c r="O196">
        <f t="shared" si="26"/>
        <v>0</v>
      </c>
      <c r="P196">
        <f t="array" ref="P196">+SUM($G$2:$G$18*SIN(2*PI()*(N196)*$B$1/$F$2:$F$18+$H$2:$H$18))</f>
        <v>0.22347186447149167</v>
      </c>
      <c r="Q196">
        <f t="shared" si="27"/>
        <v>0</v>
      </c>
      <c r="R196">
        <f t="shared" si="28"/>
        <v>2.9825784972084227E-2</v>
      </c>
      <c r="S196">
        <f t="array" ref="S196">+$B$2*SIN(R196*$B$3+$B$4)+0*R196+ SUM($J$2:$J$20*SIN(2*PI()*N196*$I$2:$I$20+$K$2:$K$20))</f>
        <v>-0.4415235716946399</v>
      </c>
      <c r="U196" s="3">
        <f t="shared" si="24"/>
        <v>1896.166666666652</v>
      </c>
      <c r="V196" s="3">
        <f t="shared" si="25"/>
        <v>-0.21376999999999999</v>
      </c>
      <c r="Z196" s="1">
        <v>1896.2083</v>
      </c>
      <c r="AA196" s="2">
        <f t="shared" si="29"/>
        <v>0.52706399999999998</v>
      </c>
      <c r="AB196">
        <v>26.353200000000001</v>
      </c>
      <c r="AE196">
        <v>1896.166666666652</v>
      </c>
      <c r="AF196">
        <v>-0.4415235716946399</v>
      </c>
    </row>
    <row r="197" spans="4:32" x14ac:dyDescent="0.35">
      <c r="D197">
        <v>0.61941200000000007</v>
      </c>
      <c r="M197">
        <f t="shared" si="30"/>
        <v>196</v>
      </c>
      <c r="N197">
        <f t="shared" si="31"/>
        <v>1896.2499999999852</v>
      </c>
      <c r="O197">
        <f t="shared" si="26"/>
        <v>0</v>
      </c>
      <c r="P197">
        <f t="array" ref="P197">+SUM($G$2:$G$18*SIN(2*PI()*(N197)*$B$1/$F$2:$F$18+$H$2:$H$18))</f>
        <v>-1.392222150162914E-2</v>
      </c>
      <c r="Q197">
        <f t="shared" si="27"/>
        <v>0</v>
      </c>
      <c r="R197">
        <f t="shared" si="28"/>
        <v>2.977990871144192E-2</v>
      </c>
      <c r="S197">
        <f t="array" ref="S197">+$B$2*SIN(R197*$B$3+$B$4)+0*R197+ SUM($J$2:$J$20*SIN(2*PI()*N197*$I$2:$I$20+$K$2:$K$20))</f>
        <v>-0.43624325365163324</v>
      </c>
      <c r="U197" s="3">
        <f t="shared" si="24"/>
        <v>1896.2499999999852</v>
      </c>
      <c r="V197" s="3">
        <f t="shared" si="25"/>
        <v>-0.28760799999999997</v>
      </c>
      <c r="Z197" s="1">
        <v>1896.2917</v>
      </c>
      <c r="AA197" s="2">
        <f t="shared" si="29"/>
        <v>0.20856000000000002</v>
      </c>
      <c r="AB197">
        <v>10.428000000000001</v>
      </c>
      <c r="AE197">
        <v>1896.2499999999852</v>
      </c>
      <c r="AF197">
        <v>-0.43624325365163324</v>
      </c>
    </row>
    <row r="198" spans="4:32" x14ac:dyDescent="0.35">
      <c r="D198">
        <v>0.52706399999999998</v>
      </c>
      <c r="M198">
        <f t="shared" si="30"/>
        <v>197</v>
      </c>
      <c r="N198">
        <f t="shared" si="31"/>
        <v>1896.3333333333185</v>
      </c>
      <c r="O198">
        <f t="shared" si="26"/>
        <v>0</v>
      </c>
      <c r="P198">
        <f t="array" ref="P198">+SUM($G$2:$G$18*SIN(2*PI()*(N198)*$B$1/$F$2:$F$18+$H$2:$H$18))</f>
        <v>-9.5411998200150394E-2</v>
      </c>
      <c r="Q198">
        <f t="shared" si="27"/>
        <v>0</v>
      </c>
      <c r="R198">
        <f t="shared" si="28"/>
        <v>2.9734103014953835E-2</v>
      </c>
      <c r="S198">
        <f t="array" ref="S198">+$B$2*SIN(R198*$B$3+$B$4)+0*R198+ SUM($J$2:$J$20*SIN(2*PI()*N198*$I$2:$I$20+$K$2:$K$20))</f>
        <v>-0.43093860882810126</v>
      </c>
      <c r="U198" s="3">
        <f t="shared" si="24"/>
        <v>1896.3333333333185</v>
      </c>
      <c r="V198" s="3">
        <f t="shared" si="25"/>
        <v>-0.39837000000000006</v>
      </c>
      <c r="Z198" s="1">
        <v>1896.375</v>
      </c>
      <c r="AA198" s="2">
        <f t="shared" si="29"/>
        <v>9.3133999999999995E-2</v>
      </c>
      <c r="AB198">
        <v>4.6566999999999998</v>
      </c>
      <c r="AE198">
        <v>1896.3333333333185</v>
      </c>
      <c r="AF198">
        <v>-0.43093860882810126</v>
      </c>
    </row>
    <row r="199" spans="4:32" x14ac:dyDescent="0.35">
      <c r="D199">
        <v>0.20856000000000002</v>
      </c>
      <c r="M199">
        <f t="shared" si="30"/>
        <v>198</v>
      </c>
      <c r="N199">
        <f t="shared" si="31"/>
        <v>1896.4166666666517</v>
      </c>
      <c r="O199">
        <f t="shared" si="26"/>
        <v>0</v>
      </c>
      <c r="P199">
        <f t="array" ref="P199">+SUM($G$2:$G$18*SIN(2*PI()*(N199)*$B$1/$F$2:$F$18+$H$2:$H$18))</f>
        <v>-0.17544185739740029</v>
      </c>
      <c r="Q199">
        <f t="shared" si="27"/>
        <v>0</v>
      </c>
      <c r="R199">
        <f t="shared" si="28"/>
        <v>2.9688367774082354E-2</v>
      </c>
      <c r="S199">
        <f t="array" ref="S199">+$B$2*SIN(R199*$B$3+$B$4)+0*R199+ SUM($J$2:$J$20*SIN(2*PI()*N199*$I$2:$I$20+$K$2:$K$20))</f>
        <v>-0.42561016773983645</v>
      </c>
      <c r="U199" s="3">
        <f t="shared" si="24"/>
        <v>1896.4166666666517</v>
      </c>
      <c r="V199" s="3">
        <f t="shared" si="25"/>
        <v>-0.23221</v>
      </c>
      <c r="Z199" s="1">
        <v>1896.4583</v>
      </c>
      <c r="AA199" s="2">
        <f t="shared" si="29"/>
        <v>-0.17152400000000001</v>
      </c>
      <c r="AB199">
        <v>-8.5762</v>
      </c>
      <c r="AE199">
        <v>1896.4166666666517</v>
      </c>
      <c r="AF199">
        <v>-0.42561016773983645</v>
      </c>
    </row>
    <row r="200" spans="4:32" x14ac:dyDescent="0.35">
      <c r="D200">
        <v>9.3133999999999995E-2</v>
      </c>
      <c r="M200">
        <f t="shared" si="30"/>
        <v>199</v>
      </c>
      <c r="N200">
        <f t="shared" si="31"/>
        <v>1896.499999999985</v>
      </c>
      <c r="O200">
        <f t="shared" si="26"/>
        <v>0</v>
      </c>
      <c r="P200">
        <f t="array" ref="P200">+SUM($G$2:$G$18*SIN(2*PI()*(N200)*$B$1/$F$2:$F$18+$H$2:$H$18))</f>
        <v>-0.67595053479044853</v>
      </c>
      <c r="Q200">
        <f t="shared" si="27"/>
        <v>0</v>
      </c>
      <c r="R200">
        <f t="shared" si="28"/>
        <v>2.9642702880456812E-2</v>
      </c>
      <c r="S200">
        <f t="array" ref="S200">+$B$2*SIN(R200*$B$3+$B$4)+0*R200+ SUM($J$2:$J$20*SIN(2*PI()*N200*$I$2:$I$20+$K$2:$K$20))</f>
        <v>-0.42025845912092408</v>
      </c>
      <c r="U200" s="3">
        <f t="shared" si="24"/>
        <v>1896.499999999985</v>
      </c>
      <c r="V200" s="3">
        <f t="shared" si="25"/>
        <v>-0.14143600000000001</v>
      </c>
      <c r="Z200" s="1">
        <v>1896.5417</v>
      </c>
      <c r="AA200" s="2">
        <f t="shared" si="29"/>
        <v>-0.32695599999999997</v>
      </c>
      <c r="AB200">
        <v>-16.347799999999999</v>
      </c>
      <c r="AE200">
        <v>1896.499999999985</v>
      </c>
      <c r="AF200">
        <v>-0.42025845912092408</v>
      </c>
    </row>
    <row r="201" spans="4:32" x14ac:dyDescent="0.35">
      <c r="D201">
        <v>-0.17152400000000001</v>
      </c>
      <c r="M201">
        <f t="shared" si="30"/>
        <v>200</v>
      </c>
      <c r="N201">
        <f t="shared" si="31"/>
        <v>1896.5833333333183</v>
      </c>
      <c r="O201">
        <f t="shared" si="26"/>
        <v>0</v>
      </c>
      <c r="P201">
        <f t="array" ref="P201">+SUM($G$2:$G$18*SIN(2*PI()*(N201)*$B$1/$F$2:$F$18+$H$2:$H$18))</f>
        <v>-0.95762713532659394</v>
      </c>
      <c r="Q201">
        <f t="shared" si="27"/>
        <v>0</v>
      </c>
      <c r="R201">
        <f t="shared" si="28"/>
        <v>2.959710822587323E-2</v>
      </c>
      <c r="S201">
        <f t="array" ref="S201">+$B$2*SIN(R201*$B$3+$B$4)+0*R201+ SUM($J$2:$J$20*SIN(2*PI()*N201*$I$2:$I$20+$K$2:$K$20))</f>
        <v>-0.41488400988338303</v>
      </c>
      <c r="U201" s="3">
        <f t="shared" si="24"/>
        <v>1896.5833333333183</v>
      </c>
      <c r="V201" s="3">
        <f t="shared" si="25"/>
        <v>-0.109124</v>
      </c>
      <c r="Z201" s="1">
        <v>1896.625</v>
      </c>
      <c r="AA201" s="2">
        <f t="shared" si="29"/>
        <v>-0.43315399999999998</v>
      </c>
      <c r="AB201">
        <v>-21.657699999999998</v>
      </c>
      <c r="AE201">
        <v>1896.5833333333183</v>
      </c>
      <c r="AF201">
        <v>-0.41488400988338303</v>
      </c>
    </row>
    <row r="202" spans="4:32" x14ac:dyDescent="0.35">
      <c r="D202">
        <v>-0.32695599999999997</v>
      </c>
      <c r="M202">
        <f t="shared" si="30"/>
        <v>201</v>
      </c>
      <c r="N202">
        <f t="shared" si="31"/>
        <v>1896.6666666666515</v>
      </c>
      <c r="O202">
        <f t="shared" si="26"/>
        <v>0</v>
      </c>
      <c r="P202">
        <f t="array" ref="P202">+SUM($G$2:$G$18*SIN(2*PI()*(N202)*$B$1/$F$2:$F$18+$H$2:$H$18))</f>
        <v>-0.53561527549051413</v>
      </c>
      <c r="Q202">
        <f t="shared" si="27"/>
        <v>0</v>
      </c>
      <c r="R202">
        <f t="shared" si="28"/>
        <v>2.9551583702294066E-2</v>
      </c>
      <c r="S202">
        <f t="array" ref="S202">+$B$2*SIN(R202*$B$3+$B$4)+0*R202+ SUM($J$2:$J$20*SIN(2*PI()*N202*$I$2:$I$20+$K$2:$K$20))</f>
        <v>-0.40948734507753881</v>
      </c>
      <c r="U202" s="3">
        <f t="shared" si="24"/>
        <v>1896.6666666666515</v>
      </c>
      <c r="V202" s="3">
        <f t="shared" si="25"/>
        <v>-0.12912200000000001</v>
      </c>
      <c r="Z202" s="1">
        <v>1896.7083</v>
      </c>
      <c r="AA202" s="2">
        <f t="shared" si="29"/>
        <v>-0.64704800000000007</v>
      </c>
      <c r="AB202">
        <v>-32.352400000000003</v>
      </c>
      <c r="AE202">
        <v>1896.6666666666515</v>
      </c>
      <c r="AF202">
        <v>-0.40948734507753881</v>
      </c>
    </row>
    <row r="203" spans="4:32" x14ac:dyDescent="0.35">
      <c r="D203">
        <v>-0.43315399999999998</v>
      </c>
      <c r="M203">
        <f t="shared" si="30"/>
        <v>202</v>
      </c>
      <c r="N203">
        <f t="shared" si="31"/>
        <v>1896.7499999999848</v>
      </c>
      <c r="O203">
        <f t="shared" si="26"/>
        <v>0</v>
      </c>
      <c r="P203">
        <f t="array" ref="P203">+SUM($G$2:$G$18*SIN(2*PI()*(N203)*$B$1/$F$2:$F$18+$H$2:$H$18))</f>
        <v>3.3809174572022697E-2</v>
      </c>
      <c r="Q203">
        <f t="shared" si="27"/>
        <v>0</v>
      </c>
      <c r="R203">
        <f t="shared" si="28"/>
        <v>2.9506129201847947E-2</v>
      </c>
      <c r="S203">
        <f t="array" ref="S203">+$B$2*SIN(R203*$B$3+$B$4)+0*R203+ SUM($J$2:$J$20*SIN(2*PI()*N203*$I$2:$I$20+$K$2:$K$20))</f>
        <v>-0.40406898785311335</v>
      </c>
      <c r="U203" s="3">
        <f t="shared" si="24"/>
        <v>1896.7499999999848</v>
      </c>
      <c r="V203" s="3">
        <f t="shared" si="25"/>
        <v>-0.16296600000000003</v>
      </c>
      <c r="Z203" s="1">
        <v>1896.7917</v>
      </c>
      <c r="AA203" s="2">
        <f t="shared" si="29"/>
        <v>-0.66555800000000009</v>
      </c>
      <c r="AB203">
        <v>-33.277900000000002</v>
      </c>
      <c r="AE203">
        <v>1896.7499999999848</v>
      </c>
      <c r="AF203">
        <v>-0.40406898785311335</v>
      </c>
    </row>
    <row r="204" spans="4:32" x14ac:dyDescent="0.35">
      <c r="D204">
        <v>-0.64704800000000007</v>
      </c>
      <c r="M204">
        <f t="shared" si="30"/>
        <v>203</v>
      </c>
      <c r="N204">
        <f t="shared" si="31"/>
        <v>1896.833333333318</v>
      </c>
      <c r="O204">
        <f t="shared" si="26"/>
        <v>0</v>
      </c>
      <c r="P204">
        <f t="array" ref="P204">+SUM($G$2:$G$18*SIN(2*PI()*(N204)*$B$1/$F$2:$F$18+$H$2:$H$18))</f>
        <v>0.32272630718198786</v>
      </c>
      <c r="Q204">
        <f t="shared" si="27"/>
        <v>0</v>
      </c>
      <c r="R204">
        <f t="shared" si="28"/>
        <v>2.9460744616829428E-2</v>
      </c>
      <c r="S204">
        <f t="array" ref="S204">+$B$2*SIN(R204*$B$3+$B$4)+0*R204+ SUM($J$2:$J$20*SIN(2*PI()*N204*$I$2:$I$20+$K$2:$K$20))</f>
        <v>-0.39862945942103584</v>
      </c>
      <c r="U204" s="3">
        <f t="shared" si="24"/>
        <v>1896.833333333318</v>
      </c>
      <c r="V204" s="3">
        <f t="shared" si="25"/>
        <v>-7.5274000000000008E-2</v>
      </c>
      <c r="Z204" s="1">
        <v>1896.875</v>
      </c>
      <c r="AA204" s="2">
        <f t="shared" si="29"/>
        <v>-0.56714599999999993</v>
      </c>
      <c r="AB204">
        <v>-28.357299999999999</v>
      </c>
      <c r="AE204">
        <v>1896.833333333318</v>
      </c>
      <c r="AF204">
        <v>-0.39862945942103584</v>
      </c>
    </row>
    <row r="205" spans="4:32" x14ac:dyDescent="0.35">
      <c r="D205">
        <v>-0.66555800000000009</v>
      </c>
      <c r="M205">
        <f t="shared" si="30"/>
        <v>204</v>
      </c>
      <c r="N205">
        <f t="shared" si="31"/>
        <v>1896.9166666666513</v>
      </c>
      <c r="O205">
        <f t="shared" si="26"/>
        <v>0</v>
      </c>
      <c r="P205">
        <f t="array" ref="P205">+SUM($G$2:$G$18*SIN(2*PI()*(N205)*$B$1/$F$2:$F$18+$H$2:$H$18))</f>
        <v>0.1997816014182533</v>
      </c>
      <c r="Q205">
        <f t="shared" si="27"/>
        <v>0</v>
      </c>
      <c r="R205">
        <f t="shared" si="28"/>
        <v>2.9415429839698731E-2</v>
      </c>
      <c r="S205">
        <f t="array" ref="S205">+$B$2*SIN(R205*$B$3+$B$4)+0*R205+ SUM($J$2:$J$20*SIN(2*PI()*N205*$I$2:$I$20+$K$2:$K$20))</f>
        <v>-0.39316927901596738</v>
      </c>
      <c r="U205" s="3">
        <f t="shared" si="24"/>
        <v>1896.9166666666513</v>
      </c>
      <c r="V205" s="3">
        <f t="shared" si="25"/>
        <v>6.9339999999999999E-2</v>
      </c>
      <c r="Z205" s="1">
        <v>1896.9583</v>
      </c>
      <c r="AA205" s="2">
        <f t="shared" si="29"/>
        <v>-0.66565799999999997</v>
      </c>
      <c r="AB205">
        <v>-33.282899999999998</v>
      </c>
      <c r="AE205">
        <v>1896.9166666666513</v>
      </c>
      <c r="AF205">
        <v>-0.39316927901596738</v>
      </c>
    </row>
    <row r="206" spans="4:32" x14ac:dyDescent="0.35">
      <c r="D206">
        <v>-0.56714599999999993</v>
      </c>
      <c r="M206">
        <f t="shared" si="30"/>
        <v>205</v>
      </c>
      <c r="N206">
        <f t="shared" si="31"/>
        <v>1896.9999999999845</v>
      </c>
      <c r="O206">
        <f t="shared" si="26"/>
        <v>36.637715116165623</v>
      </c>
      <c r="P206">
        <f t="array" ref="P206">+SUM($G$2:$G$18*SIN(2*PI()*(N206)*$B$1/$F$2:$F$18+$H$2:$H$18))</f>
        <v>-0.16316400878813273</v>
      </c>
      <c r="Q206">
        <f t="shared" si="27"/>
        <v>-5.9779564711911508</v>
      </c>
      <c r="R206">
        <f t="shared" si="28"/>
        <v>2.0175245235507538E-2</v>
      </c>
      <c r="S206">
        <f t="array" ref="S206">+$B$2*SIN(R206*$B$3+$B$4)+0*R206+ SUM($J$2:$J$20*SIN(2*PI()*N206*$I$2:$I$20+$K$2:$K$20))</f>
        <v>0.69868454149183068</v>
      </c>
      <c r="U206" s="3">
        <f t="shared" si="24"/>
        <v>1896.9999999999845</v>
      </c>
      <c r="V206" s="3">
        <f t="shared" si="25"/>
        <v>0.36164600000000002</v>
      </c>
      <c r="Z206" s="1">
        <v>1897.0417</v>
      </c>
      <c r="AA206" s="2">
        <f t="shared" si="29"/>
        <v>-0.53955599999999992</v>
      </c>
      <c r="AB206">
        <v>-26.977799999999998</v>
      </c>
      <c r="AE206">
        <v>1896.9999999999845</v>
      </c>
      <c r="AF206">
        <v>0.69868454149183068</v>
      </c>
    </row>
    <row r="207" spans="4:32" x14ac:dyDescent="0.35">
      <c r="D207">
        <v>-0.66565799999999997</v>
      </c>
      <c r="M207">
        <f t="shared" si="30"/>
        <v>206</v>
      </c>
      <c r="N207">
        <f t="shared" si="31"/>
        <v>1897.0833333333178</v>
      </c>
      <c r="O207">
        <f t="shared" si="26"/>
        <v>0</v>
      </c>
      <c r="P207">
        <f t="array" ref="P207">+SUM($G$2:$G$18*SIN(2*PI()*(N207)*$B$1/$F$2:$F$18+$H$2:$H$18))</f>
        <v>-0.2829746898636904</v>
      </c>
      <c r="Q207">
        <f t="shared" si="27"/>
        <v>0</v>
      </c>
      <c r="R207">
        <f t="shared" si="28"/>
        <v>2.0144212865033033E-2</v>
      </c>
      <c r="S207">
        <f t="array" ref="S207">+$B$2*SIN(R207*$B$3+$B$4)+0*R207+ SUM($J$2:$J$20*SIN(2*PI()*N207*$I$2:$I$20+$K$2:$K$20))</f>
        <v>0.70030847539628327</v>
      </c>
      <c r="U207" s="3">
        <f t="shared" si="24"/>
        <v>1897.0833333333178</v>
      </c>
      <c r="V207" s="3">
        <f t="shared" si="25"/>
        <v>0.56318199999999996</v>
      </c>
      <c r="Z207" s="1">
        <v>1897.125</v>
      </c>
      <c r="AA207" s="2">
        <f t="shared" si="29"/>
        <v>-0.72576200000000002</v>
      </c>
      <c r="AB207">
        <v>-36.2881</v>
      </c>
      <c r="AE207">
        <v>1897.0833333333178</v>
      </c>
      <c r="AF207">
        <v>0.70030847539628327</v>
      </c>
    </row>
    <row r="208" spans="4:32" x14ac:dyDescent="0.35">
      <c r="D208">
        <v>-0.53955599999999992</v>
      </c>
      <c r="M208">
        <f t="shared" si="30"/>
        <v>207</v>
      </c>
      <c r="N208">
        <f t="shared" si="31"/>
        <v>1897.1666666666511</v>
      </c>
      <c r="O208">
        <f t="shared" si="26"/>
        <v>0</v>
      </c>
      <c r="P208">
        <f t="array" ref="P208">+SUM($G$2:$G$18*SIN(2*PI()*(N208)*$B$1/$F$2:$F$18+$H$2:$H$18))</f>
        <v>-0.38978791727767703</v>
      </c>
      <c r="Q208">
        <f t="shared" si="27"/>
        <v>0</v>
      </c>
      <c r="R208">
        <f t="shared" si="28"/>
        <v>2.0113228226717718E-2</v>
      </c>
      <c r="S208">
        <f t="array" ref="S208">+$B$2*SIN(R208*$B$3+$B$4)+0*R208+ SUM($J$2:$J$20*SIN(2*PI()*N208*$I$2:$I$20+$K$2:$K$20))</f>
        <v>0.70190607677371342</v>
      </c>
      <c r="U208" s="3">
        <f t="shared" si="24"/>
        <v>1897.1666666666511</v>
      </c>
      <c r="V208" s="3">
        <f t="shared" si="25"/>
        <v>0.303178</v>
      </c>
      <c r="Z208" s="1">
        <v>1897.2083</v>
      </c>
      <c r="AA208" s="2">
        <f t="shared" si="29"/>
        <v>-0.80273799999999995</v>
      </c>
      <c r="AB208">
        <v>-40.136899999999997</v>
      </c>
      <c r="AE208">
        <v>1897.1666666666511</v>
      </c>
      <c r="AF208">
        <v>0.70190607677371342</v>
      </c>
    </row>
    <row r="209" spans="4:32" x14ac:dyDescent="0.35">
      <c r="D209">
        <v>-0.72576200000000002</v>
      </c>
      <c r="M209">
        <f t="shared" si="30"/>
        <v>208</v>
      </c>
      <c r="N209">
        <f t="shared" si="31"/>
        <v>1897.2499999999843</v>
      </c>
      <c r="O209">
        <f t="shared" si="26"/>
        <v>0</v>
      </c>
      <c r="P209">
        <f t="array" ref="P209">+SUM($G$2:$G$18*SIN(2*PI()*(N209)*$B$1/$F$2:$F$18+$H$2:$H$18))</f>
        <v>-0.74312175693625482</v>
      </c>
      <c r="Q209">
        <f t="shared" si="27"/>
        <v>0</v>
      </c>
      <c r="R209">
        <f t="shared" si="28"/>
        <v>2.0082291247142805E-2</v>
      </c>
      <c r="S209">
        <f t="array" ref="S209">+$B$2*SIN(R209*$B$3+$B$4)+0*R209+ SUM($J$2:$J$20*SIN(2*PI()*N209*$I$2:$I$20+$K$2:$K$20))</f>
        <v>0.70347740518584434</v>
      </c>
      <c r="U209" s="3">
        <f t="shared" si="24"/>
        <v>1897.2499999999843</v>
      </c>
      <c r="V209" s="3">
        <f t="shared" si="25"/>
        <v>0.40317199999999997</v>
      </c>
      <c r="Z209" s="1">
        <v>1897.2917</v>
      </c>
      <c r="AA209" s="2">
        <f t="shared" si="29"/>
        <v>-0.7012560000000001</v>
      </c>
      <c r="AB209">
        <v>-35.062800000000003</v>
      </c>
      <c r="AE209">
        <v>1897.2499999999843</v>
      </c>
      <c r="AF209">
        <v>0.70347740518584434</v>
      </c>
    </row>
    <row r="210" spans="4:32" x14ac:dyDescent="0.35">
      <c r="D210">
        <v>-0.80273799999999995</v>
      </c>
      <c r="M210">
        <f t="shared" si="30"/>
        <v>209</v>
      </c>
      <c r="N210">
        <f t="shared" si="31"/>
        <v>1897.3333333333176</v>
      </c>
      <c r="O210">
        <f t="shared" si="26"/>
        <v>0</v>
      </c>
      <c r="P210">
        <f t="array" ref="P210">+SUM($G$2:$G$18*SIN(2*PI()*(N210)*$B$1/$F$2:$F$18+$H$2:$H$18))</f>
        <v>-0.68710117484092115</v>
      </c>
      <c r="Q210">
        <f t="shared" si="27"/>
        <v>0</v>
      </c>
      <c r="R210">
        <f t="shared" si="28"/>
        <v>2.0051401853002436E-2</v>
      </c>
      <c r="S210">
        <f t="array" ref="S210">+$B$2*SIN(R210*$B$3+$B$4)+0*R210+ SUM($J$2:$J$20*SIN(2*PI()*N210*$I$2:$I$20+$K$2:$K$20))</f>
        <v>0.70502252109952945</v>
      </c>
      <c r="U210" s="3">
        <f t="shared" si="24"/>
        <v>1897.3333333333176</v>
      </c>
      <c r="V210" s="3">
        <f t="shared" si="25"/>
        <v>0.54470600000000002</v>
      </c>
      <c r="Z210" s="1">
        <v>1897.375</v>
      </c>
      <c r="AA210" s="2">
        <f t="shared" si="29"/>
        <v>-0.83823599999999998</v>
      </c>
      <c r="AB210">
        <v>-41.911799999999999</v>
      </c>
      <c r="AE210">
        <v>1897.3333333333176</v>
      </c>
      <c r="AF210">
        <v>0.70502252109952945</v>
      </c>
    </row>
    <row r="211" spans="4:32" x14ac:dyDescent="0.35">
      <c r="D211">
        <v>-0.7012560000000001</v>
      </c>
      <c r="M211">
        <f t="shared" si="30"/>
        <v>210</v>
      </c>
      <c r="N211">
        <f t="shared" si="31"/>
        <v>1897.4166666666508</v>
      </c>
      <c r="O211">
        <f t="shared" si="26"/>
        <v>0</v>
      </c>
      <c r="P211">
        <f t="array" ref="P211">+SUM($G$2:$G$18*SIN(2*PI()*(N211)*$B$1/$F$2:$F$18+$H$2:$H$18))</f>
        <v>-9.3096339523656021E-2</v>
      </c>
      <c r="Q211">
        <f t="shared" si="27"/>
        <v>0</v>
      </c>
      <c r="R211">
        <f t="shared" si="28"/>
        <v>2.0020559971103503E-2</v>
      </c>
      <c r="S211">
        <f t="array" ref="S211">+$B$2*SIN(R211*$B$3+$B$4)+0*R211+ SUM($J$2:$J$20*SIN(2*PI()*N211*$I$2:$I$20+$K$2:$K$20))</f>
        <v>0.70654148587428389</v>
      </c>
      <c r="U211" s="3">
        <f t="shared" si="24"/>
        <v>1897.4166666666508</v>
      </c>
      <c r="V211" s="3">
        <f t="shared" si="25"/>
        <v>0.38469599999999998</v>
      </c>
      <c r="Z211" s="1">
        <v>1897.4583</v>
      </c>
      <c r="AA211" s="2">
        <f t="shared" si="29"/>
        <v>-0.94136799999999998</v>
      </c>
      <c r="AB211">
        <v>-47.068399999999997</v>
      </c>
      <c r="AE211">
        <v>1897.4166666666508</v>
      </c>
      <c r="AF211">
        <v>0.70654148587428389</v>
      </c>
    </row>
    <row r="212" spans="4:32" x14ac:dyDescent="0.35">
      <c r="D212">
        <v>-0.83823599999999998</v>
      </c>
      <c r="M212">
        <f t="shared" si="30"/>
        <v>211</v>
      </c>
      <c r="N212">
        <f t="shared" si="31"/>
        <v>1897.4999999999841</v>
      </c>
      <c r="O212">
        <f t="shared" si="26"/>
        <v>0</v>
      </c>
      <c r="P212">
        <f t="array" ref="P212">+SUM($G$2:$G$18*SIN(2*PI()*(N212)*$B$1/$F$2:$F$18+$H$2:$H$18))</f>
        <v>0.41910984495597414</v>
      </c>
      <c r="Q212">
        <f t="shared" si="27"/>
        <v>0</v>
      </c>
      <c r="R212">
        <f t="shared" si="28"/>
        <v>1.9989765528365486E-2</v>
      </c>
      <c r="S212">
        <f t="array" ref="S212">+$B$2*SIN(R212*$B$3+$B$4)+0*R212+ SUM($J$2:$J$20*SIN(2*PI()*N212*$I$2:$I$20+$K$2:$K$20))</f>
        <v>0.70803436174987977</v>
      </c>
      <c r="U212" s="3">
        <f t="shared" si="24"/>
        <v>1897.4999999999841</v>
      </c>
      <c r="V212" s="3">
        <f t="shared" si="25"/>
        <v>0.32468800000000003</v>
      </c>
      <c r="Z212" s="1">
        <v>1897.5417</v>
      </c>
      <c r="AA212" s="2">
        <f t="shared" si="29"/>
        <v>-0.75373599999999996</v>
      </c>
      <c r="AB212">
        <v>-37.686799999999998</v>
      </c>
      <c r="AE212">
        <v>1897.4999999999841</v>
      </c>
      <c r="AF212">
        <v>0.70803436174987977</v>
      </c>
    </row>
    <row r="213" spans="4:32" x14ac:dyDescent="0.35">
      <c r="D213">
        <v>-0.94136799999999998</v>
      </c>
      <c r="M213">
        <f t="shared" si="30"/>
        <v>212</v>
      </c>
      <c r="N213">
        <f t="shared" si="31"/>
        <v>1897.5833333333173</v>
      </c>
      <c r="O213">
        <f t="shared" si="26"/>
        <v>0</v>
      </c>
      <c r="P213">
        <f t="array" ref="P213">+SUM($G$2:$G$18*SIN(2*PI()*(N213)*$B$1/$F$2:$F$18+$H$2:$H$18))</f>
        <v>0.5772609751457749</v>
      </c>
      <c r="Q213">
        <f t="shared" si="27"/>
        <v>0</v>
      </c>
      <c r="R213">
        <f t="shared" si="28"/>
        <v>1.9959018451820267E-2</v>
      </c>
      <c r="S213">
        <f t="array" ref="S213">+$B$2*SIN(R213*$B$3+$B$4)+0*R213+ SUM($J$2:$J$20*SIN(2*PI()*N213*$I$2:$I$20+$K$2:$K$20))</f>
        <v>0.70950121183401549</v>
      </c>
      <c r="U213" s="3">
        <f t="shared" si="24"/>
        <v>1897.5833333333173</v>
      </c>
      <c r="V213" s="3">
        <f t="shared" si="25"/>
        <v>0.35698799999999997</v>
      </c>
      <c r="Z213" s="1">
        <v>1897.625</v>
      </c>
      <c r="AA213" s="2">
        <f t="shared" si="29"/>
        <v>-0.34917999999999999</v>
      </c>
      <c r="AB213">
        <v>-17.459</v>
      </c>
      <c r="AE213">
        <v>1897.5833333333173</v>
      </c>
      <c r="AF213">
        <v>0.70950121183401549</v>
      </c>
    </row>
    <row r="214" spans="4:32" x14ac:dyDescent="0.35">
      <c r="D214">
        <v>-0.75373599999999996</v>
      </c>
      <c r="M214">
        <f t="shared" si="30"/>
        <v>213</v>
      </c>
      <c r="N214">
        <f t="shared" si="31"/>
        <v>1897.6666666666506</v>
      </c>
      <c r="O214">
        <f t="shared" si="26"/>
        <v>0</v>
      </c>
      <c r="P214">
        <f t="array" ref="P214">+SUM($G$2:$G$18*SIN(2*PI()*(N214)*$B$1/$F$2:$F$18+$H$2:$H$18))</f>
        <v>0.27897106969860563</v>
      </c>
      <c r="Q214">
        <f t="shared" si="27"/>
        <v>0</v>
      </c>
      <c r="R214">
        <f t="shared" si="28"/>
        <v>1.9928318668611968E-2</v>
      </c>
      <c r="S214">
        <f t="array" ref="S214">+$B$2*SIN(R214*$B$3+$B$4)+0*R214+ SUM($J$2:$J$20*SIN(2*PI()*N214*$I$2:$I$20+$K$2:$K$20))</f>
        <v>0.71094210009005032</v>
      </c>
      <c r="U214" s="3">
        <f t="shared" si="24"/>
        <v>1897.6666666666506</v>
      </c>
      <c r="V214" s="3">
        <f t="shared" si="25"/>
        <v>0.30774400000000002</v>
      </c>
      <c r="Z214" s="1">
        <v>1897.7083</v>
      </c>
      <c r="AA214" s="2">
        <f t="shared" si="29"/>
        <v>8.3068000000000003E-2</v>
      </c>
      <c r="AB214">
        <v>4.1534000000000004</v>
      </c>
      <c r="AE214">
        <v>1897.6666666666506</v>
      </c>
      <c r="AF214">
        <v>0.71094210009005032</v>
      </c>
    </row>
    <row r="215" spans="4:32" x14ac:dyDescent="0.35">
      <c r="D215">
        <v>-0.34917999999999999</v>
      </c>
      <c r="M215">
        <f t="shared" si="30"/>
        <v>214</v>
      </c>
      <c r="N215">
        <f t="shared" si="31"/>
        <v>1897.7499999999839</v>
      </c>
      <c r="O215">
        <f t="shared" si="26"/>
        <v>0</v>
      </c>
      <c r="P215">
        <f t="array" ref="P215">+SUM($G$2:$G$18*SIN(2*PI()*(N215)*$B$1/$F$2:$F$18+$H$2:$H$18))</f>
        <v>-0.18651219710558112</v>
      </c>
      <c r="Q215">
        <f t="shared" si="27"/>
        <v>0</v>
      </c>
      <c r="R215">
        <f t="shared" si="28"/>
        <v>1.9897666105996772E-2</v>
      </c>
      <c r="S215">
        <f t="array" ref="S215">+$B$2*SIN(R215*$B$3+$B$4)+0*R215+ SUM($J$2:$J$20*SIN(2*PI()*N215*$I$2:$I$20+$K$2:$K$20))</f>
        <v>0.71235709132481151</v>
      </c>
      <c r="U215" s="3">
        <f t="shared" si="24"/>
        <v>1897.7499999999839</v>
      </c>
      <c r="V215" s="3">
        <f t="shared" si="25"/>
        <v>0.346194</v>
      </c>
      <c r="Z215" s="1">
        <v>1897.7917</v>
      </c>
      <c r="AA215" s="2">
        <f t="shared" si="29"/>
        <v>0.20146600000000001</v>
      </c>
      <c r="AB215">
        <v>10.0733</v>
      </c>
      <c r="AE215">
        <v>1897.7499999999839</v>
      </c>
      <c r="AF215">
        <v>0.71235709132481151</v>
      </c>
    </row>
    <row r="216" spans="4:32" x14ac:dyDescent="0.35">
      <c r="D216">
        <v>8.3068000000000003E-2</v>
      </c>
      <c r="M216">
        <f t="shared" si="30"/>
        <v>215</v>
      </c>
      <c r="N216">
        <f t="shared" si="31"/>
        <v>1897.8333333333171</v>
      </c>
      <c r="O216">
        <f t="shared" si="26"/>
        <v>0</v>
      </c>
      <c r="P216">
        <f t="array" ref="P216">+SUM($G$2:$G$18*SIN(2*PI()*(N216)*$B$1/$F$2:$F$18+$H$2:$H$18))</f>
        <v>-0.29718675175103887</v>
      </c>
      <c r="Q216">
        <f t="shared" si="27"/>
        <v>0</v>
      </c>
      <c r="R216">
        <f t="shared" si="28"/>
        <v>1.9867060691342749E-2</v>
      </c>
      <c r="S216">
        <f t="array" ref="S216">+$B$2*SIN(R216*$B$3+$B$4)+0*R216+ SUM($J$2:$J$20*SIN(2*PI()*N216*$I$2:$I$20+$K$2:$K$20))</f>
        <v>0.71374625117646995</v>
      </c>
      <c r="U216" s="3">
        <f t="shared" si="24"/>
        <v>1897.8333333333171</v>
      </c>
      <c r="V216" s="3">
        <f t="shared" si="25"/>
        <v>0.393874</v>
      </c>
      <c r="Z216" s="1">
        <v>1897.875</v>
      </c>
      <c r="AA216" s="2">
        <f t="shared" si="29"/>
        <v>0.176788</v>
      </c>
      <c r="AB216">
        <v>8.8393999999999995</v>
      </c>
      <c r="AE216">
        <v>1897.8333333333171</v>
      </c>
      <c r="AF216">
        <v>0.71374625117646995</v>
      </c>
    </row>
    <row r="217" spans="4:32" x14ac:dyDescent="0.35">
      <c r="D217">
        <v>0.20146600000000001</v>
      </c>
      <c r="M217">
        <f t="shared" si="30"/>
        <v>216</v>
      </c>
      <c r="N217">
        <f t="shared" si="31"/>
        <v>1897.9166666666504</v>
      </c>
      <c r="O217">
        <f t="shared" si="26"/>
        <v>0</v>
      </c>
      <c r="P217">
        <f t="array" ref="P217">+SUM($G$2:$G$18*SIN(2*PI()*(N217)*$B$1/$F$2:$F$18+$H$2:$H$18))</f>
        <v>-0.33644840677259769</v>
      </c>
      <c r="Q217">
        <f t="shared" si="27"/>
        <v>0</v>
      </c>
      <c r="R217">
        <f t="shared" si="28"/>
        <v>1.9836502352129696E-2</v>
      </c>
      <c r="S217">
        <f t="array" ref="S217">+$B$2*SIN(R217*$B$3+$B$4)+0*R217+ SUM($J$2:$J$20*SIN(2*PI()*N217*$I$2:$I$20+$K$2:$K$20))</f>
        <v>0.71510964610248584</v>
      </c>
      <c r="U217" s="3">
        <f t="shared" si="24"/>
        <v>1897.9166666666504</v>
      </c>
      <c r="V217" s="3">
        <f t="shared" si="25"/>
        <v>0.22924399999999998</v>
      </c>
      <c r="Z217" s="1">
        <v>1897.9583</v>
      </c>
      <c r="AA217" s="2">
        <f t="shared" si="29"/>
        <v>0.12903399999999998</v>
      </c>
      <c r="AB217">
        <v>6.4516999999999998</v>
      </c>
      <c r="AE217">
        <v>1897.9166666666504</v>
      </c>
      <c r="AF217">
        <v>0.71510964610248584</v>
      </c>
    </row>
    <row r="218" spans="4:32" x14ac:dyDescent="0.35">
      <c r="D218">
        <v>0.176788</v>
      </c>
      <c r="M218">
        <f t="shared" si="30"/>
        <v>217</v>
      </c>
      <c r="N218">
        <f t="shared" si="31"/>
        <v>1897.9999999999836</v>
      </c>
      <c r="O218">
        <f t="shared" si="26"/>
        <v>36.637715116165623</v>
      </c>
      <c r="P218">
        <f t="array" ref="P218">+SUM($G$2:$G$18*SIN(2*PI()*(N218)*$B$1/$F$2:$F$18+$H$2:$H$18))</f>
        <v>-0.47120910210177991</v>
      </c>
      <c r="Q218">
        <f t="shared" si="27"/>
        <v>-17.264024842949212</v>
      </c>
      <c r="R218">
        <f t="shared" si="28"/>
        <v>-6.7485122157920352E-3</v>
      </c>
      <c r="S218">
        <f t="array" ref="S218">+$B$2*SIN(R218*$B$3+$B$4)+0*R218+ SUM($J$2:$J$20*SIN(2*PI()*N218*$I$2:$I$20+$K$2:$K$20))</f>
        <v>-1.9772430432665675E-2</v>
      </c>
      <c r="U218" s="3">
        <f t="shared" si="24"/>
        <v>1897.9999999999836</v>
      </c>
      <c r="V218" s="3">
        <f t="shared" si="25"/>
        <v>-8.000199999999999E-2</v>
      </c>
      <c r="Z218" s="1">
        <v>1898.0417</v>
      </c>
      <c r="AA218" s="2">
        <f t="shared" si="29"/>
        <v>0.42281199999999997</v>
      </c>
      <c r="AB218">
        <v>21.140599999999999</v>
      </c>
      <c r="AE218">
        <v>1897.9999999999836</v>
      </c>
      <c r="AF218">
        <v>-1.9772430432665675E-2</v>
      </c>
    </row>
    <row r="219" spans="4:32" x14ac:dyDescent="0.35">
      <c r="D219">
        <v>0.12903399999999998</v>
      </c>
      <c r="M219">
        <f t="shared" si="30"/>
        <v>218</v>
      </c>
      <c r="N219">
        <f t="shared" si="31"/>
        <v>1898.0833333333169</v>
      </c>
      <c r="O219">
        <f t="shared" si="26"/>
        <v>0</v>
      </c>
      <c r="P219">
        <f t="array" ref="P219">+SUM($G$2:$G$18*SIN(2*PI()*(N219)*$B$1/$F$2:$F$18+$H$2:$H$18))</f>
        <v>-0.18662220284981437</v>
      </c>
      <c r="Q219">
        <f t="shared" si="27"/>
        <v>0</v>
      </c>
      <c r="R219">
        <f t="shared" si="28"/>
        <v>-6.738132052934654E-3</v>
      </c>
      <c r="S219">
        <f t="array" ref="S219">+$B$2*SIN(R219*$B$3+$B$4)+0*R219+ SUM($J$2:$J$20*SIN(2*PI()*N219*$I$2:$I$20+$K$2:$K$20))</f>
        <v>-2.12424752592992E-2</v>
      </c>
      <c r="U219" s="3">
        <f t="shared" si="24"/>
        <v>1898.0833333333169</v>
      </c>
      <c r="V219" s="3">
        <f t="shared" si="25"/>
        <v>-0.33078800000000003</v>
      </c>
      <c r="Z219" s="1">
        <v>1898.125</v>
      </c>
      <c r="AA219" s="2">
        <f t="shared" si="29"/>
        <v>0.34582400000000002</v>
      </c>
      <c r="AB219">
        <v>17.2912</v>
      </c>
      <c r="AE219">
        <v>1898.0833333333169</v>
      </c>
      <c r="AF219">
        <v>-2.12424752592992E-2</v>
      </c>
    </row>
    <row r="220" spans="4:32" x14ac:dyDescent="0.35">
      <c r="D220">
        <v>0.42281199999999997</v>
      </c>
      <c r="M220">
        <f t="shared" si="30"/>
        <v>219</v>
      </c>
      <c r="N220">
        <f t="shared" si="31"/>
        <v>1898.1666666666501</v>
      </c>
      <c r="O220">
        <f t="shared" si="26"/>
        <v>0</v>
      </c>
      <c r="P220">
        <f t="array" ref="P220">+SUM($G$2:$G$18*SIN(2*PI()*(N220)*$B$1/$F$2:$F$18+$H$2:$H$18))</f>
        <v>0.39717140282994706</v>
      </c>
      <c r="Q220">
        <f t="shared" si="27"/>
        <v>0</v>
      </c>
      <c r="R220">
        <f t="shared" si="28"/>
        <v>-6.7277678562306263E-3</v>
      </c>
      <c r="S220">
        <f t="array" ref="S220">+$B$2*SIN(R220*$B$3+$B$4)+0*R220+ SUM($J$2:$J$20*SIN(2*PI()*N220*$I$2:$I$20+$K$2:$K$20))</f>
        <v>-2.2710178060746159E-2</v>
      </c>
      <c r="U220" s="3">
        <f t="shared" si="24"/>
        <v>1898.1666666666501</v>
      </c>
      <c r="V220" s="3">
        <f t="shared" si="25"/>
        <v>-8.4651999999999991E-2</v>
      </c>
      <c r="Z220" s="1">
        <v>1898.2083</v>
      </c>
      <c r="AA220" s="2">
        <f t="shared" si="29"/>
        <v>0.53806399999999999</v>
      </c>
      <c r="AB220">
        <v>26.903199999999998</v>
      </c>
      <c r="AE220">
        <v>1898.1666666666501</v>
      </c>
      <c r="AF220">
        <v>-2.2710178060746159E-2</v>
      </c>
    </row>
    <row r="221" spans="4:32" x14ac:dyDescent="0.35">
      <c r="D221">
        <v>0.34582400000000002</v>
      </c>
      <c r="M221">
        <f t="shared" si="30"/>
        <v>220</v>
      </c>
      <c r="N221">
        <f t="shared" si="31"/>
        <v>1898.2499999999834</v>
      </c>
      <c r="O221">
        <f t="shared" si="26"/>
        <v>0</v>
      </c>
      <c r="P221">
        <f t="array" ref="P221">+SUM($G$2:$G$18*SIN(2*PI()*(N221)*$B$1/$F$2:$F$18+$H$2:$H$18))</f>
        <v>0.79160124481693772</v>
      </c>
      <c r="Q221">
        <f t="shared" si="27"/>
        <v>0</v>
      </c>
      <c r="R221">
        <f t="shared" si="28"/>
        <v>-6.7174196011217579E-3</v>
      </c>
      <c r="S221">
        <f t="array" ref="S221">+$B$2*SIN(R221*$B$3+$B$4)+0*R221+ SUM($J$2:$J$20*SIN(2*PI()*N221*$I$2:$I$20+$K$2:$K$20))</f>
        <v>-2.4175537116140969E-2</v>
      </c>
      <c r="U221" s="3">
        <f t="shared" si="24"/>
        <v>1898.2499999999834</v>
      </c>
      <c r="V221" s="3">
        <f t="shared" si="25"/>
        <v>9.5327999999999996E-2</v>
      </c>
      <c r="Z221" s="1">
        <v>1898.2917</v>
      </c>
      <c r="AA221" s="2">
        <f t="shared" si="29"/>
        <v>0.52722599999999997</v>
      </c>
      <c r="AB221">
        <v>26.3613</v>
      </c>
      <c r="AE221">
        <v>1898.2499999999834</v>
      </c>
      <c r="AF221">
        <v>-2.4175537116140969E-2</v>
      </c>
    </row>
    <row r="222" spans="4:32" x14ac:dyDescent="0.35">
      <c r="D222">
        <v>0.53806399999999999</v>
      </c>
      <c r="M222">
        <f t="shared" si="30"/>
        <v>221</v>
      </c>
      <c r="N222">
        <f t="shared" si="31"/>
        <v>1898.3333333333167</v>
      </c>
      <c r="O222">
        <f t="shared" si="26"/>
        <v>0</v>
      </c>
      <c r="P222">
        <f t="array" ref="P222">+SUM($G$2:$G$18*SIN(2*PI()*(N222)*$B$1/$F$2:$F$18+$H$2:$H$18))</f>
        <v>0.81198593800180074</v>
      </c>
      <c r="Q222">
        <f t="shared" si="27"/>
        <v>0</v>
      </c>
      <c r="R222">
        <f t="shared" si="28"/>
        <v>-6.7070872630876294E-3</v>
      </c>
      <c r="S222">
        <f t="array" ref="S222">+$B$2*SIN(R222*$B$3+$B$4)+0*R222+ SUM($J$2:$J$20*SIN(2*PI()*N222*$I$2:$I$20+$K$2:$K$20))</f>
        <v>-2.5638550749623967E-2</v>
      </c>
      <c r="U222" s="3">
        <f t="shared" si="24"/>
        <v>1898.3333333333167</v>
      </c>
      <c r="V222" s="3">
        <f t="shared" si="25"/>
        <v>-0.12315200000000001</v>
      </c>
      <c r="Z222" s="1">
        <v>1898.375</v>
      </c>
      <c r="AA222" s="2">
        <f t="shared" si="29"/>
        <v>0.36100199999999999</v>
      </c>
      <c r="AB222">
        <v>18.0501</v>
      </c>
      <c r="AE222">
        <v>1898.3333333333167</v>
      </c>
      <c r="AF222">
        <v>-2.5638550749623967E-2</v>
      </c>
    </row>
    <row r="223" spans="4:32" x14ac:dyDescent="0.35">
      <c r="D223">
        <v>0.52722599999999997</v>
      </c>
      <c r="M223">
        <f t="shared" si="30"/>
        <v>222</v>
      </c>
      <c r="N223">
        <f t="shared" si="31"/>
        <v>1898.4166666666499</v>
      </c>
      <c r="O223">
        <f t="shared" si="26"/>
        <v>0</v>
      </c>
      <c r="P223">
        <f t="array" ref="P223">+SUM($G$2:$G$18*SIN(2*PI()*(N223)*$B$1/$F$2:$F$18+$H$2:$H$18))</f>
        <v>0.30426499928594963</v>
      </c>
      <c r="Q223">
        <f t="shared" si="27"/>
        <v>0</v>
      </c>
      <c r="R223">
        <f t="shared" si="28"/>
        <v>-6.6967708176455367E-3</v>
      </c>
      <c r="S223">
        <f t="array" ref="S223">+$B$2*SIN(R223*$B$3+$B$4)+0*R223+ SUM($J$2:$J$20*SIN(2*PI()*N223*$I$2:$I$20+$K$2:$K$20))</f>
        <v>-2.7099217330044202E-2</v>
      </c>
      <c r="U223" s="3">
        <f t="shared" si="24"/>
        <v>1898.4166666666499</v>
      </c>
      <c r="V223" s="3">
        <f t="shared" si="25"/>
        <v>-0.20317399999999999</v>
      </c>
      <c r="Z223" s="1">
        <v>1898.4583</v>
      </c>
      <c r="AA223" s="2">
        <f t="shared" si="29"/>
        <v>0.59785600000000005</v>
      </c>
      <c r="AB223">
        <v>29.892800000000001</v>
      </c>
      <c r="AE223">
        <v>1898.4166666666499</v>
      </c>
      <c r="AF223">
        <v>-2.7099217330044202E-2</v>
      </c>
    </row>
    <row r="224" spans="4:32" x14ac:dyDescent="0.35">
      <c r="D224">
        <v>0.36100199999999999</v>
      </c>
      <c r="M224">
        <f t="shared" si="30"/>
        <v>223</v>
      </c>
      <c r="N224">
        <f t="shared" si="31"/>
        <v>1898.4999999999832</v>
      </c>
      <c r="O224">
        <f t="shared" si="26"/>
        <v>0</v>
      </c>
      <c r="P224">
        <f t="array" ref="P224">+SUM($G$2:$G$18*SIN(2*PI()*(N224)*$B$1/$F$2:$F$18+$H$2:$H$18))</f>
        <v>-0.26586541203691533</v>
      </c>
      <c r="Q224">
        <f t="shared" si="27"/>
        <v>0</v>
      </c>
      <c r="R224">
        <f t="shared" si="28"/>
        <v>-6.686470240350433E-3</v>
      </c>
      <c r="S224">
        <f t="array" ref="S224">+$B$2*SIN(R224*$B$3+$B$4)+0*R224+ SUM($J$2:$J$20*SIN(2*PI()*N224*$I$2:$I$20+$K$2:$K$20))</f>
        <v>-2.8557535270659004E-2</v>
      </c>
      <c r="U224" s="3">
        <f t="shared" si="24"/>
        <v>1898.4999999999832</v>
      </c>
      <c r="V224" s="3">
        <f t="shared" si="25"/>
        <v>-0.20473400000000003</v>
      </c>
      <c r="Z224" s="1">
        <v>1898.5417</v>
      </c>
      <c r="AA224" s="2">
        <f t="shared" si="29"/>
        <v>0.93162800000000001</v>
      </c>
      <c r="AB224">
        <v>46.581400000000002</v>
      </c>
      <c r="AE224">
        <v>1898.4999999999832</v>
      </c>
      <c r="AF224">
        <v>-2.8557535270659004E-2</v>
      </c>
    </row>
    <row r="225" spans="4:32" x14ac:dyDescent="0.35">
      <c r="D225">
        <v>0.59785600000000005</v>
      </c>
      <c r="M225">
        <f t="shared" si="30"/>
        <v>224</v>
      </c>
      <c r="N225">
        <f t="shared" si="31"/>
        <v>1898.5833333333164</v>
      </c>
      <c r="O225">
        <f t="shared" si="26"/>
        <v>0</v>
      </c>
      <c r="P225">
        <f t="array" ref="P225">+SUM($G$2:$G$18*SIN(2*PI()*(N225)*$B$1/$F$2:$F$18+$H$2:$H$18))</f>
        <v>-0.29210200622183818</v>
      </c>
      <c r="Q225">
        <f t="shared" si="27"/>
        <v>0</v>
      </c>
      <c r="R225">
        <f t="shared" si="28"/>
        <v>-6.676185506794872E-3</v>
      </c>
      <c r="S225">
        <f t="array" ref="S225">+$B$2*SIN(R225*$B$3+$B$4)+0*R225+ SUM($J$2:$J$20*SIN(2*PI()*N225*$I$2:$I$20+$K$2:$K$20))</f>
        <v>-3.0013503028836836E-2</v>
      </c>
      <c r="U225" s="3">
        <f t="shared" si="24"/>
        <v>1898.5833333333164</v>
      </c>
      <c r="V225" s="3">
        <f t="shared" si="25"/>
        <v>-0.18167999999999998</v>
      </c>
      <c r="Z225" s="1">
        <v>1898.625</v>
      </c>
      <c r="AA225" s="2">
        <f t="shared" si="29"/>
        <v>1.0700180000000001</v>
      </c>
      <c r="AB225">
        <v>53.500900000000001</v>
      </c>
      <c r="AE225">
        <v>1898.5833333333164</v>
      </c>
      <c r="AF225">
        <v>-3.0013503028836836E-2</v>
      </c>
    </row>
    <row r="226" spans="4:32" x14ac:dyDescent="0.35">
      <c r="D226">
        <v>0.93162800000000001</v>
      </c>
      <c r="M226">
        <f t="shared" si="30"/>
        <v>225</v>
      </c>
      <c r="N226">
        <f t="shared" si="31"/>
        <v>1898.6666666666497</v>
      </c>
      <c r="O226">
        <f t="shared" si="26"/>
        <v>0</v>
      </c>
      <c r="P226">
        <f t="array" ref="P226">+SUM($G$2:$G$18*SIN(2*PI()*(N226)*$B$1/$F$2:$F$18+$H$2:$H$18))</f>
        <v>-0.14853339429765647</v>
      </c>
      <c r="Q226">
        <f t="shared" si="27"/>
        <v>0</v>
      </c>
      <c r="R226">
        <f t="shared" si="28"/>
        <v>-6.6659165926089489E-3</v>
      </c>
      <c r="S226">
        <f t="array" ref="S226">+$B$2*SIN(R226*$B$3+$B$4)+0*R226+ SUM($J$2:$J$20*SIN(2*PI()*N226*$I$2:$I$20+$K$2:$K$20))</f>
        <v>-3.1467119105760596E-2</v>
      </c>
      <c r="U226" s="3">
        <f t="shared" si="24"/>
        <v>1898.6666666666497</v>
      </c>
      <c r="V226" s="3">
        <f t="shared" si="25"/>
        <v>-0.138628</v>
      </c>
      <c r="Z226" s="1">
        <v>1898.7083</v>
      </c>
      <c r="AA226" s="2">
        <f t="shared" si="29"/>
        <v>0.84686600000000001</v>
      </c>
      <c r="AB226">
        <v>42.343299999999999</v>
      </c>
      <c r="AE226">
        <v>1898.6666666666497</v>
      </c>
      <c r="AF226">
        <v>-3.1467119105760596E-2</v>
      </c>
    </row>
    <row r="227" spans="4:32" x14ac:dyDescent="0.35">
      <c r="D227">
        <v>1.0700180000000001</v>
      </c>
      <c r="M227">
        <f t="shared" si="30"/>
        <v>226</v>
      </c>
      <c r="N227">
        <f t="shared" si="31"/>
        <v>1898.7499999999829</v>
      </c>
      <c r="O227">
        <f t="shared" si="26"/>
        <v>0</v>
      </c>
      <c r="P227">
        <f t="array" ref="P227">+SUM($G$2:$G$18*SIN(2*PI()*(N227)*$B$1/$F$2:$F$18+$H$2:$H$18))</f>
        <v>-8.3364999867788461E-2</v>
      </c>
      <c r="Q227">
        <f t="shared" si="27"/>
        <v>0</v>
      </c>
      <c r="R227">
        <f t="shared" si="28"/>
        <v>-6.655663473460245E-3</v>
      </c>
      <c r="S227">
        <f t="array" ref="S227">+$B$2*SIN(R227*$B$3+$B$4)+0*R227+ SUM($J$2:$J$20*SIN(2*PI()*N227*$I$2:$I$20+$K$2:$K$20))</f>
        <v>-3.2918382046133558E-2</v>
      </c>
      <c r="U227" s="3">
        <f t="shared" si="24"/>
        <v>1898.7499999999829</v>
      </c>
      <c r="V227" s="3">
        <f t="shared" si="25"/>
        <v>-9.7116000000000008E-2</v>
      </c>
      <c r="Z227" s="1">
        <v>1898.7917</v>
      </c>
      <c r="AA227" s="2">
        <f t="shared" si="29"/>
        <v>0.75756000000000001</v>
      </c>
      <c r="AB227">
        <v>37.878</v>
      </c>
      <c r="AE227">
        <v>1898.7499999999829</v>
      </c>
      <c r="AF227">
        <v>-3.2918382046133558E-2</v>
      </c>
    </row>
    <row r="228" spans="4:32" x14ac:dyDescent="0.35">
      <c r="D228">
        <v>0.84686600000000001</v>
      </c>
      <c r="M228">
        <f t="shared" si="30"/>
        <v>227</v>
      </c>
      <c r="N228">
        <f t="shared" si="31"/>
        <v>1898.8333333333162</v>
      </c>
      <c r="O228">
        <f t="shared" si="26"/>
        <v>0</v>
      </c>
      <c r="P228">
        <f t="array" ref="P228">+SUM($G$2:$G$18*SIN(2*PI()*(N228)*$B$1/$F$2:$F$18+$H$2:$H$18))</f>
        <v>0.21007110592140094</v>
      </c>
      <c r="Q228">
        <f t="shared" si="27"/>
        <v>0</v>
      </c>
      <c r="R228">
        <f t="shared" si="28"/>
        <v>-6.6454261250537662E-3</v>
      </c>
      <c r="S228">
        <f t="array" ref="S228">+$B$2*SIN(R228*$B$3+$B$4)+0*R228+ SUM($J$2:$J$20*SIN(2*PI()*N228*$I$2:$I$20+$K$2:$K$20))</f>
        <v>-3.4367290437885036E-2</v>
      </c>
      <c r="U228" s="3">
        <f t="shared" si="24"/>
        <v>1898.8333333333162</v>
      </c>
      <c r="V228" s="3">
        <f t="shared" si="25"/>
        <v>5.3628000000000002E-2</v>
      </c>
      <c r="Z228" s="1">
        <v>1898.875</v>
      </c>
      <c r="AA228" s="2">
        <f t="shared" si="29"/>
        <v>0.82363799999999998</v>
      </c>
      <c r="AB228">
        <v>41.181899999999999</v>
      </c>
      <c r="AE228">
        <v>1898.8333333333162</v>
      </c>
      <c r="AF228">
        <v>-3.4367290437885036E-2</v>
      </c>
    </row>
    <row r="229" spans="4:32" x14ac:dyDescent="0.35">
      <c r="D229">
        <v>0.75756000000000001</v>
      </c>
      <c r="M229">
        <f t="shared" si="30"/>
        <v>228</v>
      </c>
      <c r="N229">
        <f t="shared" si="31"/>
        <v>1898.9166666666495</v>
      </c>
      <c r="O229">
        <f t="shared" si="26"/>
        <v>0</v>
      </c>
      <c r="P229">
        <f t="array" ref="P229">+SUM($G$2:$G$18*SIN(2*PI()*(N229)*$B$1/$F$2:$F$18+$H$2:$H$18))</f>
        <v>0.61886774211833906</v>
      </c>
      <c r="Q229">
        <f t="shared" si="27"/>
        <v>0</v>
      </c>
      <c r="R229">
        <f t="shared" si="28"/>
        <v>-6.635204523131889E-3</v>
      </c>
      <c r="S229">
        <f t="array" ref="S229">+$B$2*SIN(R229*$B$3+$B$4)+0*R229+ SUM($J$2:$J$20*SIN(2*PI()*N229*$I$2:$I$20+$K$2:$K$20))</f>
        <v>-3.5813842911878051E-2</v>
      </c>
      <c r="U229" s="3">
        <f t="shared" si="24"/>
        <v>1898.9166666666495</v>
      </c>
      <c r="V229" s="3">
        <f t="shared" si="25"/>
        <v>-2.1786E-2</v>
      </c>
      <c r="Z229" s="1">
        <v>1898.9583</v>
      </c>
      <c r="AA229" s="2">
        <f t="shared" si="29"/>
        <v>1.0389459999999999</v>
      </c>
      <c r="AB229">
        <v>51.947299999999998</v>
      </c>
      <c r="AE229">
        <v>1898.9166666666495</v>
      </c>
      <c r="AF229">
        <v>-3.5813842911878051E-2</v>
      </c>
    </row>
    <row r="230" spans="4:32" x14ac:dyDescent="0.35">
      <c r="D230">
        <v>0.82363799999999998</v>
      </c>
      <c r="M230">
        <f t="shared" si="30"/>
        <v>229</v>
      </c>
      <c r="N230">
        <f t="shared" si="31"/>
        <v>1898.9999999999827</v>
      </c>
      <c r="O230">
        <f t="shared" si="26"/>
        <v>36.637715116165623</v>
      </c>
      <c r="P230">
        <f t="array" ref="P230">+SUM($G$2:$G$18*SIN(2*PI()*(N230)*$B$1/$F$2:$F$18+$H$2:$H$18))</f>
        <v>0.92037611369396322</v>
      </c>
      <c r="Q230">
        <f t="shared" si="27"/>
        <v>33.720477853243089</v>
      </c>
      <c r="R230">
        <f t="shared" si="28"/>
        <v>4.5241848530085914E-2</v>
      </c>
      <c r="S230">
        <f t="array" ref="S230">+$B$2*SIN(R230*$B$3+$B$4)+0*R230+ SUM($J$2:$J$20*SIN(2*PI()*N230*$I$2:$I$20+$K$2:$K$20))</f>
        <v>0.28388233168320226</v>
      </c>
      <c r="U230" s="3">
        <f t="shared" si="24"/>
        <v>1898.9999999999827</v>
      </c>
      <c r="V230" s="3">
        <f t="shared" si="25"/>
        <v>2.4340000000000001E-2</v>
      </c>
      <c r="Z230" s="1">
        <v>1899.0417</v>
      </c>
      <c r="AA230" s="2">
        <f t="shared" si="29"/>
        <v>1.115788</v>
      </c>
      <c r="AB230">
        <v>55.789400000000001</v>
      </c>
      <c r="AE230">
        <v>1898.9999999999827</v>
      </c>
      <c r="AF230">
        <v>0.28388233168320226</v>
      </c>
    </row>
    <row r="231" spans="4:32" x14ac:dyDescent="0.35">
      <c r="D231">
        <v>1.0389459999999999</v>
      </c>
      <c r="M231">
        <f t="shared" si="30"/>
        <v>230</v>
      </c>
      <c r="N231">
        <f t="shared" si="31"/>
        <v>1899.083333333316</v>
      </c>
      <c r="O231">
        <f t="shared" si="26"/>
        <v>0</v>
      </c>
      <c r="P231">
        <f t="array" ref="P231">+SUM($G$2:$G$18*SIN(2*PI()*(N231)*$B$1/$F$2:$F$18+$H$2:$H$18))</f>
        <v>0.84352864494581747</v>
      </c>
      <c r="Q231">
        <f t="shared" si="27"/>
        <v>0</v>
      </c>
      <c r="R231">
        <f t="shared" si="28"/>
        <v>4.5172260191101758E-2</v>
      </c>
      <c r="S231">
        <f t="array" ref="S231">+$B$2*SIN(R231*$B$3+$B$4)+0*R231+ SUM($J$2:$J$20*SIN(2*PI()*N231*$I$2:$I$20+$K$2:$K$20))</f>
        <v>0.27472743608677369</v>
      </c>
      <c r="U231" s="3">
        <f t="shared" si="24"/>
        <v>1899.083333333316</v>
      </c>
      <c r="V231" s="3">
        <f t="shared" si="25"/>
        <v>0.17354</v>
      </c>
      <c r="Z231" s="1">
        <v>1899.125</v>
      </c>
      <c r="AA231" s="2">
        <f t="shared" si="29"/>
        <v>1.0818620000000001</v>
      </c>
      <c r="AB231">
        <v>54.0931</v>
      </c>
      <c r="AE231">
        <v>1899.083333333316</v>
      </c>
      <c r="AF231">
        <v>0.27472743608677369</v>
      </c>
    </row>
    <row r="232" spans="4:32" x14ac:dyDescent="0.35">
      <c r="D232">
        <v>1.115788</v>
      </c>
      <c r="M232">
        <f t="shared" si="30"/>
        <v>231</v>
      </c>
      <c r="N232">
        <f t="shared" si="31"/>
        <v>1899.1666666666492</v>
      </c>
      <c r="O232">
        <f t="shared" si="26"/>
        <v>0</v>
      </c>
      <c r="P232">
        <f t="array" ref="P232">+SUM($G$2:$G$18*SIN(2*PI()*(N232)*$B$1/$F$2:$F$18+$H$2:$H$18))</f>
        <v>0.12119450947702877</v>
      </c>
      <c r="Q232">
        <f t="shared" si="27"/>
        <v>0</v>
      </c>
      <c r="R232">
        <f t="shared" si="28"/>
        <v>4.5102778888790059E-2</v>
      </c>
      <c r="S232">
        <f t="array" ref="S232">+$B$2*SIN(R232*$B$3+$B$4)+0*R232+ SUM($J$2:$J$20*SIN(2*PI()*N232*$I$2:$I$20+$K$2:$K$20))</f>
        <v>0.26553960357790685</v>
      </c>
      <c r="U232" s="3">
        <f t="shared" si="24"/>
        <v>1899.1666666666492</v>
      </c>
      <c r="V232" s="3">
        <f t="shared" si="25"/>
        <v>6.1200000000000004E-2</v>
      </c>
      <c r="Z232" s="1">
        <v>1899.2083</v>
      </c>
      <c r="AA232" s="2">
        <f t="shared" si="29"/>
        <v>1.1556279999999999</v>
      </c>
      <c r="AB232">
        <v>57.781399999999998</v>
      </c>
      <c r="AE232">
        <v>1899.1666666666492</v>
      </c>
      <c r="AF232">
        <v>0.26553960357790685</v>
      </c>
    </row>
    <row r="233" spans="4:32" x14ac:dyDescent="0.35">
      <c r="D233">
        <v>1.0818620000000001</v>
      </c>
      <c r="M233">
        <f t="shared" si="30"/>
        <v>232</v>
      </c>
      <c r="N233">
        <f t="shared" si="31"/>
        <v>1899.2499999999825</v>
      </c>
      <c r="O233">
        <f t="shared" si="26"/>
        <v>0</v>
      </c>
      <c r="P233">
        <f t="array" ref="P233">+SUM($G$2:$G$18*SIN(2*PI()*(N233)*$B$1/$F$2:$F$18+$H$2:$H$18))</f>
        <v>-0.51901536169759488</v>
      </c>
      <c r="Q233">
        <f t="shared" si="27"/>
        <v>0</v>
      </c>
      <c r="R233">
        <f t="shared" si="28"/>
        <v>4.5033404458513331E-2</v>
      </c>
      <c r="S233">
        <f t="array" ref="S233">+$B$2*SIN(R233*$B$3+$B$4)+0*R233+ SUM($J$2:$J$20*SIN(2*PI()*N233*$I$2:$I$20+$K$2:$K$20))</f>
        <v>0.25632059694212528</v>
      </c>
      <c r="U233" s="3">
        <f t="shared" si="24"/>
        <v>1899.2499999999825</v>
      </c>
      <c r="V233" s="3">
        <f t="shared" si="25"/>
        <v>-3.8831999999999998E-2</v>
      </c>
      <c r="Z233" s="1">
        <v>1899.2917</v>
      </c>
      <c r="AA233" s="2">
        <f t="shared" si="29"/>
        <v>1.106314</v>
      </c>
      <c r="AB233">
        <v>55.3157</v>
      </c>
      <c r="AE233">
        <v>1899.2499999999825</v>
      </c>
      <c r="AF233">
        <v>0.25632059694212528</v>
      </c>
    </row>
    <row r="234" spans="4:32" x14ac:dyDescent="0.35">
      <c r="D234">
        <v>1.1556279999999999</v>
      </c>
      <c r="M234">
        <f t="shared" si="30"/>
        <v>233</v>
      </c>
      <c r="N234">
        <f t="shared" si="31"/>
        <v>1899.3333333333157</v>
      </c>
      <c r="O234">
        <f t="shared" si="26"/>
        <v>0</v>
      </c>
      <c r="P234">
        <f t="array" ref="P234">+SUM($G$2:$G$18*SIN(2*PI()*(N234)*$B$1/$F$2:$F$18+$H$2:$H$18))</f>
        <v>-0.37187489535962437</v>
      </c>
      <c r="Q234">
        <f t="shared" si="27"/>
        <v>0</v>
      </c>
      <c r="R234">
        <f t="shared" si="28"/>
        <v>4.4964136735887325E-2</v>
      </c>
      <c r="S234">
        <f t="array" ref="S234">+$B$2*SIN(R234*$B$3+$B$4)+0*R234+ SUM($J$2:$J$20*SIN(2*PI()*N234*$I$2:$I$20+$K$2:$K$20))</f>
        <v>0.24707217147473998</v>
      </c>
      <c r="U234" s="3">
        <f t="shared" si="24"/>
        <v>1899.3333333333157</v>
      </c>
      <c r="V234" s="3">
        <f t="shared" si="25"/>
        <v>-2.5017999999999999E-2</v>
      </c>
      <c r="Z234" s="1">
        <v>1899.375</v>
      </c>
      <c r="AA234" s="2">
        <f t="shared" si="29"/>
        <v>1.3785400000000001</v>
      </c>
      <c r="AB234">
        <v>68.927000000000007</v>
      </c>
      <c r="AE234">
        <v>1899.3333333333157</v>
      </c>
      <c r="AF234">
        <v>0.24707217147473998</v>
      </c>
    </row>
    <row r="235" spans="4:32" x14ac:dyDescent="0.35">
      <c r="D235">
        <v>1.106314</v>
      </c>
      <c r="M235">
        <f t="shared" si="30"/>
        <v>234</v>
      </c>
      <c r="N235">
        <f t="shared" si="31"/>
        <v>1899.416666666649</v>
      </c>
      <c r="O235">
        <f t="shared" si="26"/>
        <v>0</v>
      </c>
      <c r="P235">
        <f t="array" ref="P235">+SUM($G$2:$G$18*SIN(2*PI()*(N235)*$B$1/$F$2:$F$18+$H$2:$H$18))</f>
        <v>1.879061915445069E-2</v>
      </c>
      <c r="Q235">
        <f t="shared" si="27"/>
        <v>0</v>
      </c>
      <c r="R235">
        <f t="shared" si="28"/>
        <v>4.4894975556780639E-2</v>
      </c>
      <c r="S235">
        <f t="array" ref="S235">+$B$2*SIN(R235*$B$3+$B$4)+0*R235+ SUM($J$2:$J$20*SIN(2*PI()*N235*$I$2:$I$20+$K$2:$K$20))</f>
        <v>0.23779607469162423</v>
      </c>
      <c r="U235" s="3">
        <f t="shared" si="24"/>
        <v>1899.416666666649</v>
      </c>
      <c r="V235" s="3">
        <f t="shared" si="25"/>
        <v>2.8791999999999998E-2</v>
      </c>
      <c r="Z235" s="1">
        <v>1899.4583</v>
      </c>
      <c r="AA235" s="2">
        <f t="shared" si="29"/>
        <v>1.7799940000000001</v>
      </c>
      <c r="AB235">
        <v>88.999700000000004</v>
      </c>
      <c r="AE235">
        <v>1899.416666666649</v>
      </c>
      <c r="AF235">
        <v>0.23779607469162423</v>
      </c>
    </row>
    <row r="236" spans="4:32" x14ac:dyDescent="0.35">
      <c r="D236">
        <v>1.3785400000000001</v>
      </c>
      <c r="M236">
        <f t="shared" si="30"/>
        <v>235</v>
      </c>
      <c r="N236">
        <f t="shared" si="31"/>
        <v>1899.4999999999823</v>
      </c>
      <c r="O236">
        <f t="shared" si="26"/>
        <v>0</v>
      </c>
      <c r="P236">
        <f t="array" ref="P236">+SUM($G$2:$G$18*SIN(2*PI()*(N236)*$B$1/$F$2:$F$18+$H$2:$H$18))</f>
        <v>0.19007906904742461</v>
      </c>
      <c r="Q236">
        <f t="shared" si="27"/>
        <v>0</v>
      </c>
      <c r="R236">
        <f t="shared" si="28"/>
        <v>4.4825920757314321E-2</v>
      </c>
      <c r="S236">
        <f t="array" ref="S236">+$B$2*SIN(R236*$B$3+$B$4)+0*R236+ SUM($J$2:$J$20*SIN(2*PI()*N236*$I$2:$I$20+$K$2:$K$20))</f>
        <v>0.22849404604552995</v>
      </c>
      <c r="U236" s="3">
        <f t="shared" si="24"/>
        <v>1899.4999999999823</v>
      </c>
      <c r="V236" s="3">
        <f t="shared" si="25"/>
        <v>0.13183400000000001</v>
      </c>
      <c r="Z236" s="1">
        <v>1899.5417</v>
      </c>
      <c r="AA236" s="2">
        <f t="shared" si="29"/>
        <v>1.6522139999999998</v>
      </c>
      <c r="AB236">
        <v>82.610699999999994</v>
      </c>
      <c r="AE236">
        <v>1899.4999999999823</v>
      </c>
      <c r="AF236">
        <v>0.22849404604552995</v>
      </c>
    </row>
    <row r="237" spans="4:32" x14ac:dyDescent="0.35">
      <c r="D237">
        <v>1.7799940000000001</v>
      </c>
      <c r="M237">
        <f t="shared" si="30"/>
        <v>236</v>
      </c>
      <c r="N237">
        <f t="shared" si="31"/>
        <v>1899.5833333333155</v>
      </c>
      <c r="O237">
        <f t="shared" si="26"/>
        <v>0</v>
      </c>
      <c r="P237">
        <f t="array" ref="P237">+SUM($G$2:$G$18*SIN(2*PI()*(N237)*$B$1/$F$2:$F$18+$H$2:$H$18))</f>
        <v>0.29580295216118269</v>
      </c>
      <c r="Q237">
        <f t="shared" si="27"/>
        <v>0</v>
      </c>
      <c r="R237">
        <f t="shared" si="28"/>
        <v>4.4756972173861487E-2</v>
      </c>
      <c r="S237">
        <f t="array" ref="S237">+$B$2*SIN(R237*$B$3+$B$4)+0*R237+ SUM($J$2:$J$20*SIN(2*PI()*N237*$I$2:$I$20+$K$2:$K$20))</f>
        <v>0.21916781664791793</v>
      </c>
      <c r="U237" s="3">
        <f t="shared" si="24"/>
        <v>1899.5833333333155</v>
      </c>
      <c r="V237" s="3">
        <f t="shared" si="25"/>
        <v>0.313336</v>
      </c>
      <c r="Z237" s="1">
        <v>1899.625</v>
      </c>
      <c r="AA237" s="2">
        <f t="shared" si="29"/>
        <v>1.2967439999999999</v>
      </c>
      <c r="AB237">
        <v>64.837199999999996</v>
      </c>
      <c r="AE237">
        <v>1899.5833333333155</v>
      </c>
      <c r="AF237">
        <v>0.21916781664791793</v>
      </c>
    </row>
    <row r="238" spans="4:32" x14ac:dyDescent="0.35">
      <c r="D238">
        <v>1.6522139999999998</v>
      </c>
      <c r="M238">
        <f t="shared" si="30"/>
        <v>237</v>
      </c>
      <c r="N238">
        <f t="shared" si="31"/>
        <v>1899.6666666666488</v>
      </c>
      <c r="O238">
        <f t="shared" si="26"/>
        <v>0</v>
      </c>
      <c r="P238">
        <f t="array" ref="P238">+SUM($G$2:$G$18*SIN(2*PI()*(N238)*$B$1/$F$2:$F$18+$H$2:$H$18))</f>
        <v>0.47066177699727502</v>
      </c>
      <c r="Q238">
        <f t="shared" si="27"/>
        <v>0</v>
      </c>
      <c r="R238">
        <f t="shared" si="28"/>
        <v>4.4688129643046949E-2</v>
      </c>
      <c r="S238">
        <f t="array" ref="S238">+$B$2*SIN(R238*$B$3+$B$4)+0*R238+ SUM($J$2:$J$20*SIN(2*PI()*N238*$I$2:$I$20+$K$2:$K$20))</f>
        <v>0.20981910899630976</v>
      </c>
      <c r="U238" s="3">
        <f t="shared" si="24"/>
        <v>1899.6666666666488</v>
      </c>
      <c r="V238" s="3">
        <f t="shared" si="25"/>
        <v>0.57637399999999994</v>
      </c>
      <c r="Z238" s="1">
        <v>1899.7083</v>
      </c>
      <c r="AA238" s="2">
        <f t="shared" si="29"/>
        <v>1.11358</v>
      </c>
      <c r="AB238">
        <v>55.679000000000002</v>
      </c>
      <c r="AE238">
        <v>1899.6666666666488</v>
      </c>
      <c r="AF238">
        <v>0.20981910899630976</v>
      </c>
    </row>
    <row r="239" spans="4:32" x14ac:dyDescent="0.35">
      <c r="D239">
        <v>1.2967439999999999</v>
      </c>
      <c r="M239">
        <f t="shared" si="30"/>
        <v>238</v>
      </c>
      <c r="N239">
        <f t="shared" si="31"/>
        <v>1899.749999999982</v>
      </c>
      <c r="O239">
        <f t="shared" si="26"/>
        <v>0</v>
      </c>
      <c r="P239">
        <f t="array" ref="P239">+SUM($G$2:$G$18*SIN(2*PI()*(N239)*$B$1/$F$2:$F$18+$H$2:$H$18))</f>
        <v>0.75206221002565254</v>
      </c>
      <c r="Q239">
        <f t="shared" si="27"/>
        <v>0</v>
      </c>
      <c r="R239">
        <f t="shared" si="28"/>
        <v>4.4619393001746797E-2</v>
      </c>
      <c r="S239">
        <f t="array" ref="S239">+$B$2*SIN(R239*$B$3+$B$4)+0*R239+ SUM($J$2:$J$20*SIN(2*PI()*N239*$I$2:$I$20+$K$2:$K$20))</f>
        <v>0.20044963670713306</v>
      </c>
      <c r="U239" s="3">
        <f t="shared" si="24"/>
        <v>1899.749999999982</v>
      </c>
      <c r="V239" s="3">
        <f t="shared" si="25"/>
        <v>0.61941200000000007</v>
      </c>
      <c r="Z239" s="1">
        <v>1899.7917</v>
      </c>
      <c r="AA239" s="2">
        <f t="shared" si="29"/>
        <v>0.83041200000000004</v>
      </c>
      <c r="AB239">
        <v>41.520600000000002</v>
      </c>
      <c r="AE239">
        <v>1899.749999999982</v>
      </c>
      <c r="AF239">
        <v>0.20044963670713306</v>
      </c>
    </row>
    <row r="240" spans="4:32" x14ac:dyDescent="0.35">
      <c r="D240">
        <v>1.11358</v>
      </c>
      <c r="M240">
        <f t="shared" si="30"/>
        <v>239</v>
      </c>
      <c r="N240">
        <f t="shared" si="31"/>
        <v>1899.8333333333153</v>
      </c>
      <c r="O240">
        <f t="shared" si="26"/>
        <v>0</v>
      </c>
      <c r="P240">
        <f t="array" ref="P240">+SUM($G$2:$G$18*SIN(2*PI()*(N240)*$B$1/$F$2:$F$18+$H$2:$H$18))</f>
        <v>0.62746569667152052</v>
      </c>
      <c r="Q240">
        <f t="shared" si="27"/>
        <v>0</v>
      </c>
      <c r="R240">
        <f t="shared" si="28"/>
        <v>4.4550762087088039E-2</v>
      </c>
      <c r="S240">
        <f t="array" ref="S240">+$B$2*SIN(R240*$B$3+$B$4)+0*R240+ SUM($J$2:$J$20*SIN(2*PI()*N240*$I$2:$I$20+$K$2:$K$20))</f>
        <v>0.19106110425405709</v>
      </c>
      <c r="U240" s="3">
        <f t="shared" si="24"/>
        <v>1899.8333333333153</v>
      </c>
      <c r="V240" s="3">
        <f t="shared" si="25"/>
        <v>0.52706399999999998</v>
      </c>
      <c r="Z240" s="1">
        <v>1899.875</v>
      </c>
      <c r="AA240" s="2">
        <f t="shared" si="29"/>
        <v>0.78417000000000003</v>
      </c>
      <c r="AB240">
        <v>39.208500000000001</v>
      </c>
      <c r="AE240">
        <v>1899.8333333333153</v>
      </c>
      <c r="AF240">
        <v>0.19106110425405709</v>
      </c>
    </row>
    <row r="241" spans="4:32" x14ac:dyDescent="0.35">
      <c r="D241">
        <v>0.83041200000000004</v>
      </c>
      <c r="M241">
        <f t="shared" si="30"/>
        <v>240</v>
      </c>
      <c r="N241">
        <f t="shared" si="31"/>
        <v>1899.9166666666486</v>
      </c>
      <c r="O241">
        <f t="shared" si="26"/>
        <v>0</v>
      </c>
      <c r="P241">
        <f t="array" ref="P241">+SUM($G$2:$G$18*SIN(2*PI()*(N241)*$B$1/$F$2:$F$18+$H$2:$H$18))</f>
        <v>-0.24610455344805937</v>
      </c>
      <c r="Q241">
        <f t="shared" si="27"/>
        <v>0</v>
      </c>
      <c r="R241">
        <f t="shared" si="28"/>
        <v>4.4482236736448195E-2</v>
      </c>
      <c r="S241">
        <f t="array" ref="S241">+$B$2*SIN(R241*$B$3+$B$4)+0*R241+ SUM($J$2:$J$20*SIN(2*PI()*N241*$I$2:$I$20+$K$2:$K$20))</f>
        <v>0.18165520671179425</v>
      </c>
      <c r="U241" s="3">
        <f t="shared" si="24"/>
        <v>1899.9166666666486</v>
      </c>
      <c r="V241" s="3">
        <f t="shared" si="25"/>
        <v>0.20856000000000002</v>
      </c>
      <c r="Z241" s="1">
        <v>1899.9583</v>
      </c>
      <c r="AA241" s="2">
        <f t="shared" si="29"/>
        <v>0.70561800000000008</v>
      </c>
      <c r="AB241">
        <v>35.280900000000003</v>
      </c>
      <c r="AE241">
        <v>1899.9166666666486</v>
      </c>
      <c r="AF241">
        <v>0.18165520671179425</v>
      </c>
    </row>
    <row r="242" spans="4:32" x14ac:dyDescent="0.35">
      <c r="D242">
        <v>0.78417000000000003</v>
      </c>
      <c r="M242">
        <f t="shared" si="30"/>
        <v>241</v>
      </c>
      <c r="N242">
        <f t="shared" si="31"/>
        <v>1899.9999999999818</v>
      </c>
      <c r="O242">
        <f t="shared" si="26"/>
        <v>36.637715116165623</v>
      </c>
      <c r="P242">
        <f t="array" ref="P242">+SUM($G$2:$G$18*SIN(2*PI()*(N242)*$B$1/$F$2:$F$18+$H$2:$H$18))</f>
        <v>-0.85294418094027491</v>
      </c>
      <c r="Q242">
        <f t="shared" si="27"/>
        <v>-31.249925911281018</v>
      </c>
      <c r="R242">
        <f t="shared" si="28"/>
        <v>-3.6529733238722523E-3</v>
      </c>
      <c r="S242">
        <f t="array" ref="S242">+$B$2*SIN(R242*$B$3+$B$4)+0*R242+ SUM($J$2:$J$20*SIN(2*PI()*N242*$I$2:$I$20+$K$2:$K$20))</f>
        <v>-0.43052944205291627</v>
      </c>
      <c r="U242" s="3">
        <f t="shared" si="24"/>
        <v>1899.9999999999818</v>
      </c>
      <c r="V242" s="3">
        <f t="shared" si="25"/>
        <v>9.3133999999999995E-2</v>
      </c>
      <c r="Z242" s="1">
        <v>1900.0417</v>
      </c>
      <c r="AA242" s="2">
        <f t="shared" si="29"/>
        <v>0.63936999999999999</v>
      </c>
      <c r="AB242">
        <v>31.968499999999999</v>
      </c>
      <c r="AE242">
        <v>1899.9999999999818</v>
      </c>
      <c r="AF242">
        <v>-0.43052944205291627</v>
      </c>
    </row>
    <row r="243" spans="4:32" x14ac:dyDescent="0.35">
      <c r="D243">
        <v>0.70561800000000008</v>
      </c>
      <c r="M243">
        <f t="shared" si="30"/>
        <v>242</v>
      </c>
      <c r="N243">
        <f t="shared" si="31"/>
        <v>1900.0833333333151</v>
      </c>
      <c r="O243">
        <f t="shared" si="26"/>
        <v>0</v>
      </c>
      <c r="P243">
        <f t="array" ref="P243">+SUM($G$2:$G$18*SIN(2*PI()*(N243)*$B$1/$F$2:$F$18+$H$2:$H$18))</f>
        <v>-0.4792727011031967</v>
      </c>
      <c r="Q243">
        <f t="shared" si="27"/>
        <v>0</v>
      </c>
      <c r="R243">
        <f t="shared" si="28"/>
        <v>-3.6473545360857043E-3</v>
      </c>
      <c r="S243">
        <f t="array" ref="S243">+$B$2*SIN(R243*$B$3+$B$4)+0*R243+ SUM($J$2:$J$20*SIN(2*PI()*N243*$I$2:$I$20+$K$2:$K$20))</f>
        <v>-0.43118217360498323</v>
      </c>
      <c r="U243" s="3">
        <f t="shared" si="24"/>
        <v>1900.0833333333151</v>
      </c>
      <c r="V243" s="3">
        <f t="shared" si="25"/>
        <v>-0.17152400000000001</v>
      </c>
      <c r="Z243" s="1">
        <v>1900.125</v>
      </c>
      <c r="AA243" s="2">
        <f t="shared" si="29"/>
        <v>0.67004599999999992</v>
      </c>
      <c r="AB243">
        <v>33.502299999999998</v>
      </c>
      <c r="AE243">
        <v>1900.0833333333151</v>
      </c>
      <c r="AF243">
        <v>-0.43118217360498323</v>
      </c>
    </row>
    <row r="244" spans="4:32" x14ac:dyDescent="0.35">
      <c r="D244">
        <v>0.63936999999999999</v>
      </c>
      <c r="M244">
        <f t="shared" si="30"/>
        <v>243</v>
      </c>
      <c r="N244">
        <f t="shared" si="31"/>
        <v>1900.1666666666483</v>
      </c>
      <c r="O244">
        <f t="shared" si="26"/>
        <v>0</v>
      </c>
      <c r="P244">
        <f t="array" ref="P244">+SUM($G$2:$G$18*SIN(2*PI()*(N244)*$B$1/$F$2:$F$18+$H$2:$H$18))</f>
        <v>0.11602388871096861</v>
      </c>
      <c r="Q244">
        <f t="shared" si="27"/>
        <v>0</v>
      </c>
      <c r="R244">
        <f t="shared" si="28"/>
        <v>-3.6417443907866289E-3</v>
      </c>
      <c r="S244">
        <f t="array" ref="S244">+$B$2*SIN(R244*$B$3+$B$4)+0*R244+ SUM($J$2:$J$20*SIN(2*PI()*N244*$I$2:$I$20+$K$2:$K$20))</f>
        <v>-0.43183342006144038</v>
      </c>
      <c r="U244" s="3">
        <f t="shared" si="24"/>
        <v>1900.1666666666483</v>
      </c>
      <c r="V244" s="3">
        <f t="shared" si="25"/>
        <v>-0.32695599999999997</v>
      </c>
      <c r="Z244" s="1">
        <v>1900.2083</v>
      </c>
      <c r="AA244" s="2">
        <f t="shared" si="29"/>
        <v>0.50995199999999996</v>
      </c>
      <c r="AB244">
        <v>25.497599999999998</v>
      </c>
      <c r="AE244">
        <v>1900.1666666666483</v>
      </c>
      <c r="AF244">
        <v>-0.43183342006144038</v>
      </c>
    </row>
    <row r="245" spans="4:32" x14ac:dyDescent="0.35">
      <c r="D245">
        <v>0.67004599999999992</v>
      </c>
      <c r="M245">
        <f t="shared" si="30"/>
        <v>244</v>
      </c>
      <c r="N245">
        <f t="shared" si="31"/>
        <v>1900.2499999999816</v>
      </c>
      <c r="O245">
        <f t="shared" si="26"/>
        <v>0</v>
      </c>
      <c r="P245">
        <f t="array" ref="P245">+SUM($G$2:$G$18*SIN(2*PI()*(N245)*$B$1/$F$2:$F$18+$H$2:$H$18))</f>
        <v>0.27619688512784113</v>
      </c>
      <c r="Q245">
        <f t="shared" si="27"/>
        <v>0</v>
      </c>
      <c r="R245">
        <f t="shared" si="28"/>
        <v>-3.6361428746816628E-3</v>
      </c>
      <c r="S245">
        <f t="array" ref="S245">+$B$2*SIN(R245*$B$3+$B$4)+0*R245+ SUM($J$2:$J$20*SIN(2*PI()*N245*$I$2:$I$20+$K$2:$K$20))</f>
        <v>-0.43248318446102962</v>
      </c>
      <c r="U245" s="3">
        <f t="shared" si="24"/>
        <v>1900.2499999999816</v>
      </c>
      <c r="V245" s="3">
        <f t="shared" si="25"/>
        <v>-0.43315399999999998</v>
      </c>
      <c r="Z245" s="1">
        <v>1900.2917</v>
      </c>
      <c r="AA245" s="2">
        <f t="shared" si="29"/>
        <v>0.48985599999999996</v>
      </c>
      <c r="AB245">
        <v>24.492799999999999</v>
      </c>
      <c r="AE245">
        <v>1900.2499999999816</v>
      </c>
      <c r="AF245">
        <v>-0.43248318446102962</v>
      </c>
    </row>
    <row r="246" spans="4:32" x14ac:dyDescent="0.35">
      <c r="D246">
        <v>0.50995199999999996</v>
      </c>
      <c r="M246">
        <f t="shared" si="30"/>
        <v>245</v>
      </c>
      <c r="N246">
        <f t="shared" si="31"/>
        <v>1900.3333333333148</v>
      </c>
      <c r="O246">
        <f t="shared" si="26"/>
        <v>0</v>
      </c>
      <c r="P246">
        <f t="array" ref="P246">+SUM($G$2:$G$18*SIN(2*PI()*(N246)*$B$1/$F$2:$F$18+$H$2:$H$18))</f>
        <v>0.12677197824115716</v>
      </c>
      <c r="Q246">
        <f t="shared" si="27"/>
        <v>0</v>
      </c>
      <c r="R246">
        <f t="shared" si="28"/>
        <v>-3.6305499744978889E-3</v>
      </c>
      <c r="S246">
        <f t="array" ref="S246">+$B$2*SIN(R246*$B$3+$B$4)+0*R246+ SUM($J$2:$J$20*SIN(2*PI()*N246*$I$2:$I$20+$K$2:$K$20))</f>
        <v>-0.43313146983937079</v>
      </c>
      <c r="U246" s="3">
        <f t="shared" si="24"/>
        <v>1900.3333333333148</v>
      </c>
      <c r="V246" s="3">
        <f t="shared" si="25"/>
        <v>-0.64704800000000007</v>
      </c>
      <c r="Z246" s="1">
        <v>1900.375</v>
      </c>
      <c r="AA246" s="2">
        <f t="shared" si="29"/>
        <v>0.35899000000000003</v>
      </c>
      <c r="AB246">
        <v>17.9495</v>
      </c>
      <c r="AE246">
        <v>1900.3333333333148</v>
      </c>
      <c r="AF246">
        <v>-0.43313146983937079</v>
      </c>
    </row>
    <row r="247" spans="4:32" x14ac:dyDescent="0.35">
      <c r="D247">
        <v>0.48985599999999996</v>
      </c>
      <c r="M247">
        <f t="shared" si="30"/>
        <v>246</v>
      </c>
      <c r="N247">
        <f t="shared" si="31"/>
        <v>1900.4166666666481</v>
      </c>
      <c r="O247">
        <f t="shared" si="26"/>
        <v>0</v>
      </c>
      <c r="P247">
        <f t="array" ref="P247">+SUM($G$2:$G$18*SIN(2*PI()*(N247)*$B$1/$F$2:$F$18+$H$2:$H$18))</f>
        <v>0.12577253544770273</v>
      </c>
      <c r="Q247">
        <f t="shared" si="27"/>
        <v>0</v>
      </c>
      <c r="R247">
        <f t="shared" si="28"/>
        <v>-3.6249656769828066E-3</v>
      </c>
      <c r="S247">
        <f t="array" ref="S247">+$B$2*SIN(R247*$B$3+$B$4)+0*R247+ SUM($J$2:$J$20*SIN(2*PI()*N247*$I$2:$I$20+$K$2:$K$20))</f>
        <v>-0.43377827922893941</v>
      </c>
      <c r="U247" s="3">
        <f t="shared" si="24"/>
        <v>1900.4166666666481</v>
      </c>
      <c r="V247" s="3">
        <f t="shared" si="25"/>
        <v>-0.66555800000000009</v>
      </c>
      <c r="Z247" s="1">
        <v>1900.4583</v>
      </c>
      <c r="AA247" s="2">
        <f t="shared" si="29"/>
        <v>3.5079999999999998E-3</v>
      </c>
      <c r="AB247">
        <v>0.1754</v>
      </c>
      <c r="AE247">
        <v>1900.4166666666481</v>
      </c>
      <c r="AF247">
        <v>-0.43377827922893941</v>
      </c>
    </row>
    <row r="248" spans="4:32" x14ac:dyDescent="0.35">
      <c r="D248">
        <v>0.35899000000000003</v>
      </c>
      <c r="M248">
        <f t="shared" si="30"/>
        <v>247</v>
      </c>
      <c r="N248">
        <f t="shared" si="31"/>
        <v>1900.4999999999814</v>
      </c>
      <c r="O248">
        <f t="shared" si="26"/>
        <v>0</v>
      </c>
      <c r="P248">
        <f t="array" ref="P248">+SUM($G$2:$G$18*SIN(2*PI()*(N248)*$B$1/$F$2:$F$18+$H$2:$H$18))</f>
        <v>0.43654279284099129</v>
      </c>
      <c r="Q248">
        <f t="shared" si="27"/>
        <v>0</v>
      </c>
      <c r="R248">
        <f t="shared" si="28"/>
        <v>-3.619389968904299E-3</v>
      </c>
      <c r="S248">
        <f t="array" ref="S248">+$B$2*SIN(R248*$B$3+$B$4)+0*R248+ SUM($J$2:$J$20*SIN(2*PI()*N248*$I$2:$I$20+$K$2:$K$20))</f>
        <v>-0.43442361565904913</v>
      </c>
      <c r="U248" s="3">
        <f t="shared" si="24"/>
        <v>1900.4999999999814</v>
      </c>
      <c r="V248" s="3">
        <f t="shared" si="25"/>
        <v>-0.56714599999999993</v>
      </c>
      <c r="Z248" s="1">
        <v>1900.5417</v>
      </c>
      <c r="AA248" s="2">
        <f t="shared" si="29"/>
        <v>-0.456592</v>
      </c>
      <c r="AB248">
        <v>-22.829599999999999</v>
      </c>
      <c r="AE248">
        <v>1900.4999999999814</v>
      </c>
      <c r="AF248">
        <v>-0.43442361565904913</v>
      </c>
    </row>
    <row r="249" spans="4:32" x14ac:dyDescent="0.35">
      <c r="D249">
        <v>3.5079999999999998E-3</v>
      </c>
      <c r="M249">
        <f t="shared" si="30"/>
        <v>248</v>
      </c>
      <c r="N249">
        <f t="shared" si="31"/>
        <v>1900.5833333333146</v>
      </c>
      <c r="O249">
        <f t="shared" si="26"/>
        <v>0</v>
      </c>
      <c r="P249">
        <f t="array" ref="P249">+SUM($G$2:$G$18*SIN(2*PI()*(N249)*$B$1/$F$2:$F$18+$H$2:$H$18))</f>
        <v>0.28968658186219698</v>
      </c>
      <c r="Q249">
        <f t="shared" si="27"/>
        <v>0</v>
      </c>
      <c r="R249">
        <f t="shared" si="28"/>
        <v>-3.613822837050602E-3</v>
      </c>
      <c r="S249">
        <f t="array" ref="S249">+$B$2*SIN(R249*$B$3+$B$4)+0*R249+ SUM($J$2:$J$20*SIN(2*PI()*N249*$I$2:$I$20+$K$2:$K$20))</f>
        <v>-0.43506748215582974</v>
      </c>
      <c r="U249" s="3">
        <f t="shared" si="24"/>
        <v>1900.5833333333146</v>
      </c>
      <c r="V249" s="3">
        <f t="shared" si="25"/>
        <v>-0.66565799999999997</v>
      </c>
      <c r="Z249" s="1">
        <v>1900.625</v>
      </c>
      <c r="AA249" s="2">
        <f t="shared" si="29"/>
        <v>-0.352078</v>
      </c>
      <c r="AB249">
        <v>-17.603899999999999</v>
      </c>
      <c r="AE249">
        <v>1900.5833333333146</v>
      </c>
      <c r="AF249">
        <v>-0.43506748215582974</v>
      </c>
    </row>
    <row r="250" spans="4:32" x14ac:dyDescent="0.35">
      <c r="D250">
        <v>-0.456592</v>
      </c>
      <c r="M250">
        <f t="shared" si="30"/>
        <v>249</v>
      </c>
      <c r="N250">
        <f t="shared" si="31"/>
        <v>1900.6666666666479</v>
      </c>
      <c r="O250">
        <f t="shared" si="26"/>
        <v>0</v>
      </c>
      <c r="P250">
        <f t="array" ref="P250">+SUM($G$2:$G$18*SIN(2*PI()*(N250)*$B$1/$F$2:$F$18+$H$2:$H$18))</f>
        <v>-0.59764308057835758</v>
      </c>
      <c r="Q250">
        <f t="shared" si="27"/>
        <v>0</v>
      </c>
      <c r="R250">
        <f t="shared" si="28"/>
        <v>-3.6082642682302734E-3</v>
      </c>
      <c r="S250">
        <f t="array" ref="S250">+$B$2*SIN(R250*$B$3+$B$4)+0*R250+ SUM($J$2:$J$20*SIN(2*PI()*N250*$I$2:$I$20+$K$2:$K$20))</f>
        <v>-0.43570988174220876</v>
      </c>
      <c r="U250" s="3">
        <f t="shared" si="24"/>
        <v>1900.6666666666479</v>
      </c>
      <c r="V250" s="3">
        <f t="shared" si="25"/>
        <v>-0.53955599999999992</v>
      </c>
      <c r="Z250" s="1">
        <v>1900.7083</v>
      </c>
      <c r="AA250" s="2">
        <f t="shared" si="29"/>
        <v>-0.39217799999999997</v>
      </c>
      <c r="AB250">
        <v>-19.608899999999998</v>
      </c>
      <c r="AE250">
        <v>1900.6666666666479</v>
      </c>
      <c r="AF250">
        <v>-0.43570988174220876</v>
      </c>
    </row>
    <row r="251" spans="4:32" x14ac:dyDescent="0.35">
      <c r="D251">
        <v>-0.352078</v>
      </c>
      <c r="M251">
        <f t="shared" si="30"/>
        <v>250</v>
      </c>
      <c r="N251">
        <f t="shared" si="31"/>
        <v>1900.7499999999811</v>
      </c>
      <c r="O251">
        <f t="shared" si="26"/>
        <v>0</v>
      </c>
      <c r="P251">
        <f t="array" ref="P251">+SUM($G$2:$G$18*SIN(2*PI()*(N251)*$B$1/$F$2:$F$18+$H$2:$H$18))</f>
        <v>-1.02920226858439</v>
      </c>
      <c r="Q251">
        <f t="shared" si="27"/>
        <v>0</v>
      </c>
      <c r="R251">
        <f t="shared" si="28"/>
        <v>-3.602714249272161E-3</v>
      </c>
      <c r="S251">
        <f t="array" ref="S251">+$B$2*SIN(R251*$B$3+$B$4)+0*R251+ SUM($J$2:$J$20*SIN(2*PI()*N251*$I$2:$I$20+$K$2:$K$20))</f>
        <v>-0.43635081743789117</v>
      </c>
      <c r="U251" s="3">
        <f t="shared" ref="U251:U314" si="32">+N251</f>
        <v>1900.7499999999811</v>
      </c>
      <c r="V251" s="3">
        <f t="shared" ref="V251:V314" si="33">+D209</f>
        <v>-0.72576200000000002</v>
      </c>
      <c r="Z251" s="1">
        <v>1900.7917</v>
      </c>
      <c r="AA251" s="2">
        <f t="shared" si="29"/>
        <v>-0.50612800000000002</v>
      </c>
      <c r="AB251">
        <v>-25.3064</v>
      </c>
      <c r="AE251">
        <v>1900.7499999999811</v>
      </c>
      <c r="AF251">
        <v>-0.43635081743789117</v>
      </c>
    </row>
    <row r="252" spans="4:32" x14ac:dyDescent="0.35">
      <c r="D252">
        <v>-0.39217799999999997</v>
      </c>
      <c r="M252">
        <f t="shared" si="30"/>
        <v>251</v>
      </c>
      <c r="N252">
        <f t="shared" si="31"/>
        <v>1900.8333333333144</v>
      </c>
      <c r="O252">
        <f t="shared" si="26"/>
        <v>0</v>
      </c>
      <c r="P252">
        <f t="array" ref="P252">+SUM($G$2:$G$18*SIN(2*PI()*(N252)*$B$1/$F$2:$F$18+$H$2:$H$18))</f>
        <v>-0.46618336772240482</v>
      </c>
      <c r="Q252">
        <f t="shared" si="27"/>
        <v>0</v>
      </c>
      <c r="R252">
        <f t="shared" si="28"/>
        <v>-3.5971727670253716E-3</v>
      </c>
      <c r="S252">
        <f t="array" ref="S252">+$B$2*SIN(R252*$B$3+$B$4)+0*R252+ SUM($J$2:$J$20*SIN(2*PI()*N252*$I$2:$I$20+$K$2:$K$20))</f>
        <v>-0.4369902922593405</v>
      </c>
      <c r="U252" s="3">
        <f t="shared" si="32"/>
        <v>1900.8333333333144</v>
      </c>
      <c r="V252" s="3">
        <f t="shared" si="33"/>
        <v>-0.80273799999999995</v>
      </c>
      <c r="Z252" s="1">
        <v>1900.875</v>
      </c>
      <c r="AA252" s="2">
        <f t="shared" si="29"/>
        <v>-0.53853799999999996</v>
      </c>
      <c r="AB252">
        <v>-26.9269</v>
      </c>
      <c r="AE252">
        <v>1900.8333333333144</v>
      </c>
      <c r="AF252">
        <v>-0.4369902922593405</v>
      </c>
    </row>
    <row r="253" spans="4:32" x14ac:dyDescent="0.35">
      <c r="D253">
        <v>-0.50612800000000002</v>
      </c>
      <c r="M253">
        <f t="shared" si="30"/>
        <v>252</v>
      </c>
      <c r="N253">
        <f t="shared" si="31"/>
        <v>1900.9166666666476</v>
      </c>
      <c r="O253">
        <f t="shared" si="26"/>
        <v>0</v>
      </c>
      <c r="P253">
        <f t="array" ref="P253">+SUM($G$2:$G$18*SIN(2*PI()*(N253)*$B$1/$F$2:$F$18+$H$2:$H$18))</f>
        <v>0.18230015216676018</v>
      </c>
      <c r="Q253">
        <f t="shared" si="27"/>
        <v>0</v>
      </c>
      <c r="R253">
        <f t="shared" si="28"/>
        <v>-3.5916398083592404E-3</v>
      </c>
      <c r="S253">
        <f t="array" ref="S253">+$B$2*SIN(R253*$B$3+$B$4)+0*R253+ SUM($J$2:$J$20*SIN(2*PI()*N253*$I$2:$I$20+$K$2:$K$20))</f>
        <v>-0.43762830921976092</v>
      </c>
      <c r="U253" s="3">
        <f t="shared" si="32"/>
        <v>1900.9166666666476</v>
      </c>
      <c r="V253" s="3">
        <f t="shared" si="33"/>
        <v>-0.7012560000000001</v>
      </c>
      <c r="Z253" s="1">
        <v>1900.9583</v>
      </c>
      <c r="AA253" s="2">
        <f t="shared" si="29"/>
        <v>-0.64787400000000006</v>
      </c>
      <c r="AB253">
        <v>-32.393700000000003</v>
      </c>
      <c r="AE253">
        <v>1900.9166666666476</v>
      </c>
      <c r="AF253">
        <v>-0.43762830921976092</v>
      </c>
    </row>
    <row r="254" spans="4:32" x14ac:dyDescent="0.35">
      <c r="D254">
        <v>-0.53853799999999996</v>
      </c>
      <c r="M254">
        <f t="shared" si="30"/>
        <v>253</v>
      </c>
      <c r="N254">
        <f t="shared" si="31"/>
        <v>1900.9999999999809</v>
      </c>
      <c r="O254">
        <f t="shared" si="26"/>
        <v>36.637715116165623</v>
      </c>
      <c r="P254">
        <f t="array" ref="P254">+SUM($G$2:$G$18*SIN(2*PI()*(N254)*$B$1/$F$2:$F$18+$H$2:$H$18))</f>
        <v>0.2478843573438812</v>
      </c>
      <c r="Q254">
        <f t="shared" si="27"/>
        <v>9.0819164661189173</v>
      </c>
      <c r="R254">
        <f t="shared" si="28"/>
        <v>1.0383152081458274E-2</v>
      </c>
      <c r="S254">
        <f t="array" ref="S254">+$B$2*SIN(R254*$B$3+$B$4)+0*R254+ SUM($J$2:$J$20*SIN(2*PI()*N254*$I$2:$I$20+$K$2:$K$20))</f>
        <v>8.1932248572353969E-2</v>
      </c>
      <c r="U254" s="3">
        <f t="shared" si="32"/>
        <v>1900.9999999999809</v>
      </c>
      <c r="V254" s="3">
        <f t="shared" si="33"/>
        <v>-0.83823599999999998</v>
      </c>
      <c r="Z254" s="1">
        <v>1901.0417</v>
      </c>
      <c r="AA254" s="2">
        <f t="shared" si="29"/>
        <v>-0.67567400000000011</v>
      </c>
      <c r="AB254">
        <v>-33.783700000000003</v>
      </c>
      <c r="AE254">
        <v>1900.9999999999809</v>
      </c>
      <c r="AF254">
        <v>8.1932248572353969E-2</v>
      </c>
    </row>
    <row r="255" spans="4:32" x14ac:dyDescent="0.35">
      <c r="D255">
        <v>-0.64787400000000006</v>
      </c>
      <c r="M255">
        <f t="shared" si="30"/>
        <v>254</v>
      </c>
      <c r="N255">
        <f t="shared" si="31"/>
        <v>1901.0833333333142</v>
      </c>
      <c r="O255">
        <f t="shared" si="26"/>
        <v>0</v>
      </c>
      <c r="P255">
        <f t="array" ref="P255">+SUM($G$2:$G$18*SIN(2*PI()*(N255)*$B$1/$F$2:$F$18+$H$2:$H$18))</f>
        <v>-7.559184253016947E-2</v>
      </c>
      <c r="Q255">
        <f t="shared" si="27"/>
        <v>0</v>
      </c>
      <c r="R255">
        <f t="shared" si="28"/>
        <v>1.0367181330256804E-2</v>
      </c>
      <c r="S255">
        <f t="array" ref="S255">+$B$2*SIN(R255*$B$3+$B$4)+0*R255+ SUM($J$2:$J$20*SIN(2*PI()*N255*$I$2:$I$20+$K$2:$K$20))</f>
        <v>7.9682697572710681E-2</v>
      </c>
      <c r="U255" s="3">
        <f t="shared" si="32"/>
        <v>1901.0833333333142</v>
      </c>
      <c r="V255" s="3">
        <f t="shared" si="33"/>
        <v>-0.94136799999999998</v>
      </c>
      <c r="Z255" s="1">
        <v>1901.125</v>
      </c>
      <c r="AA255" s="2">
        <f t="shared" si="29"/>
        <v>-0.75731800000000005</v>
      </c>
      <c r="AB255">
        <v>-37.865900000000003</v>
      </c>
      <c r="AE255">
        <v>1901.0833333333142</v>
      </c>
      <c r="AF255">
        <v>7.9682697572710681E-2</v>
      </c>
    </row>
    <row r="256" spans="4:32" x14ac:dyDescent="0.35">
      <c r="D256">
        <v>-0.67567400000000011</v>
      </c>
      <c r="M256">
        <f t="shared" si="30"/>
        <v>255</v>
      </c>
      <c r="N256">
        <f t="shared" si="31"/>
        <v>1901.1666666666474</v>
      </c>
      <c r="O256">
        <f t="shared" si="26"/>
        <v>0</v>
      </c>
      <c r="P256">
        <f t="array" ref="P256">+SUM($G$2:$G$18*SIN(2*PI()*(N256)*$B$1/$F$2:$F$18+$H$2:$H$18))</f>
        <v>-0.13864047206397878</v>
      </c>
      <c r="Q256">
        <f t="shared" si="27"/>
        <v>0</v>
      </c>
      <c r="R256">
        <f t="shared" si="28"/>
        <v>1.0351235144321444E-2</v>
      </c>
      <c r="S256">
        <f t="array" ref="S256">+$B$2*SIN(R256*$B$3+$B$4)+0*R256+ SUM($J$2:$J$20*SIN(2*PI()*N256*$I$2:$I$20+$K$2:$K$20))</f>
        <v>7.7435888388388621E-2</v>
      </c>
      <c r="U256" s="3">
        <f t="shared" si="32"/>
        <v>1901.1666666666474</v>
      </c>
      <c r="V256" s="3">
        <f t="shared" si="33"/>
        <v>-0.75373599999999996</v>
      </c>
      <c r="Z256" s="1">
        <v>1901.2083</v>
      </c>
      <c r="AA256" s="2">
        <f t="shared" si="29"/>
        <v>-0.84511799999999992</v>
      </c>
      <c r="AB256">
        <v>-42.255899999999997</v>
      </c>
      <c r="AE256">
        <v>1901.1666666666474</v>
      </c>
      <c r="AF256">
        <v>7.7435888388388621E-2</v>
      </c>
    </row>
    <row r="257" spans="4:32" x14ac:dyDescent="0.35">
      <c r="D257">
        <v>-0.75731800000000005</v>
      </c>
      <c r="M257">
        <f t="shared" si="30"/>
        <v>256</v>
      </c>
      <c r="N257">
        <f t="shared" si="31"/>
        <v>1901.2499999999807</v>
      </c>
      <c r="O257">
        <f t="shared" si="26"/>
        <v>0</v>
      </c>
      <c r="P257">
        <f t="array" ref="P257">+SUM($G$2:$G$18*SIN(2*PI()*(N257)*$B$1/$F$2:$F$18+$H$2:$H$18))</f>
        <v>0.17513161553385584</v>
      </c>
      <c r="Q257">
        <f t="shared" si="27"/>
        <v>0</v>
      </c>
      <c r="R257">
        <f t="shared" si="28"/>
        <v>1.0335313485867352E-2</v>
      </c>
      <c r="S257">
        <f t="array" ref="S257">+$B$2*SIN(R257*$B$3+$B$4)+0*R257+ SUM($J$2:$J$20*SIN(2*PI()*N257*$I$2:$I$20+$K$2:$K$20))</f>
        <v>7.5191839201761743E-2</v>
      </c>
      <c r="U257" s="3">
        <f t="shared" si="32"/>
        <v>1901.2499999999807</v>
      </c>
      <c r="V257" s="3">
        <f t="shared" si="33"/>
        <v>-0.34917999999999999</v>
      </c>
      <c r="Z257" s="1">
        <v>1901.2917</v>
      </c>
      <c r="AA257" s="2">
        <f t="shared" si="29"/>
        <v>-1.011382</v>
      </c>
      <c r="AB257">
        <v>-50.569099999999999</v>
      </c>
      <c r="AE257">
        <v>1901.2499999999807</v>
      </c>
      <c r="AF257">
        <v>7.5191839201761743E-2</v>
      </c>
    </row>
    <row r="258" spans="4:32" x14ac:dyDescent="0.35">
      <c r="D258">
        <v>-0.84511799999999992</v>
      </c>
      <c r="M258">
        <f t="shared" si="30"/>
        <v>257</v>
      </c>
      <c r="N258">
        <f t="shared" si="31"/>
        <v>1901.3333333333139</v>
      </c>
      <c r="O258">
        <f t="shared" ref="O258:O321" si="34">+IF(MOD(M258,$B$5)=1, $B$6, 0)</f>
        <v>0</v>
      </c>
      <c r="P258">
        <f t="array" ref="P258">+SUM($G$2:$G$18*SIN(2*PI()*(N258)*$B$1/$F$2:$F$18+$H$2:$H$18))</f>
        <v>-5.9574654623395507E-4</v>
      </c>
      <c r="Q258">
        <f t="shared" si="27"/>
        <v>0</v>
      </c>
      <c r="R258">
        <f t="shared" si="28"/>
        <v>1.0319416317167806E-2</v>
      </c>
      <c r="S258">
        <f t="array" ref="S258">+$B$2*SIN(R258*$B$3+$B$4)+0*R258+ SUM($J$2:$J$20*SIN(2*PI()*N258*$I$2:$I$20+$K$2:$K$20))</f>
        <v>7.2950568011587016E-2</v>
      </c>
      <c r="U258" s="3">
        <f t="shared" si="32"/>
        <v>1901.3333333333139</v>
      </c>
      <c r="V258" s="3">
        <f t="shared" si="33"/>
        <v>8.3068000000000003E-2</v>
      </c>
      <c r="Z258" s="1">
        <v>1901.375</v>
      </c>
      <c r="AA258" s="2">
        <f t="shared" si="29"/>
        <v>-1.1499540000000001</v>
      </c>
      <c r="AB258">
        <v>-57.497700000000002</v>
      </c>
      <c r="AE258">
        <v>1901.3333333333139</v>
      </c>
      <c r="AF258">
        <v>7.2950568011587016E-2</v>
      </c>
    </row>
    <row r="259" spans="4:32" x14ac:dyDescent="0.35">
      <c r="D259">
        <v>-1.011382</v>
      </c>
      <c r="M259">
        <f t="shared" si="30"/>
        <v>258</v>
      </c>
      <c r="N259">
        <f t="shared" si="31"/>
        <v>1901.4166666666472</v>
      </c>
      <c r="O259">
        <f t="shared" si="34"/>
        <v>0</v>
      </c>
      <c r="P259">
        <f t="array" ref="P259">+SUM($G$2:$G$18*SIN(2*PI()*(N259)*$B$1/$F$2:$F$18+$H$2:$H$18))</f>
        <v>-0.73084263266377802</v>
      </c>
      <c r="Q259">
        <f t="shared" ref="Q259:Q322" si="35">+O259*P259</f>
        <v>0</v>
      </c>
      <c r="R259">
        <f t="shared" ref="R259:R322" si="36">+(1-$B$7)*R258+($B$7)*Q259</f>
        <v>1.0303543600554112E-2</v>
      </c>
      <c r="S259">
        <f t="array" ref="S259">+$B$2*SIN(R259*$B$3+$B$4)+0*R259+ SUM($J$2:$J$20*SIN(2*PI()*N259*$I$2:$I$20+$K$2:$K$20))</f>
        <v>7.0712092633948648E-2</v>
      </c>
      <c r="U259" s="3">
        <f t="shared" si="32"/>
        <v>1901.4166666666472</v>
      </c>
      <c r="V259" s="3">
        <f t="shared" si="33"/>
        <v>0.20146600000000001</v>
      </c>
      <c r="Z259" s="1">
        <v>1901.4583</v>
      </c>
      <c r="AA259" s="2">
        <f t="shared" ref="AA259:AA322" si="37">+AB259/50</f>
        <v>-1.002372</v>
      </c>
      <c r="AB259">
        <v>-50.118600000000001</v>
      </c>
      <c r="AE259">
        <v>1901.4166666666472</v>
      </c>
      <c r="AF259">
        <v>7.0712092633948648E-2</v>
      </c>
    </row>
    <row r="260" spans="4:32" x14ac:dyDescent="0.35">
      <c r="D260">
        <v>-1.1499540000000001</v>
      </c>
      <c r="M260">
        <f t="shared" ref="M260:M323" si="38">+M259+1</f>
        <v>259</v>
      </c>
      <c r="N260">
        <f t="shared" ref="N260:N323" si="39">+N259+1/12</f>
        <v>1901.4999999999804</v>
      </c>
      <c r="O260">
        <f t="shared" si="34"/>
        <v>0</v>
      </c>
      <c r="P260">
        <f t="array" ref="P260">+SUM($G$2:$G$18*SIN(2*PI()*(N260)*$B$1/$F$2:$F$18+$H$2:$H$18))</f>
        <v>-0.8799102632278708</v>
      </c>
      <c r="Q260">
        <f t="shared" si="35"/>
        <v>0</v>
      </c>
      <c r="R260">
        <f t="shared" si="36"/>
        <v>1.0287695298415516E-2</v>
      </c>
      <c r="S260">
        <f t="array" ref="S260">+$B$2*SIN(R260*$B$3+$B$4)+0*R260+ SUM($J$2:$J$20*SIN(2*PI()*N260*$I$2:$I$20+$K$2:$K$20))</f>
        <v>6.847643070319849E-2</v>
      </c>
      <c r="U260" s="3">
        <f t="shared" si="32"/>
        <v>1901.4999999999804</v>
      </c>
      <c r="V260" s="3">
        <f t="shared" si="33"/>
        <v>0.176788</v>
      </c>
      <c r="Z260" s="1">
        <v>1901.5417</v>
      </c>
      <c r="AA260" s="2">
        <f t="shared" si="37"/>
        <v>-0.81633200000000006</v>
      </c>
      <c r="AB260">
        <v>-40.816600000000001</v>
      </c>
      <c r="AE260">
        <v>1901.4999999999804</v>
      </c>
      <c r="AF260">
        <v>6.847643070319849E-2</v>
      </c>
    </row>
    <row r="261" spans="4:32" x14ac:dyDescent="0.35">
      <c r="D261">
        <v>-1.002372</v>
      </c>
      <c r="M261">
        <f t="shared" si="38"/>
        <v>260</v>
      </c>
      <c r="N261">
        <f t="shared" si="39"/>
        <v>1901.5833333333137</v>
      </c>
      <c r="O261">
        <f t="shared" si="34"/>
        <v>0</v>
      </c>
      <c r="P261">
        <f t="array" ref="P261">+SUM($G$2:$G$18*SIN(2*PI()*(N261)*$B$1/$F$2:$F$18+$H$2:$H$18))</f>
        <v>-0.26632913976814088</v>
      </c>
      <c r="Q261">
        <f t="shared" si="35"/>
        <v>0</v>
      </c>
      <c r="R261">
        <f t="shared" si="36"/>
        <v>1.0271871373199114E-2</v>
      </c>
      <c r="S261">
        <f t="array" ref="S261">+$B$2*SIN(R261*$B$3+$B$4)+0*R261+ SUM($J$2:$J$20*SIN(2*PI()*N261*$I$2:$I$20+$K$2:$K$20))</f>
        <v>6.624359967289549E-2</v>
      </c>
      <c r="U261" s="3">
        <f t="shared" si="32"/>
        <v>1901.5833333333137</v>
      </c>
      <c r="V261" s="3">
        <f t="shared" si="33"/>
        <v>0.12903399999999998</v>
      </c>
      <c r="Z261" s="1">
        <v>1901.625</v>
      </c>
      <c r="AA261" s="2">
        <f t="shared" si="37"/>
        <v>-0.68721399999999999</v>
      </c>
      <c r="AB261">
        <v>-34.360700000000001</v>
      </c>
      <c r="AE261">
        <v>1901.5833333333137</v>
      </c>
      <c r="AF261">
        <v>6.624359967289549E-2</v>
      </c>
    </row>
    <row r="262" spans="4:32" x14ac:dyDescent="0.35">
      <c r="D262">
        <v>-0.81633200000000006</v>
      </c>
      <c r="M262">
        <f t="shared" si="38"/>
        <v>261</v>
      </c>
      <c r="N262">
        <f t="shared" si="39"/>
        <v>1901.666666666647</v>
      </c>
      <c r="O262">
        <f t="shared" si="34"/>
        <v>0</v>
      </c>
      <c r="P262">
        <f t="array" ref="P262">+SUM($G$2:$G$18*SIN(2*PI()*(N262)*$B$1/$F$2:$F$18+$H$2:$H$18))</f>
        <v>0.23875184199366245</v>
      </c>
      <c r="Q262">
        <f t="shared" si="35"/>
        <v>0</v>
      </c>
      <c r="R262">
        <f t="shared" si="36"/>
        <v>1.0256071787409764E-2</v>
      </c>
      <c r="S262">
        <f t="array" ref="S262">+$B$2*SIN(R262*$B$3+$B$4)+0*R262+ SUM($J$2:$J$20*SIN(2*PI()*N262*$I$2:$I$20+$K$2:$K$20))</f>
        <v>6.401361681674439E-2</v>
      </c>
      <c r="U262" s="3">
        <f t="shared" si="32"/>
        <v>1901.666666666647</v>
      </c>
      <c r="V262" s="3">
        <f t="shared" si="33"/>
        <v>0.42281199999999997</v>
      </c>
      <c r="Z262" s="1">
        <v>1901.7083</v>
      </c>
      <c r="AA262" s="2">
        <f t="shared" si="37"/>
        <v>-0.75040600000000002</v>
      </c>
      <c r="AB262">
        <v>-37.520299999999999</v>
      </c>
      <c r="AE262">
        <v>1901.666666666647</v>
      </c>
      <c r="AF262">
        <v>6.401361681674439E-2</v>
      </c>
    </row>
    <row r="263" spans="4:32" x14ac:dyDescent="0.35">
      <c r="D263">
        <v>-0.68721399999999999</v>
      </c>
      <c r="M263">
        <f t="shared" si="38"/>
        <v>262</v>
      </c>
      <c r="N263">
        <f t="shared" si="39"/>
        <v>1901.7499999999802</v>
      </c>
      <c r="O263">
        <f t="shared" si="34"/>
        <v>0</v>
      </c>
      <c r="P263">
        <f t="array" ref="P263">+SUM($G$2:$G$18*SIN(2*PI()*(N263)*$B$1/$F$2:$F$18+$H$2:$H$18))</f>
        <v>0.19430316526395375</v>
      </c>
      <c r="Q263">
        <f t="shared" si="35"/>
        <v>0</v>
      </c>
      <c r="R263">
        <f t="shared" si="36"/>
        <v>1.0240296503609999E-2</v>
      </c>
      <c r="S263">
        <f t="array" ref="S263">+$B$2*SIN(R263*$B$3+$B$4)+0*R263+ SUM($J$2:$J$20*SIN(2*PI()*N263*$I$2:$I$20+$K$2:$K$20))</f>
        <v>6.1786499229531409E-2</v>
      </c>
      <c r="U263" s="3">
        <f t="shared" si="32"/>
        <v>1901.7499999999802</v>
      </c>
      <c r="V263" s="3">
        <f t="shared" si="33"/>
        <v>0.34582400000000002</v>
      </c>
      <c r="Z263" s="1">
        <v>1901.7917</v>
      </c>
      <c r="AA263" s="2">
        <f t="shared" si="37"/>
        <v>-0.76129199999999997</v>
      </c>
      <c r="AB263">
        <v>-38.064599999999999</v>
      </c>
      <c r="AE263">
        <v>1901.7499999999802</v>
      </c>
      <c r="AF263">
        <v>6.1786499229531409E-2</v>
      </c>
    </row>
    <row r="264" spans="4:32" x14ac:dyDescent="0.35">
      <c r="D264">
        <v>-0.75040600000000002</v>
      </c>
      <c r="M264">
        <f t="shared" si="38"/>
        <v>263</v>
      </c>
      <c r="N264">
        <f t="shared" si="39"/>
        <v>1901.8333333333135</v>
      </c>
      <c r="O264">
        <f t="shared" si="34"/>
        <v>0</v>
      </c>
      <c r="P264">
        <f t="array" ref="P264">+SUM($G$2:$G$18*SIN(2*PI()*(N264)*$B$1/$F$2:$F$18+$H$2:$H$18))</f>
        <v>-0.13927985537161316</v>
      </c>
      <c r="Q264">
        <f t="shared" si="35"/>
        <v>0</v>
      </c>
      <c r="R264">
        <f t="shared" si="36"/>
        <v>1.0224545484419931E-2</v>
      </c>
      <c r="S264">
        <f t="array" ref="S264">+$B$2*SIN(R264*$B$3+$B$4)+0*R264+ SUM($J$2:$J$20*SIN(2*PI()*N264*$I$2:$I$20+$K$2:$K$20))</f>
        <v>5.9562263828058293E-2</v>
      </c>
      <c r="U264" s="3">
        <f t="shared" si="32"/>
        <v>1901.8333333333135</v>
      </c>
      <c r="V264" s="3">
        <f t="shared" si="33"/>
        <v>0.53806399999999999</v>
      </c>
      <c r="Z264" s="1">
        <v>1901.875</v>
      </c>
      <c r="AA264" s="2">
        <f t="shared" si="37"/>
        <v>-0.67986999999999997</v>
      </c>
      <c r="AB264">
        <v>-33.993499999999997</v>
      </c>
      <c r="AE264">
        <v>1901.8333333333135</v>
      </c>
      <c r="AF264">
        <v>5.9562263828058293E-2</v>
      </c>
    </row>
    <row r="265" spans="4:32" x14ac:dyDescent="0.35">
      <c r="D265">
        <v>-0.76129199999999997</v>
      </c>
      <c r="M265">
        <f t="shared" si="38"/>
        <v>264</v>
      </c>
      <c r="N265">
        <f t="shared" si="39"/>
        <v>1901.9166666666467</v>
      </c>
      <c r="O265">
        <f t="shared" si="34"/>
        <v>0</v>
      </c>
      <c r="P265">
        <f t="array" ref="P265">+SUM($G$2:$G$18*SIN(2*PI()*(N265)*$B$1/$F$2:$F$18+$H$2:$H$18))</f>
        <v>-0.17467170152451567</v>
      </c>
      <c r="Q265">
        <f t="shared" si="35"/>
        <v>0</v>
      </c>
      <c r="R265">
        <f t="shared" si="36"/>
        <v>1.0208818692517174E-2</v>
      </c>
      <c r="S265">
        <f t="array" ref="S265">+$B$2*SIN(R265*$B$3+$B$4)+0*R265+ SUM($J$2:$J$20*SIN(2*PI()*N265*$I$2:$I$20+$K$2:$K$20))</f>
        <v>5.7340927352075063E-2</v>
      </c>
      <c r="U265" s="3">
        <f t="shared" si="32"/>
        <v>1901.9166666666467</v>
      </c>
      <c r="V265" s="3">
        <f t="shared" si="33"/>
        <v>0.52722599999999997</v>
      </c>
      <c r="Z265" s="1">
        <v>1901.9583</v>
      </c>
      <c r="AA265" s="2">
        <f t="shared" si="37"/>
        <v>-0.45844999999999997</v>
      </c>
      <c r="AB265">
        <v>-22.922499999999999</v>
      </c>
      <c r="AE265">
        <v>1901.9166666666467</v>
      </c>
      <c r="AF265">
        <v>5.7340927352075063E-2</v>
      </c>
    </row>
    <row r="266" spans="4:32" x14ac:dyDescent="0.35">
      <c r="D266">
        <v>-0.67986999999999997</v>
      </c>
      <c r="M266">
        <f t="shared" si="38"/>
        <v>265</v>
      </c>
      <c r="N266">
        <f t="shared" si="39"/>
        <v>1901.99999999998</v>
      </c>
      <c r="O266">
        <f t="shared" si="34"/>
        <v>36.637715116165623</v>
      </c>
      <c r="P266">
        <f t="array" ref="P266">+SUM($G$2:$G$18*SIN(2*PI()*(N266)*$B$1/$F$2:$F$18+$H$2:$H$18))</f>
        <v>4.8136446283921858E-2</v>
      </c>
      <c r="Q266">
        <f t="shared" si="35"/>
        <v>1.7636094056549383</v>
      </c>
      <c r="R266">
        <f t="shared" si="36"/>
        <v>1.2905795902443165E-2</v>
      </c>
      <c r="S266">
        <f t="array" ref="S266">+$B$2*SIN(R266*$B$3+$B$4)+0*R266+ SUM($J$2:$J$20*SIN(2*PI()*N266*$I$2:$I$20+$K$2:$K$20))</f>
        <v>0.4149389777759917</v>
      </c>
      <c r="U266" s="3">
        <f t="shared" si="32"/>
        <v>1901.99999999998</v>
      </c>
      <c r="V266" s="3">
        <f t="shared" si="33"/>
        <v>0.36100199999999999</v>
      </c>
      <c r="Z266" s="1">
        <v>1902.0417</v>
      </c>
      <c r="AA266" s="2">
        <f t="shared" si="37"/>
        <v>-0.25241800000000003</v>
      </c>
      <c r="AB266">
        <v>-12.620900000000001</v>
      </c>
      <c r="AE266">
        <v>1901.99999999998</v>
      </c>
      <c r="AF266">
        <v>0.4149389777759917</v>
      </c>
    </row>
    <row r="267" spans="4:32" x14ac:dyDescent="0.35">
      <c r="D267">
        <v>-0.45844999999999997</v>
      </c>
      <c r="M267">
        <f t="shared" si="38"/>
        <v>266</v>
      </c>
      <c r="N267">
        <f t="shared" si="39"/>
        <v>1902.0833333333132</v>
      </c>
      <c r="O267">
        <f t="shared" si="34"/>
        <v>0</v>
      </c>
      <c r="P267">
        <f t="array" ref="P267">+SUM($G$2:$G$18*SIN(2*PI()*(N267)*$B$1/$F$2:$F$18+$H$2:$H$18))</f>
        <v>-0.17484244533208254</v>
      </c>
      <c r="Q267">
        <f t="shared" si="35"/>
        <v>0</v>
      </c>
      <c r="R267">
        <f t="shared" si="36"/>
        <v>1.2885944969528204E-2</v>
      </c>
      <c r="S267">
        <f t="array" ref="S267">+$B$2*SIN(R267*$B$3+$B$4)+0*R267+ SUM($J$2:$J$20*SIN(2*PI()*N267*$I$2:$I$20+$K$2:$K$20))</f>
        <v>0.41258962336588428</v>
      </c>
      <c r="U267" s="3">
        <f t="shared" si="32"/>
        <v>1902.0833333333132</v>
      </c>
      <c r="V267" s="3">
        <f t="shared" si="33"/>
        <v>0.59785600000000005</v>
      </c>
      <c r="Z267" s="1">
        <v>1902.125</v>
      </c>
      <c r="AA267" s="2">
        <f t="shared" si="37"/>
        <v>-1.4076E-2</v>
      </c>
      <c r="AB267">
        <v>-0.70379999999999998</v>
      </c>
      <c r="AE267">
        <v>1902.0833333333132</v>
      </c>
      <c r="AF267">
        <v>0.41258962336588428</v>
      </c>
    </row>
    <row r="268" spans="4:32" x14ac:dyDescent="0.35">
      <c r="D268">
        <v>-0.25241800000000003</v>
      </c>
      <c r="M268">
        <f t="shared" si="38"/>
        <v>267</v>
      </c>
      <c r="N268">
        <f t="shared" si="39"/>
        <v>1902.1666666666465</v>
      </c>
      <c r="O268">
        <f t="shared" si="34"/>
        <v>0</v>
      </c>
      <c r="P268">
        <f t="array" ref="P268">+SUM($G$2:$G$18*SIN(2*PI()*(N268)*$B$1/$F$2:$F$18+$H$2:$H$18))</f>
        <v>-0.61007593727435649</v>
      </c>
      <c r="Q268">
        <f t="shared" si="35"/>
        <v>0</v>
      </c>
      <c r="R268">
        <f t="shared" si="36"/>
        <v>1.2866124570145663E-2</v>
      </c>
      <c r="S268">
        <f t="array" ref="S268">+$B$2*SIN(R268*$B$3+$B$4)+0*R268+ SUM($J$2:$J$20*SIN(2*PI()*N268*$I$2:$I$20+$K$2:$K$20))</f>
        <v>0.41023813649847951</v>
      </c>
      <c r="U268" s="3">
        <f t="shared" si="32"/>
        <v>1902.1666666666465</v>
      </c>
      <c r="V268" s="3">
        <f t="shared" si="33"/>
        <v>0.93162800000000001</v>
      </c>
      <c r="Z268" s="1">
        <v>1902.2083</v>
      </c>
      <c r="AA268" s="2">
        <f t="shared" si="37"/>
        <v>9.5033999999999993E-2</v>
      </c>
      <c r="AB268">
        <v>4.7516999999999996</v>
      </c>
      <c r="AE268">
        <v>1902.1666666666465</v>
      </c>
      <c r="AF268">
        <v>0.41023813649847951</v>
      </c>
    </row>
    <row r="269" spans="4:32" x14ac:dyDescent="0.35">
      <c r="D269">
        <v>-1.4076E-2</v>
      </c>
      <c r="M269">
        <f t="shared" si="38"/>
        <v>268</v>
      </c>
      <c r="N269">
        <f t="shared" si="39"/>
        <v>1902.2499999999798</v>
      </c>
      <c r="O269">
        <f t="shared" si="34"/>
        <v>0</v>
      </c>
      <c r="P269">
        <f t="array" ref="P269">+SUM($G$2:$G$18*SIN(2*PI()*(N269)*$B$1/$F$2:$F$18+$H$2:$H$18))</f>
        <v>-0.46545958692424821</v>
      </c>
      <c r="Q269">
        <f t="shared" si="35"/>
        <v>0</v>
      </c>
      <c r="R269">
        <f t="shared" si="36"/>
        <v>1.2846334657330667E-2</v>
      </c>
      <c r="S269">
        <f t="array" ref="S269">+$B$2*SIN(R269*$B$3+$B$4)+0*R269+ SUM($J$2:$J$20*SIN(2*PI()*N269*$I$2:$I$20+$K$2:$K$20))</f>
        <v>0.40788457076494261</v>
      </c>
      <c r="U269" s="3">
        <f t="shared" si="32"/>
        <v>1902.2499999999798</v>
      </c>
      <c r="V269" s="3">
        <f t="shared" si="33"/>
        <v>1.0700180000000001</v>
      </c>
      <c r="Z269" s="1">
        <v>1902.2917</v>
      </c>
      <c r="AA269" s="2">
        <f t="shared" si="37"/>
        <v>4.2602000000000001E-2</v>
      </c>
      <c r="AB269">
        <v>2.1301000000000001</v>
      </c>
      <c r="AE269">
        <v>1902.2499999999798</v>
      </c>
      <c r="AF269">
        <v>0.40788457076494261</v>
      </c>
    </row>
    <row r="270" spans="4:32" x14ac:dyDescent="0.35">
      <c r="D270">
        <v>9.5033999999999993E-2</v>
      </c>
      <c r="M270">
        <f t="shared" si="38"/>
        <v>269</v>
      </c>
      <c r="N270">
        <f t="shared" si="39"/>
        <v>1902.333333333313</v>
      </c>
      <c r="O270">
        <f t="shared" si="34"/>
        <v>0</v>
      </c>
      <c r="P270">
        <f t="array" ref="P270">+SUM($G$2:$G$18*SIN(2*PI()*(N270)*$B$1/$F$2:$F$18+$H$2:$H$18))</f>
        <v>1.5768670257565509E-2</v>
      </c>
      <c r="Q270">
        <f t="shared" si="35"/>
        <v>0</v>
      </c>
      <c r="R270">
        <f t="shared" si="36"/>
        <v>1.2826575184190576E-2</v>
      </c>
      <c r="S270">
        <f t="array" ref="S270">+$B$2*SIN(R270*$B$3+$B$4)+0*R270+ SUM($J$2:$J$20*SIN(2*PI()*N270*$I$2:$I$20+$K$2:$K$20))</f>
        <v>0.40552897944777222</v>
      </c>
      <c r="U270" s="3">
        <f t="shared" si="32"/>
        <v>1902.333333333313</v>
      </c>
      <c r="V270" s="3">
        <f t="shared" si="33"/>
        <v>0.84686600000000001</v>
      </c>
      <c r="Z270" s="1">
        <v>1902.375</v>
      </c>
      <c r="AA270" s="2">
        <f t="shared" si="37"/>
        <v>0.10093999999999999</v>
      </c>
      <c r="AB270">
        <v>5.0469999999999997</v>
      </c>
      <c r="AE270">
        <v>1902.333333333313</v>
      </c>
      <c r="AF270">
        <v>0.40552897944777222</v>
      </c>
    </row>
    <row r="271" spans="4:32" x14ac:dyDescent="0.35">
      <c r="D271">
        <v>4.2602000000000001E-2</v>
      </c>
      <c r="M271">
        <f t="shared" si="38"/>
        <v>270</v>
      </c>
      <c r="N271">
        <f t="shared" si="39"/>
        <v>1902.4166666666463</v>
      </c>
      <c r="O271">
        <f t="shared" si="34"/>
        <v>0</v>
      </c>
      <c r="P271">
        <f t="array" ref="P271">+SUM($G$2:$G$18*SIN(2*PI()*(N271)*$B$1/$F$2:$F$18+$H$2:$H$18))</f>
        <v>0.23669201323132677</v>
      </c>
      <c r="Q271">
        <f t="shared" si="35"/>
        <v>0</v>
      </c>
      <c r="R271">
        <f t="shared" si="36"/>
        <v>1.2806846103904883E-2</v>
      </c>
      <c r="S271">
        <f t="array" ref="S271">+$B$2*SIN(R271*$B$3+$B$4)+0*R271+ SUM($J$2:$J$20*SIN(2*PI()*N271*$I$2:$I$20+$K$2:$K$20))</f>
        <v>0.40317141552136931</v>
      </c>
      <c r="U271" s="3">
        <f t="shared" si="32"/>
        <v>1902.4166666666463</v>
      </c>
      <c r="V271" s="3">
        <f t="shared" si="33"/>
        <v>0.75756000000000001</v>
      </c>
      <c r="Z271" s="1">
        <v>1902.4583</v>
      </c>
      <c r="AA271" s="2">
        <f t="shared" si="37"/>
        <v>-9.4567999999999999E-2</v>
      </c>
      <c r="AB271">
        <v>-4.7283999999999997</v>
      </c>
      <c r="AE271">
        <v>1902.4166666666463</v>
      </c>
      <c r="AF271">
        <v>0.40317141552136931</v>
      </c>
    </row>
    <row r="272" spans="4:32" x14ac:dyDescent="0.35">
      <c r="D272">
        <v>0.10093999999999999</v>
      </c>
      <c r="M272">
        <f t="shared" si="38"/>
        <v>271</v>
      </c>
      <c r="N272">
        <f t="shared" si="39"/>
        <v>1902.4999999999795</v>
      </c>
      <c r="O272">
        <f t="shared" si="34"/>
        <v>0</v>
      </c>
      <c r="P272">
        <f t="array" ref="P272">+SUM($G$2:$G$18*SIN(2*PI()*(N272)*$B$1/$F$2:$F$18+$H$2:$H$18))</f>
        <v>0.13155253645543125</v>
      </c>
      <c r="Q272">
        <f t="shared" si="35"/>
        <v>0</v>
      </c>
      <c r="R272">
        <f t="shared" si="36"/>
        <v>1.2787147369725093E-2</v>
      </c>
      <c r="S272">
        <f t="array" ref="S272">+$B$2*SIN(R272*$B$3+$B$4)+0*R272+ SUM($J$2:$J$20*SIN(2*PI()*N272*$I$2:$I$20+$K$2:$K$20))</f>
        <v>0.40081193165261053</v>
      </c>
      <c r="U272" s="3">
        <f t="shared" si="32"/>
        <v>1902.4999999999795</v>
      </c>
      <c r="V272" s="3">
        <f t="shared" si="33"/>
        <v>0.82363799999999998</v>
      </c>
      <c r="Z272" s="1">
        <v>1902.5417</v>
      </c>
      <c r="AA272" s="2">
        <f t="shared" si="37"/>
        <v>-0.33931199999999995</v>
      </c>
      <c r="AB272">
        <v>-16.965599999999998</v>
      </c>
      <c r="AE272">
        <v>1902.4999999999795</v>
      </c>
      <c r="AF272">
        <v>0.40081193165261053</v>
      </c>
    </row>
    <row r="273" spans="4:32" x14ac:dyDescent="0.35">
      <c r="D273">
        <v>-9.4567999999999999E-2</v>
      </c>
      <c r="M273">
        <f t="shared" si="38"/>
        <v>272</v>
      </c>
      <c r="N273">
        <f t="shared" si="39"/>
        <v>1902.5833333333128</v>
      </c>
      <c r="O273">
        <f t="shared" si="34"/>
        <v>0</v>
      </c>
      <c r="P273">
        <f t="array" ref="P273">+SUM($G$2:$G$18*SIN(2*PI()*(N273)*$B$1/$F$2:$F$18+$H$2:$H$18))</f>
        <v>-6.550007554252317E-2</v>
      </c>
      <c r="Q273">
        <f t="shared" si="35"/>
        <v>0</v>
      </c>
      <c r="R273">
        <f t="shared" si="36"/>
        <v>1.2767478934974619E-2</v>
      </c>
      <c r="S273">
        <f t="array" ref="S273">+$B$2*SIN(R273*$B$3+$B$4)+0*R273+ SUM($J$2:$J$20*SIN(2*PI()*N273*$I$2:$I$20+$K$2:$K$20))</f>
        <v>0.39845058020143675</v>
      </c>
      <c r="U273" s="3">
        <f t="shared" si="32"/>
        <v>1902.5833333333128</v>
      </c>
      <c r="V273" s="3">
        <f t="shared" si="33"/>
        <v>1.0389459999999999</v>
      </c>
      <c r="Z273" s="1">
        <v>1902.625</v>
      </c>
      <c r="AA273" s="2">
        <f t="shared" si="37"/>
        <v>-0.31174600000000002</v>
      </c>
      <c r="AB273">
        <v>-15.587300000000001</v>
      </c>
      <c r="AE273">
        <v>1902.5833333333128</v>
      </c>
      <c r="AF273">
        <v>0.39845058020143675</v>
      </c>
    </row>
    <row r="274" spans="4:32" x14ac:dyDescent="0.35">
      <c r="D274">
        <v>-0.33931199999999995</v>
      </c>
      <c r="M274">
        <f t="shared" si="38"/>
        <v>273</v>
      </c>
      <c r="N274">
        <f t="shared" si="39"/>
        <v>1902.6666666666461</v>
      </c>
      <c r="O274">
        <f t="shared" si="34"/>
        <v>0</v>
      </c>
      <c r="P274">
        <f t="array" ref="P274">+SUM($G$2:$G$18*SIN(2*PI()*(N274)*$B$1/$F$2:$F$18+$H$2:$H$18))</f>
        <v>-4.8890261203007407E-2</v>
      </c>
      <c r="Q274">
        <f t="shared" si="35"/>
        <v>0</v>
      </c>
      <c r="R274">
        <f t="shared" si="36"/>
        <v>1.2747840753048668E-2</v>
      </c>
      <c r="S274">
        <f t="array" ref="S274">+$B$2*SIN(R274*$B$3+$B$4)+0*R274+ SUM($J$2:$J$20*SIN(2*PI()*N274*$I$2:$I$20+$K$2:$K$20))</f>
        <v>0.39608741322144697</v>
      </c>
      <c r="U274" s="3">
        <f t="shared" si="32"/>
        <v>1902.6666666666461</v>
      </c>
      <c r="V274" s="3">
        <f t="shared" si="33"/>
        <v>1.115788</v>
      </c>
      <c r="Z274" s="1">
        <v>1902.7083</v>
      </c>
      <c r="AA274" s="2">
        <f t="shared" si="37"/>
        <v>-0.193412</v>
      </c>
      <c r="AB274">
        <v>-9.6706000000000003</v>
      </c>
      <c r="AE274">
        <v>1902.6666666666461</v>
      </c>
      <c r="AF274">
        <v>0.39608741322144697</v>
      </c>
    </row>
    <row r="275" spans="4:32" x14ac:dyDescent="0.35">
      <c r="D275">
        <v>-0.31174600000000002</v>
      </c>
      <c r="M275">
        <f t="shared" si="38"/>
        <v>274</v>
      </c>
      <c r="N275">
        <f t="shared" si="39"/>
        <v>1902.7499999999793</v>
      </c>
      <c r="O275">
        <f t="shared" si="34"/>
        <v>0</v>
      </c>
      <c r="P275">
        <f t="array" ref="P275">+SUM($G$2:$G$18*SIN(2*PI()*(N275)*$B$1/$F$2:$F$18+$H$2:$H$18))</f>
        <v>-1.3340337555001872E-2</v>
      </c>
      <c r="Q275">
        <f t="shared" si="35"/>
        <v>0</v>
      </c>
      <c r="R275">
        <f t="shared" si="36"/>
        <v>1.2728232777414134E-2</v>
      </c>
      <c r="S275">
        <f t="array" ref="S275">+$B$2*SIN(R275*$B$3+$B$4)+0*R275+ SUM($J$2:$J$20*SIN(2*PI()*N275*$I$2:$I$20+$K$2:$K$20))</f>
        <v>0.39372248246050312</v>
      </c>
      <c r="U275" s="3">
        <f t="shared" si="32"/>
        <v>1902.7499999999793</v>
      </c>
      <c r="V275" s="3">
        <f t="shared" si="33"/>
        <v>1.0818620000000001</v>
      </c>
      <c r="Z275" s="1">
        <v>1902.7917</v>
      </c>
      <c r="AA275" s="2">
        <f t="shared" si="37"/>
        <v>0.21876400000000001</v>
      </c>
      <c r="AB275">
        <v>10.9382</v>
      </c>
      <c r="AE275">
        <v>1902.7499999999793</v>
      </c>
      <c r="AF275">
        <v>0.39372248246050312</v>
      </c>
    </row>
    <row r="276" spans="4:32" x14ac:dyDescent="0.35">
      <c r="D276">
        <v>-0.193412</v>
      </c>
      <c r="M276">
        <f t="shared" si="38"/>
        <v>275</v>
      </c>
      <c r="N276">
        <f t="shared" si="39"/>
        <v>1902.8333333333126</v>
      </c>
      <c r="O276">
        <f t="shared" si="34"/>
        <v>0</v>
      </c>
      <c r="P276">
        <f t="array" ref="P276">+SUM($G$2:$G$18*SIN(2*PI()*(N276)*$B$1/$F$2:$F$18+$H$2:$H$18))</f>
        <v>-0.28290102682521451</v>
      </c>
      <c r="Q276">
        <f t="shared" si="35"/>
        <v>0</v>
      </c>
      <c r="R276">
        <f t="shared" si="36"/>
        <v>1.2708654961609483E-2</v>
      </c>
      <c r="S276">
        <f t="array" ref="S276">+$B$2*SIN(R276*$B$3+$B$4)+0*R276+ SUM($J$2:$J$20*SIN(2*PI()*N276*$I$2:$I$20+$K$2:$K$20))</f>
        <v>0.39135583936134422</v>
      </c>
      <c r="U276" s="3">
        <f t="shared" si="32"/>
        <v>1902.8333333333126</v>
      </c>
      <c r="V276" s="3">
        <f t="shared" si="33"/>
        <v>1.1556279999999999</v>
      </c>
      <c r="Z276" s="1">
        <v>1902.875</v>
      </c>
      <c r="AA276" s="2">
        <f t="shared" si="37"/>
        <v>0.42325000000000002</v>
      </c>
      <c r="AB276">
        <v>21.162500000000001</v>
      </c>
      <c r="AE276">
        <v>1902.8333333333126</v>
      </c>
      <c r="AF276">
        <v>0.39135583936134422</v>
      </c>
    </row>
    <row r="277" spans="4:32" x14ac:dyDescent="0.35">
      <c r="D277">
        <v>0.21876400000000001</v>
      </c>
      <c r="M277">
        <f t="shared" si="38"/>
        <v>276</v>
      </c>
      <c r="N277">
        <f t="shared" si="39"/>
        <v>1902.9166666666458</v>
      </c>
      <c r="O277">
        <f t="shared" si="34"/>
        <v>0</v>
      </c>
      <c r="P277">
        <f t="array" ref="P277">+SUM($G$2:$G$18*SIN(2*PI()*(N277)*$B$1/$F$2:$F$18+$H$2:$H$18))</f>
        <v>-0.37333030279954255</v>
      </c>
      <c r="Q277">
        <f t="shared" si="35"/>
        <v>0</v>
      </c>
      <c r="R277">
        <f t="shared" si="36"/>
        <v>1.2689107259244645E-2</v>
      </c>
      <c r="S277">
        <f t="array" ref="S277">+$B$2*SIN(R277*$B$3+$B$4)+0*R277+ SUM($J$2:$J$20*SIN(2*PI()*N277*$I$2:$I$20+$K$2:$K$20))</f>
        <v>0.38898753506220779</v>
      </c>
      <c r="U277" s="3">
        <f t="shared" si="32"/>
        <v>1902.9166666666458</v>
      </c>
      <c r="V277" s="3">
        <f t="shared" si="33"/>
        <v>1.106314</v>
      </c>
      <c r="Z277" s="1">
        <v>1902.9583</v>
      </c>
      <c r="AA277" s="2">
        <f t="shared" si="37"/>
        <v>0.54003999999999996</v>
      </c>
      <c r="AB277">
        <v>27.001999999999999</v>
      </c>
      <c r="AE277">
        <v>1902.9166666666458</v>
      </c>
      <c r="AF277">
        <v>0.38898753506220779</v>
      </c>
    </row>
    <row r="278" spans="4:32" x14ac:dyDescent="0.35">
      <c r="D278">
        <v>0.42325000000000002</v>
      </c>
      <c r="M278">
        <f t="shared" si="38"/>
        <v>277</v>
      </c>
      <c r="N278">
        <f t="shared" si="39"/>
        <v>1902.9999999999791</v>
      </c>
      <c r="O278">
        <f t="shared" si="34"/>
        <v>36.637715116165623</v>
      </c>
      <c r="P278">
        <f t="array" ref="P278">+SUM($G$2:$G$18*SIN(2*PI()*(N278)*$B$1/$F$2:$F$18+$H$2:$H$18))</f>
        <v>-2.4625656309812255E-2</v>
      </c>
      <c r="Q278">
        <f t="shared" si="35"/>
        <v>-0.90222778042750784</v>
      </c>
      <c r="R278">
        <f t="shared" si="36"/>
        <v>1.1281836146519467E-2</v>
      </c>
      <c r="S278">
        <f t="array" ref="S278">+$B$2*SIN(R278*$B$3+$B$4)+0*R278+ SUM($J$2:$J$20*SIN(2*PI()*N278*$I$2:$I$20+$K$2:$K$20))</f>
        <v>0.206723395954719</v>
      </c>
      <c r="U278" s="3">
        <f t="shared" si="32"/>
        <v>1902.9999999999791</v>
      </c>
      <c r="V278" s="3">
        <f t="shared" si="33"/>
        <v>1.3785400000000001</v>
      </c>
      <c r="Z278" s="1">
        <v>1903.0417</v>
      </c>
      <c r="AA278" s="2">
        <f t="shared" si="37"/>
        <v>0.66759800000000002</v>
      </c>
      <c r="AB278">
        <v>33.379899999999999</v>
      </c>
      <c r="AE278">
        <v>1902.9999999999791</v>
      </c>
      <c r="AF278">
        <v>0.206723395954719</v>
      </c>
    </row>
    <row r="279" spans="4:32" x14ac:dyDescent="0.35">
      <c r="D279">
        <v>0.54003999999999996</v>
      </c>
      <c r="M279">
        <f t="shared" si="38"/>
        <v>278</v>
      </c>
      <c r="N279">
        <f t="shared" si="39"/>
        <v>1903.0833333333123</v>
      </c>
      <c r="O279">
        <f t="shared" si="34"/>
        <v>0</v>
      </c>
      <c r="P279">
        <f t="array" ref="P279">+SUM($G$2:$G$18*SIN(2*PI()*(N279)*$B$1/$F$2:$F$18+$H$2:$H$18))</f>
        <v>0.19698973074031895</v>
      </c>
      <c r="Q279">
        <f t="shared" si="35"/>
        <v>0</v>
      </c>
      <c r="R279">
        <f t="shared" si="36"/>
        <v>1.1264483092574166E-2</v>
      </c>
      <c r="S279">
        <f t="array" ref="S279">+$B$2*SIN(R279*$B$3+$B$4)+0*R279+ SUM($J$2:$J$20*SIN(2*PI()*N279*$I$2:$I$20+$K$2:$K$20))</f>
        <v>0.204358363333072</v>
      </c>
      <c r="U279" s="3">
        <f t="shared" si="32"/>
        <v>1903.0833333333123</v>
      </c>
      <c r="V279" s="3">
        <f t="shared" si="33"/>
        <v>1.7799940000000001</v>
      </c>
      <c r="Z279" s="1">
        <v>1903.125</v>
      </c>
      <c r="AA279" s="2">
        <f t="shared" si="37"/>
        <v>0.75823400000000007</v>
      </c>
      <c r="AB279">
        <v>37.911700000000003</v>
      </c>
      <c r="AE279">
        <v>1903.0833333333123</v>
      </c>
      <c r="AF279">
        <v>0.204358363333072</v>
      </c>
    </row>
    <row r="280" spans="4:32" x14ac:dyDescent="0.35">
      <c r="D280">
        <v>0.66759800000000002</v>
      </c>
      <c r="M280">
        <f t="shared" si="38"/>
        <v>279</v>
      </c>
      <c r="N280">
        <f t="shared" si="39"/>
        <v>1903.1666666666456</v>
      </c>
      <c r="O280">
        <f t="shared" si="34"/>
        <v>0</v>
      </c>
      <c r="P280">
        <f t="array" ref="P280">+SUM($G$2:$G$18*SIN(2*PI()*(N280)*$B$1/$F$2:$F$18+$H$2:$H$18))</f>
        <v>0.12605372717228949</v>
      </c>
      <c r="Q280">
        <f t="shared" si="35"/>
        <v>0</v>
      </c>
      <c r="R280">
        <f t="shared" si="36"/>
        <v>1.1247156730071402E-2</v>
      </c>
      <c r="S280">
        <f t="array" ref="S280">+$B$2*SIN(R280*$B$3+$B$4)+0*R280+ SUM($J$2:$J$20*SIN(2*PI()*N280*$I$2:$I$20+$K$2:$K$20))</f>
        <v>0.20199479356952385</v>
      </c>
      <c r="U280" s="3">
        <f t="shared" si="32"/>
        <v>1903.1666666666456</v>
      </c>
      <c r="V280" s="3">
        <f t="shared" si="33"/>
        <v>1.6522139999999998</v>
      </c>
      <c r="Z280" s="1">
        <v>1903.2083</v>
      </c>
      <c r="AA280" s="2">
        <f t="shared" si="37"/>
        <v>0.84733000000000003</v>
      </c>
      <c r="AB280">
        <v>42.366500000000002</v>
      </c>
      <c r="AE280">
        <v>1903.1666666666456</v>
      </c>
      <c r="AF280">
        <v>0.20199479356952385</v>
      </c>
    </row>
    <row r="281" spans="4:32" x14ac:dyDescent="0.35">
      <c r="D281">
        <v>0.75823400000000007</v>
      </c>
      <c r="M281">
        <f t="shared" si="38"/>
        <v>280</v>
      </c>
      <c r="N281">
        <f t="shared" si="39"/>
        <v>1903.2499999999789</v>
      </c>
      <c r="O281">
        <f t="shared" si="34"/>
        <v>0</v>
      </c>
      <c r="P281">
        <f t="array" ref="P281">+SUM($G$2:$G$18*SIN(2*PI()*(N281)*$B$1/$F$2:$F$18+$H$2:$H$18))</f>
        <v>3.5944987337800882E-2</v>
      </c>
      <c r="Q281">
        <f t="shared" si="35"/>
        <v>0</v>
      </c>
      <c r="R281">
        <f t="shared" si="36"/>
        <v>1.1229857017955976E-2</v>
      </c>
      <c r="S281">
        <f t="array" ref="S281">+$B$2*SIN(R281*$B$3+$B$4)+0*R281+ SUM($J$2:$J$20*SIN(2*PI()*N281*$I$2:$I$20+$K$2:$K$20))</f>
        <v>0.19963271617639272</v>
      </c>
      <c r="U281" s="3">
        <f t="shared" si="32"/>
        <v>1903.2499999999789</v>
      </c>
      <c r="V281" s="3">
        <f t="shared" si="33"/>
        <v>1.2967439999999999</v>
      </c>
      <c r="Z281" s="1">
        <v>1903.2917</v>
      </c>
      <c r="AA281" s="2">
        <f t="shared" si="37"/>
        <v>0.81950000000000001</v>
      </c>
      <c r="AB281">
        <v>40.975000000000001</v>
      </c>
      <c r="AE281">
        <v>1903.2499999999789</v>
      </c>
      <c r="AF281">
        <v>0.19963271617639272</v>
      </c>
    </row>
    <row r="282" spans="4:32" x14ac:dyDescent="0.35">
      <c r="D282">
        <v>0.84733000000000003</v>
      </c>
      <c r="M282">
        <f t="shared" si="38"/>
        <v>281</v>
      </c>
      <c r="N282">
        <f t="shared" si="39"/>
        <v>1903.3333333333121</v>
      </c>
      <c r="O282">
        <f t="shared" si="34"/>
        <v>0</v>
      </c>
      <c r="P282">
        <f t="array" ref="P282">+SUM($G$2:$G$18*SIN(2*PI()*(N282)*$B$1/$F$2:$F$18+$H$2:$H$18))</f>
        <v>3.0878492979647176E-2</v>
      </c>
      <c r="Q282">
        <f t="shared" si="35"/>
        <v>0</v>
      </c>
      <c r="R282">
        <f t="shared" si="36"/>
        <v>1.1212583915235837E-2</v>
      </c>
      <c r="S282">
        <f t="array" ref="S282">+$B$2*SIN(R282*$B$3+$B$4)+0*R282+ SUM($J$2:$J$20*SIN(2*PI()*N282*$I$2:$I$20+$K$2:$K$20))</f>
        <v>0.1972721604300994</v>
      </c>
      <c r="U282" s="3">
        <f t="shared" si="32"/>
        <v>1903.3333333333121</v>
      </c>
      <c r="V282" s="3">
        <f t="shared" si="33"/>
        <v>1.11358</v>
      </c>
      <c r="Z282" s="1">
        <v>1903.375</v>
      </c>
      <c r="AA282" s="2">
        <f t="shared" si="37"/>
        <v>1.065518</v>
      </c>
      <c r="AB282">
        <v>53.2759</v>
      </c>
      <c r="AE282">
        <v>1903.3333333333121</v>
      </c>
      <c r="AF282">
        <v>0.1972721604300994</v>
      </c>
    </row>
    <row r="283" spans="4:32" x14ac:dyDescent="0.35">
      <c r="D283">
        <v>0.81950000000000001</v>
      </c>
      <c r="M283">
        <f t="shared" si="38"/>
        <v>282</v>
      </c>
      <c r="N283">
        <f t="shared" si="39"/>
        <v>1903.4166666666454</v>
      </c>
      <c r="O283">
        <f t="shared" si="34"/>
        <v>0</v>
      </c>
      <c r="P283">
        <f t="array" ref="P283">+SUM($G$2:$G$18*SIN(2*PI()*(N283)*$B$1/$F$2:$F$18+$H$2:$H$18))</f>
        <v>7.3722032534805984E-2</v>
      </c>
      <c r="Q283">
        <f t="shared" si="35"/>
        <v>0</v>
      </c>
      <c r="R283">
        <f t="shared" si="36"/>
        <v>1.1195337380981983E-2</v>
      </c>
      <c r="S283">
        <f t="array" ref="S283">+$B$2*SIN(R283*$B$3+$B$4)+0*R283+ SUM($J$2:$J$20*SIN(2*PI()*N283*$I$2:$I$20+$K$2:$K$20))</f>
        <v>0.19491315537213977</v>
      </c>
      <c r="U283" s="3">
        <f t="shared" si="32"/>
        <v>1903.4166666666454</v>
      </c>
      <c r="V283" s="3">
        <f t="shared" si="33"/>
        <v>0.83041200000000004</v>
      </c>
      <c r="Z283" s="1">
        <v>1903.4583</v>
      </c>
      <c r="AA283" s="2">
        <f t="shared" si="37"/>
        <v>1.071534</v>
      </c>
      <c r="AB283">
        <v>53.576700000000002</v>
      </c>
      <c r="AE283">
        <v>1903.4166666666454</v>
      </c>
      <c r="AF283">
        <v>0.19491315537213977</v>
      </c>
    </row>
    <row r="284" spans="4:32" x14ac:dyDescent="0.35">
      <c r="D284">
        <v>1.065518</v>
      </c>
      <c r="M284">
        <f t="shared" si="38"/>
        <v>283</v>
      </c>
      <c r="N284">
        <f t="shared" si="39"/>
        <v>1903.4999999999786</v>
      </c>
      <c r="O284">
        <f t="shared" si="34"/>
        <v>0</v>
      </c>
      <c r="P284">
        <f t="array" ref="P284">+SUM($G$2:$G$18*SIN(2*PI()*(N284)*$B$1/$F$2:$F$18+$H$2:$H$18))</f>
        <v>-0.10420190203825386</v>
      </c>
      <c r="Q284">
        <f t="shared" si="35"/>
        <v>0</v>
      </c>
      <c r="R284">
        <f t="shared" si="36"/>
        <v>1.1178117374328372E-2</v>
      </c>
      <c r="S284">
        <f t="array" ref="S284">+$B$2*SIN(R284*$B$3+$B$4)+0*R284+ SUM($J$2:$J$20*SIN(2*PI()*N284*$I$2:$I$20+$K$2:$K$20))</f>
        <v>0.19255572981005992</v>
      </c>
      <c r="U284" s="3">
        <f t="shared" si="32"/>
        <v>1903.4999999999786</v>
      </c>
      <c r="V284" s="3">
        <f t="shared" si="33"/>
        <v>0.78417000000000003</v>
      </c>
      <c r="Z284" s="1">
        <v>1903.5417</v>
      </c>
      <c r="AA284" s="2">
        <f t="shared" si="37"/>
        <v>0.93908400000000003</v>
      </c>
      <c r="AB284">
        <v>46.9542</v>
      </c>
      <c r="AE284">
        <v>1903.4999999999786</v>
      </c>
      <c r="AF284">
        <v>0.19255572981005992</v>
      </c>
    </row>
    <row r="285" spans="4:32" x14ac:dyDescent="0.35">
      <c r="D285">
        <v>1.071534</v>
      </c>
      <c r="M285">
        <f t="shared" si="38"/>
        <v>284</v>
      </c>
      <c r="N285">
        <f t="shared" si="39"/>
        <v>1903.5833333333119</v>
      </c>
      <c r="O285">
        <f t="shared" si="34"/>
        <v>0</v>
      </c>
      <c r="P285">
        <f t="array" ref="P285">+SUM($G$2:$G$18*SIN(2*PI()*(N285)*$B$1/$F$2:$F$18+$H$2:$H$18))</f>
        <v>-0.38727232586849791</v>
      </c>
      <c r="Q285">
        <f t="shared" si="35"/>
        <v>0</v>
      </c>
      <c r="R285">
        <f t="shared" si="36"/>
        <v>1.1160923854471812E-2</v>
      </c>
      <c r="S285">
        <f t="array" ref="S285">+$B$2*SIN(R285*$B$3+$B$4)+0*R285+ SUM($J$2:$J$20*SIN(2*PI()*N285*$I$2:$I$20+$K$2:$K$20))</f>
        <v>0.19019991231843011</v>
      </c>
      <c r="U285" s="3">
        <f t="shared" si="32"/>
        <v>1903.5833333333119</v>
      </c>
      <c r="V285" s="3">
        <f t="shared" si="33"/>
        <v>0.70561800000000008</v>
      </c>
      <c r="Z285" s="1">
        <v>1903.625</v>
      </c>
      <c r="AA285" s="2">
        <f t="shared" si="37"/>
        <v>0.97278999999999993</v>
      </c>
      <c r="AB285">
        <v>48.639499999999998</v>
      </c>
      <c r="AE285">
        <v>1903.5833333333119</v>
      </c>
      <c r="AF285">
        <v>0.19019991231843011</v>
      </c>
    </row>
    <row r="286" spans="4:32" x14ac:dyDescent="0.35">
      <c r="D286">
        <v>0.93908400000000003</v>
      </c>
      <c r="M286">
        <f t="shared" si="38"/>
        <v>285</v>
      </c>
      <c r="N286">
        <f t="shared" si="39"/>
        <v>1903.6666666666451</v>
      </c>
      <c r="O286">
        <f t="shared" si="34"/>
        <v>0</v>
      </c>
      <c r="P286">
        <f t="array" ref="P286">+SUM($G$2:$G$18*SIN(2*PI()*(N286)*$B$1/$F$2:$F$18+$H$2:$H$18))</f>
        <v>-0.18698321910728991</v>
      </c>
      <c r="Q286">
        <f t="shared" si="35"/>
        <v>0</v>
      </c>
      <c r="R286">
        <f t="shared" si="36"/>
        <v>1.1143756780671879E-2</v>
      </c>
      <c r="S286">
        <f t="array" ref="S286">+$B$2*SIN(R286*$B$3+$B$4)+0*R286+ SUM($J$2:$J$20*SIN(2*PI()*N286*$I$2:$I$20+$K$2:$K$20))</f>
        <v>0.18784573123982284</v>
      </c>
      <c r="U286" s="3">
        <f t="shared" si="32"/>
        <v>1903.6666666666451</v>
      </c>
      <c r="V286" s="3">
        <f t="shared" si="33"/>
        <v>0.63936999999999999</v>
      </c>
      <c r="Z286" s="1">
        <v>1903.7083</v>
      </c>
      <c r="AA286" s="2">
        <f t="shared" si="37"/>
        <v>0.59880200000000006</v>
      </c>
      <c r="AB286">
        <v>29.940100000000001</v>
      </c>
      <c r="AE286">
        <v>1903.6666666666451</v>
      </c>
      <c r="AF286">
        <v>0.18784573123982284</v>
      </c>
    </row>
    <row r="287" spans="4:32" x14ac:dyDescent="0.35">
      <c r="D287">
        <v>0.97278999999999993</v>
      </c>
      <c r="M287">
        <f t="shared" si="38"/>
        <v>286</v>
      </c>
      <c r="N287">
        <f t="shared" si="39"/>
        <v>1903.7499999999784</v>
      </c>
      <c r="O287">
        <f t="shared" si="34"/>
        <v>0</v>
      </c>
      <c r="P287">
        <f t="array" ref="P287">+SUM($G$2:$G$18*SIN(2*PI()*(N287)*$B$1/$F$2:$F$18+$H$2:$H$18))</f>
        <v>0.22913671031298719</v>
      </c>
      <c r="Q287">
        <f t="shared" si="35"/>
        <v>0</v>
      </c>
      <c r="R287">
        <f t="shared" si="36"/>
        <v>1.112661611225081E-2</v>
      </c>
      <c r="S287">
        <f t="array" ref="S287">+$B$2*SIN(R287*$B$3+$B$4)+0*R287+ SUM($J$2:$J$20*SIN(2*PI()*N287*$I$2:$I$20+$K$2:$K$20))</f>
        <v>0.18549321468578758</v>
      </c>
      <c r="U287" s="3">
        <f t="shared" si="32"/>
        <v>1903.7499999999784</v>
      </c>
      <c r="V287" s="3">
        <f t="shared" si="33"/>
        <v>0.67004599999999992</v>
      </c>
      <c r="Z287" s="1">
        <v>1903.7917</v>
      </c>
      <c r="AA287" s="2">
        <f t="shared" si="37"/>
        <v>0.247888</v>
      </c>
      <c r="AB287">
        <v>12.394399999999999</v>
      </c>
      <c r="AE287">
        <v>1903.7499999999784</v>
      </c>
      <c r="AF287">
        <v>0.18549321468578758</v>
      </c>
    </row>
    <row r="288" spans="4:32" x14ac:dyDescent="0.35">
      <c r="D288">
        <v>0.59880200000000006</v>
      </c>
      <c r="M288">
        <f t="shared" si="38"/>
        <v>287</v>
      </c>
      <c r="N288">
        <f t="shared" si="39"/>
        <v>1903.8333333333117</v>
      </c>
      <c r="O288">
        <f t="shared" si="34"/>
        <v>0</v>
      </c>
      <c r="P288">
        <f t="array" ref="P288">+SUM($G$2:$G$18*SIN(2*PI()*(N288)*$B$1/$F$2:$F$18+$H$2:$H$18))</f>
        <v>0.19572956863191948</v>
      </c>
      <c r="Q288">
        <f t="shared" si="35"/>
        <v>0</v>
      </c>
      <c r="R288">
        <f t="shared" si="36"/>
        <v>1.1109501808593412E-2</v>
      </c>
      <c r="S288">
        <f t="array" ref="S288">+$B$2*SIN(R288*$B$3+$B$4)+0*R288+ SUM($J$2:$J$20*SIN(2*PI()*N288*$I$2:$I$20+$K$2:$K$20))</f>
        <v>0.18314239053782774</v>
      </c>
      <c r="U288" s="3">
        <f t="shared" si="32"/>
        <v>1903.8333333333117</v>
      </c>
      <c r="V288" s="3">
        <f t="shared" si="33"/>
        <v>0.50995199999999996</v>
      </c>
      <c r="Z288" s="1">
        <v>1903.875</v>
      </c>
      <c r="AA288" s="2">
        <f t="shared" si="37"/>
        <v>-0.144562</v>
      </c>
      <c r="AB288">
        <v>-7.2281000000000004</v>
      </c>
      <c r="AE288">
        <v>1903.8333333333117</v>
      </c>
      <c r="AF288">
        <v>0.18314239053782774</v>
      </c>
    </row>
    <row r="289" spans="4:32" x14ac:dyDescent="0.35">
      <c r="D289">
        <v>0.247888</v>
      </c>
      <c r="M289">
        <f t="shared" si="38"/>
        <v>288</v>
      </c>
      <c r="N289">
        <f t="shared" si="39"/>
        <v>1903.9166666666449</v>
      </c>
      <c r="O289">
        <f t="shared" si="34"/>
        <v>0</v>
      </c>
      <c r="P289">
        <f t="array" ref="P289">+SUM($G$2:$G$18*SIN(2*PI()*(N289)*$B$1/$F$2:$F$18+$H$2:$H$18))</f>
        <v>-4.3011335390246971E-2</v>
      </c>
      <c r="Q289">
        <f t="shared" si="35"/>
        <v>0</v>
      </c>
      <c r="R289">
        <f t="shared" si="36"/>
        <v>1.1092413829146962E-2</v>
      </c>
      <c r="S289">
        <f t="array" ref="S289">+$B$2*SIN(R289*$B$3+$B$4)+0*R289+ SUM($J$2:$J$20*SIN(2*PI()*N289*$I$2:$I$20+$K$2:$K$20))</f>
        <v>0.18079328644837914</v>
      </c>
      <c r="U289" s="3">
        <f t="shared" si="32"/>
        <v>1903.9166666666449</v>
      </c>
      <c r="V289" s="3">
        <f t="shared" si="33"/>
        <v>0.48985599999999996</v>
      </c>
      <c r="Z289" s="1">
        <v>1903.9583</v>
      </c>
      <c r="AA289" s="2">
        <f t="shared" si="37"/>
        <v>-0.18470800000000001</v>
      </c>
      <c r="AB289">
        <v>-9.2354000000000003</v>
      </c>
      <c r="AE289">
        <v>1903.9166666666449</v>
      </c>
      <c r="AF289">
        <v>0.18079328644837914</v>
      </c>
    </row>
    <row r="290" spans="4:32" x14ac:dyDescent="0.35">
      <c r="D290">
        <v>-0.144562</v>
      </c>
      <c r="M290">
        <f t="shared" si="38"/>
        <v>289</v>
      </c>
      <c r="N290">
        <f t="shared" si="39"/>
        <v>1903.9999999999782</v>
      </c>
      <c r="O290">
        <f t="shared" si="34"/>
        <v>36.637715116165623</v>
      </c>
      <c r="P290">
        <f t="array" ref="P290">+SUM($G$2:$G$18*SIN(2*PI()*(N290)*$B$1/$F$2:$F$18+$H$2:$H$18))</f>
        <v>-7.0288490498918832E-2</v>
      </c>
      <c r="Q290">
        <f t="shared" si="35"/>
        <v>-2.5752096908447024</v>
      </c>
      <c r="R290">
        <f t="shared" si="36"/>
        <v>7.1143167039641889E-3</v>
      </c>
      <c r="S290">
        <f t="array" ref="S290">+$B$2*SIN(R290*$B$3+$B$4)+0*R290+ SUM($J$2:$J$20*SIN(2*PI()*N290*$I$2:$I$20+$K$2:$K$20))</f>
        <v>-0.36494884161230967</v>
      </c>
      <c r="U290" s="3">
        <f t="shared" si="32"/>
        <v>1903.9999999999782</v>
      </c>
      <c r="V290" s="3">
        <f t="shared" si="33"/>
        <v>0.35899000000000003</v>
      </c>
      <c r="Z290" s="1">
        <v>1904.0417</v>
      </c>
      <c r="AA290" s="2">
        <f t="shared" si="37"/>
        <v>7.4519999999999994E-3</v>
      </c>
      <c r="AB290">
        <v>0.37259999999999999</v>
      </c>
      <c r="AE290">
        <v>1903.9999999999782</v>
      </c>
      <c r="AF290">
        <v>-0.36494884161230967</v>
      </c>
    </row>
    <row r="291" spans="4:32" x14ac:dyDescent="0.35">
      <c r="D291">
        <v>-0.18470800000000001</v>
      </c>
      <c r="M291">
        <f t="shared" si="38"/>
        <v>290</v>
      </c>
      <c r="N291">
        <f t="shared" si="39"/>
        <v>1904.0833333333114</v>
      </c>
      <c r="O291">
        <f t="shared" si="34"/>
        <v>0</v>
      </c>
      <c r="P291">
        <f t="array" ref="P291">+SUM($G$2:$G$18*SIN(2*PI()*(N291)*$B$1/$F$2:$F$18+$H$2:$H$18))</f>
        <v>6.8581322225106711E-2</v>
      </c>
      <c r="Q291">
        <f t="shared" si="35"/>
        <v>0</v>
      </c>
      <c r="R291">
        <f t="shared" si="36"/>
        <v>7.1033738822510817E-3</v>
      </c>
      <c r="S291">
        <f t="array" ref="S291">+$B$2*SIN(R291*$B$3+$B$4)+0*R291+ SUM($J$2:$J$20*SIN(2*PI()*N291*$I$2:$I$20+$K$2:$K$20))</f>
        <v>-0.36630397408175885</v>
      </c>
      <c r="U291" s="3">
        <f t="shared" si="32"/>
        <v>1904.0833333333114</v>
      </c>
      <c r="V291" s="3">
        <f t="shared" si="33"/>
        <v>3.5079999999999998E-3</v>
      </c>
      <c r="Z291" s="1">
        <v>1904.125</v>
      </c>
      <c r="AA291" s="2">
        <f t="shared" si="37"/>
        <v>2.4228E-2</v>
      </c>
      <c r="AB291">
        <v>1.2114</v>
      </c>
      <c r="AE291">
        <v>1904.0833333333114</v>
      </c>
      <c r="AF291">
        <v>-0.36630397408175885</v>
      </c>
    </row>
    <row r="292" spans="4:32" x14ac:dyDescent="0.35">
      <c r="D292">
        <v>7.4519999999999994E-3</v>
      </c>
      <c r="M292">
        <f t="shared" si="38"/>
        <v>291</v>
      </c>
      <c r="N292">
        <f t="shared" si="39"/>
        <v>1904.1666666666447</v>
      </c>
      <c r="O292">
        <f t="shared" si="34"/>
        <v>0</v>
      </c>
      <c r="P292">
        <f t="array" ref="P292">+SUM($G$2:$G$18*SIN(2*PI()*(N292)*$B$1/$F$2:$F$18+$H$2:$H$18))</f>
        <v>0.10647167506218203</v>
      </c>
      <c r="Q292">
        <f t="shared" si="35"/>
        <v>0</v>
      </c>
      <c r="R292">
        <f t="shared" si="36"/>
        <v>7.0924478921399444E-3</v>
      </c>
      <c r="S292">
        <f t="array" ref="S292">+$B$2*SIN(R292*$B$3+$B$4)+0*R292+ SUM($J$2:$J$20*SIN(2*PI()*N292*$I$2:$I$20+$K$2:$K$20))</f>
        <v>-0.36765547195401038</v>
      </c>
      <c r="U292" s="3">
        <f t="shared" si="32"/>
        <v>1904.1666666666447</v>
      </c>
      <c r="V292" s="3">
        <f t="shared" si="33"/>
        <v>-0.456592</v>
      </c>
      <c r="Z292" s="1">
        <v>1904.2083</v>
      </c>
      <c r="AA292" s="2">
        <f t="shared" si="37"/>
        <v>-0.18668999999999999</v>
      </c>
      <c r="AB292">
        <v>-9.3345000000000002</v>
      </c>
      <c r="AE292">
        <v>1904.1666666666447</v>
      </c>
      <c r="AF292">
        <v>-0.36765547195401038</v>
      </c>
    </row>
    <row r="293" spans="4:32" x14ac:dyDescent="0.35">
      <c r="D293">
        <v>2.4228E-2</v>
      </c>
      <c r="M293">
        <f t="shared" si="38"/>
        <v>292</v>
      </c>
      <c r="N293">
        <f t="shared" si="39"/>
        <v>1904.2499999999779</v>
      </c>
      <c r="O293">
        <f t="shared" si="34"/>
        <v>0</v>
      </c>
      <c r="P293">
        <f t="array" ref="P293">+SUM($G$2:$G$18*SIN(2*PI()*(N293)*$B$1/$F$2:$F$18+$H$2:$H$18))</f>
        <v>-0.21926061427980173</v>
      </c>
      <c r="Q293">
        <f t="shared" si="35"/>
        <v>0</v>
      </c>
      <c r="R293">
        <f t="shared" si="36"/>
        <v>7.0815387077414003E-3</v>
      </c>
      <c r="S293">
        <f t="array" ref="S293">+$B$2*SIN(R293*$B$3+$B$4)+0*R293+ SUM($J$2:$J$20*SIN(2*PI()*N293*$I$2:$I$20+$K$2:$K$20))</f>
        <v>-0.36900333988278056</v>
      </c>
      <c r="U293" s="3">
        <f t="shared" si="32"/>
        <v>1904.2499999999779</v>
      </c>
      <c r="V293" s="3">
        <f t="shared" si="33"/>
        <v>-0.352078</v>
      </c>
      <c r="Z293" s="1">
        <v>1904.2917</v>
      </c>
      <c r="AA293" s="2">
        <f t="shared" si="37"/>
        <v>-0.46222600000000003</v>
      </c>
      <c r="AB293">
        <v>-23.1113</v>
      </c>
      <c r="AE293">
        <v>1904.2499999999779</v>
      </c>
      <c r="AF293">
        <v>-0.36900333988278056</v>
      </c>
    </row>
    <row r="294" spans="4:32" x14ac:dyDescent="0.35">
      <c r="D294">
        <v>-0.18668999999999999</v>
      </c>
      <c r="M294">
        <f t="shared" si="38"/>
        <v>293</v>
      </c>
      <c r="N294">
        <f t="shared" si="39"/>
        <v>1904.3333333333112</v>
      </c>
      <c r="O294">
        <f t="shared" si="34"/>
        <v>0</v>
      </c>
      <c r="P294">
        <f t="array" ref="P294">+SUM($G$2:$G$18*SIN(2*PI()*(N294)*$B$1/$F$2:$F$18+$H$2:$H$18))</f>
        <v>-0.46878966583160586</v>
      </c>
      <c r="Q294">
        <f t="shared" si="35"/>
        <v>0</v>
      </c>
      <c r="R294">
        <f t="shared" si="36"/>
        <v>7.0706463032058952E-3</v>
      </c>
      <c r="S294">
        <f t="array" ref="S294">+$B$2*SIN(R294*$B$3+$B$4)+0*R294+ SUM($J$2:$J$20*SIN(2*PI()*N294*$I$2:$I$20+$K$2:$K$20))</f>
        <v>-0.37034758255030209</v>
      </c>
      <c r="U294" s="3">
        <f t="shared" si="32"/>
        <v>1904.3333333333112</v>
      </c>
      <c r="V294" s="3">
        <f t="shared" si="33"/>
        <v>-0.39217799999999997</v>
      </c>
      <c r="Z294" s="1">
        <v>1904.375</v>
      </c>
      <c r="AA294" s="2">
        <f t="shared" si="37"/>
        <v>-0.49776000000000004</v>
      </c>
      <c r="AB294">
        <v>-24.888000000000002</v>
      </c>
      <c r="AE294">
        <v>1904.3333333333112</v>
      </c>
      <c r="AF294">
        <v>-0.37034758255030209</v>
      </c>
    </row>
    <row r="295" spans="4:32" x14ac:dyDescent="0.35">
      <c r="D295">
        <v>-0.46222600000000003</v>
      </c>
      <c r="M295">
        <f t="shared" si="38"/>
        <v>294</v>
      </c>
      <c r="N295">
        <f t="shared" si="39"/>
        <v>1904.4166666666445</v>
      </c>
      <c r="O295">
        <f t="shared" si="34"/>
        <v>0</v>
      </c>
      <c r="P295">
        <f t="array" ref="P295">+SUM($G$2:$G$18*SIN(2*PI()*(N295)*$B$1/$F$2:$F$18+$H$2:$H$18))</f>
        <v>-0.10521873171965573</v>
      </c>
      <c r="Q295">
        <f t="shared" si="35"/>
        <v>0</v>
      </c>
      <c r="R295">
        <f t="shared" si="36"/>
        <v>7.0597706527236346E-3</v>
      </c>
      <c r="S295">
        <f t="array" ref="S295">+$B$2*SIN(R295*$B$3+$B$4)+0*R295+ SUM($J$2:$J$20*SIN(2*PI()*N295*$I$2:$I$20+$K$2:$K$20))</f>
        <v>-0.37168820466700403</v>
      </c>
      <c r="U295" s="3">
        <f t="shared" si="32"/>
        <v>1904.4166666666445</v>
      </c>
      <c r="V295" s="3">
        <f t="shared" si="33"/>
        <v>-0.50612800000000002</v>
      </c>
      <c r="Z295" s="1">
        <v>1904.4583</v>
      </c>
      <c r="AA295" s="2">
        <f t="shared" si="37"/>
        <v>-0.45329799999999998</v>
      </c>
      <c r="AB295">
        <v>-22.664899999999999</v>
      </c>
      <c r="AE295">
        <v>1904.4166666666445</v>
      </c>
      <c r="AF295">
        <v>-0.37168820466700403</v>
      </c>
    </row>
    <row r="296" spans="4:32" x14ac:dyDescent="0.35">
      <c r="D296">
        <v>-0.49776000000000004</v>
      </c>
      <c r="M296">
        <f t="shared" si="38"/>
        <v>295</v>
      </c>
      <c r="N296">
        <f t="shared" si="39"/>
        <v>1904.4999999999777</v>
      </c>
      <c r="O296">
        <f t="shared" si="34"/>
        <v>0</v>
      </c>
      <c r="P296">
        <f t="array" ref="P296">+SUM($G$2:$G$18*SIN(2*PI()*(N296)*$B$1/$F$2:$F$18+$H$2:$H$18))</f>
        <v>0.26884877196707119</v>
      </c>
      <c r="Q296">
        <f t="shared" si="35"/>
        <v>0</v>
      </c>
      <c r="R296">
        <f t="shared" si="36"/>
        <v>7.0489117305245243E-3</v>
      </c>
      <c r="S296">
        <f t="array" ref="S296">+$B$2*SIN(R296*$B$3+$B$4)+0*R296+ SUM($J$2:$J$20*SIN(2*PI()*N296*$I$2:$I$20+$K$2:$K$20))</f>
        <v>-0.3730252109711924</v>
      </c>
      <c r="U296" s="3">
        <f t="shared" si="32"/>
        <v>1904.4999999999777</v>
      </c>
      <c r="V296" s="3">
        <f t="shared" si="33"/>
        <v>-0.53853799999999996</v>
      </c>
      <c r="Z296" s="1">
        <v>1904.5417</v>
      </c>
      <c r="AA296" s="2">
        <f t="shared" si="37"/>
        <v>-0.33191400000000004</v>
      </c>
      <c r="AB296">
        <v>-16.595700000000001</v>
      </c>
      <c r="AE296">
        <v>1904.4999999999777</v>
      </c>
      <c r="AF296">
        <v>-0.3730252109711924</v>
      </c>
    </row>
    <row r="297" spans="4:32" x14ac:dyDescent="0.35">
      <c r="D297">
        <v>-0.45329799999999998</v>
      </c>
      <c r="M297">
        <f t="shared" si="38"/>
        <v>296</v>
      </c>
      <c r="N297">
        <f t="shared" si="39"/>
        <v>1904.583333333311</v>
      </c>
      <c r="O297">
        <f t="shared" si="34"/>
        <v>0</v>
      </c>
      <c r="P297">
        <f t="array" ref="P297">+SUM($G$2:$G$18*SIN(2*PI()*(N297)*$B$1/$F$2:$F$18+$H$2:$H$18))</f>
        <v>0.1122114070312201</v>
      </c>
      <c r="Q297">
        <f t="shared" si="35"/>
        <v>0</v>
      </c>
      <c r="R297">
        <f t="shared" si="36"/>
        <v>7.0380695108781064E-3</v>
      </c>
      <c r="S297">
        <f t="array" ref="S297">+$B$2*SIN(R297*$B$3+$B$4)+0*R297+ SUM($J$2:$J$20*SIN(2*PI()*N297*$I$2:$I$20+$K$2:$K$20))</f>
        <v>-0.37435860622873346</v>
      </c>
      <c r="U297" s="3">
        <f t="shared" si="32"/>
        <v>1904.583333333311</v>
      </c>
      <c r="V297" s="3">
        <f t="shared" si="33"/>
        <v>-0.64787400000000006</v>
      </c>
      <c r="Z297" s="1">
        <v>1904.625</v>
      </c>
      <c r="AA297" s="2">
        <f t="shared" si="37"/>
        <v>0.112548</v>
      </c>
      <c r="AB297">
        <v>5.6273999999999997</v>
      </c>
      <c r="AE297">
        <v>1904.583333333311</v>
      </c>
      <c r="AF297">
        <v>-0.37435860622873346</v>
      </c>
    </row>
    <row r="298" spans="4:32" x14ac:dyDescent="0.35">
      <c r="D298">
        <v>-0.33191400000000004</v>
      </c>
      <c r="M298">
        <f t="shared" si="38"/>
        <v>297</v>
      </c>
      <c r="N298">
        <f t="shared" si="39"/>
        <v>1904.6666666666442</v>
      </c>
      <c r="O298">
        <f t="shared" si="34"/>
        <v>0</v>
      </c>
      <c r="P298">
        <f t="array" ref="P298">+SUM($G$2:$G$18*SIN(2*PI()*(N298)*$B$1/$F$2:$F$18+$H$2:$H$18))</f>
        <v>-0.12457775879180819</v>
      </c>
      <c r="Q298">
        <f t="shared" si="35"/>
        <v>0</v>
      </c>
      <c r="R298">
        <f t="shared" si="36"/>
        <v>7.0272439680935019E-3</v>
      </c>
      <c r="S298">
        <f t="array" ref="S298">+$B$2*SIN(R298*$B$3+$B$4)+0*R298+ SUM($J$2:$J$20*SIN(2*PI()*N298*$I$2:$I$20+$K$2:$K$20))</f>
        <v>-0.37568839523273911</v>
      </c>
      <c r="U298" s="3">
        <f t="shared" si="32"/>
        <v>1904.6666666666442</v>
      </c>
      <c r="V298" s="3">
        <f t="shared" si="33"/>
        <v>-0.67567400000000011</v>
      </c>
      <c r="Z298" s="1">
        <v>1904.7083</v>
      </c>
      <c r="AA298" s="2">
        <f t="shared" si="37"/>
        <v>-0.116838</v>
      </c>
      <c r="AB298">
        <v>-5.8418999999999999</v>
      </c>
      <c r="AE298">
        <v>1904.6666666666442</v>
      </c>
      <c r="AF298">
        <v>-0.37568839523273911</v>
      </c>
    </row>
    <row r="299" spans="4:32" x14ac:dyDescent="0.35">
      <c r="D299">
        <v>0.112548</v>
      </c>
      <c r="M299">
        <f t="shared" si="38"/>
        <v>298</v>
      </c>
      <c r="N299">
        <f t="shared" si="39"/>
        <v>1904.7499999999775</v>
      </c>
      <c r="O299">
        <f t="shared" si="34"/>
        <v>0</v>
      </c>
      <c r="P299">
        <f t="array" ref="P299">+SUM($G$2:$G$18*SIN(2*PI()*(N299)*$B$1/$F$2:$F$18+$H$2:$H$18))</f>
        <v>-0.10793166842322456</v>
      </c>
      <c r="Q299">
        <f t="shared" si="35"/>
        <v>0</v>
      </c>
      <c r="R299">
        <f t="shared" si="36"/>
        <v>7.0164350765193461E-3</v>
      </c>
      <c r="S299">
        <f t="array" ref="S299">+$B$2*SIN(R299*$B$3+$B$4)+0*R299+ SUM($J$2:$J$20*SIN(2*PI()*N299*$I$2:$I$20+$K$2:$K$20))</f>
        <v>-0.37701458280325334</v>
      </c>
      <c r="U299" s="3">
        <f t="shared" si="32"/>
        <v>1904.7499999999775</v>
      </c>
      <c r="V299" s="3">
        <f t="shared" si="33"/>
        <v>-0.75731800000000005</v>
      </c>
      <c r="Z299" s="1">
        <v>1904.7917</v>
      </c>
      <c r="AA299" s="2">
        <f t="shared" si="37"/>
        <v>7.3773999999999992E-2</v>
      </c>
      <c r="AB299">
        <v>3.6886999999999999</v>
      </c>
      <c r="AE299">
        <v>1904.7499999999775</v>
      </c>
      <c r="AF299">
        <v>-0.37701458280325334</v>
      </c>
    </row>
    <row r="300" spans="4:32" x14ac:dyDescent="0.35">
      <c r="D300">
        <v>-0.116838</v>
      </c>
      <c r="M300">
        <f t="shared" si="38"/>
        <v>299</v>
      </c>
      <c r="N300">
        <f t="shared" si="39"/>
        <v>1904.8333333333107</v>
      </c>
      <c r="O300">
        <f t="shared" si="34"/>
        <v>0</v>
      </c>
      <c r="P300">
        <f t="array" ref="P300">+SUM($G$2:$G$18*SIN(2*PI()*(N300)*$B$1/$F$2:$F$18+$H$2:$H$18))</f>
        <v>7.0070614462670489E-2</v>
      </c>
      <c r="Q300">
        <f t="shared" si="35"/>
        <v>0</v>
      </c>
      <c r="R300">
        <f t="shared" si="36"/>
        <v>7.0056428105437314E-3</v>
      </c>
      <c r="S300">
        <f t="array" ref="S300">+$B$2*SIN(R300*$B$3+$B$4)+0*R300+ SUM($J$2:$J$20*SIN(2*PI()*N300*$I$2:$I$20+$K$2:$K$20))</f>
        <v>-0.37833717378694182</v>
      </c>
      <c r="U300" s="3">
        <f t="shared" si="32"/>
        <v>1904.8333333333107</v>
      </c>
      <c r="V300" s="3">
        <f t="shared" si="33"/>
        <v>-0.84511799999999992</v>
      </c>
      <c r="Z300" s="1">
        <v>1904.875</v>
      </c>
      <c r="AA300" s="2">
        <f t="shared" si="37"/>
        <v>0.29361599999999999</v>
      </c>
      <c r="AB300">
        <v>14.6808</v>
      </c>
      <c r="AE300">
        <v>1904.8333333333107</v>
      </c>
      <c r="AF300">
        <v>-0.37833717378694182</v>
      </c>
    </row>
    <row r="301" spans="4:32" x14ac:dyDescent="0.35">
      <c r="D301">
        <v>7.3773999999999992E-2</v>
      </c>
      <c r="M301">
        <f t="shared" si="38"/>
        <v>300</v>
      </c>
      <c r="N301">
        <f t="shared" si="39"/>
        <v>1904.916666666644</v>
      </c>
      <c r="O301">
        <f t="shared" si="34"/>
        <v>0</v>
      </c>
      <c r="P301">
        <f t="array" ref="P301">+SUM($G$2:$G$18*SIN(2*PI()*(N301)*$B$1/$F$2:$F$18+$H$2:$H$18))</f>
        <v>9.8475106702101398E-2</v>
      </c>
      <c r="Q301">
        <f t="shared" si="35"/>
        <v>0</v>
      </c>
      <c r="R301">
        <f t="shared" si="36"/>
        <v>6.994867144594144E-3</v>
      </c>
      <c r="S301">
        <f t="array" ref="S301">+$B$2*SIN(R301*$B$3+$B$4)+0*R301+ SUM($J$2:$J$20*SIN(2*PI()*N301*$I$2:$I$20+$K$2:$K$20))</f>
        <v>-0.37965617305678268</v>
      </c>
      <c r="U301" s="3">
        <f t="shared" si="32"/>
        <v>1904.916666666644</v>
      </c>
      <c r="V301" s="3">
        <f t="shared" si="33"/>
        <v>-1.011382</v>
      </c>
      <c r="Z301" s="1">
        <v>1904.9583</v>
      </c>
      <c r="AA301" s="2">
        <f t="shared" si="37"/>
        <v>0.336534</v>
      </c>
      <c r="AB301">
        <v>16.826699999999999</v>
      </c>
      <c r="AE301">
        <v>1904.916666666644</v>
      </c>
      <c r="AF301">
        <v>-0.37965617305678268</v>
      </c>
    </row>
    <row r="302" spans="4:32" x14ac:dyDescent="0.35">
      <c r="D302">
        <v>0.29361599999999999</v>
      </c>
      <c r="M302">
        <f t="shared" si="38"/>
        <v>301</v>
      </c>
      <c r="N302">
        <f t="shared" si="39"/>
        <v>1904.9999999999773</v>
      </c>
      <c r="O302">
        <f t="shared" si="34"/>
        <v>36.637715116165623</v>
      </c>
      <c r="P302">
        <f t="array" ref="P302">+SUM($G$2:$G$18*SIN(2*PI()*(N302)*$B$1/$F$2:$F$18+$H$2:$H$18))</f>
        <v>-0.26487251777884147</v>
      </c>
      <c r="Q302">
        <f t="shared" si="35"/>
        <v>-9.7043238484827068</v>
      </c>
      <c r="R302">
        <f t="shared" si="36"/>
        <v>-7.9425096585857974E-3</v>
      </c>
      <c r="S302">
        <f t="array" ref="S302">+$B$2*SIN(R302*$B$3+$B$4)+0*R302+ SUM($J$2:$J$20*SIN(2*PI()*N302*$I$2:$I$20+$K$2:$K$20))</f>
        <v>0.14840411831548159</v>
      </c>
      <c r="U302" s="3">
        <f t="shared" si="32"/>
        <v>1904.9999999999773</v>
      </c>
      <c r="V302" s="3">
        <f t="shared" si="33"/>
        <v>-1.1499540000000001</v>
      </c>
      <c r="Z302" s="1">
        <v>1905.0417</v>
      </c>
      <c r="AA302" s="2">
        <f t="shared" si="37"/>
        <v>0.53022000000000002</v>
      </c>
      <c r="AB302">
        <v>26.510999999999999</v>
      </c>
      <c r="AE302">
        <v>1904.9999999999773</v>
      </c>
      <c r="AF302">
        <v>0.14840411831548159</v>
      </c>
    </row>
    <row r="303" spans="4:32" x14ac:dyDescent="0.35">
      <c r="D303">
        <v>0.336534</v>
      </c>
      <c r="M303">
        <f t="shared" si="38"/>
        <v>302</v>
      </c>
      <c r="N303">
        <f t="shared" si="39"/>
        <v>1905.0833333333105</v>
      </c>
      <c r="O303">
        <f t="shared" si="34"/>
        <v>0</v>
      </c>
      <c r="P303">
        <f t="array" ref="P303">+SUM($G$2:$G$18*SIN(2*PI()*(N303)*$B$1/$F$2:$F$18+$H$2:$H$18))</f>
        <v>-0.45547205935514651</v>
      </c>
      <c r="Q303">
        <f t="shared" si="35"/>
        <v>0</v>
      </c>
      <c r="R303">
        <f t="shared" si="36"/>
        <v>-7.9302929593910443E-3</v>
      </c>
      <c r="S303">
        <f t="array" ref="S303">+$B$2*SIN(R303*$B$3+$B$4)+0*R303+ SUM($J$2:$J$20*SIN(2*PI()*N303*$I$2:$I$20+$K$2:$K$20))</f>
        <v>0.14670691939729741</v>
      </c>
      <c r="U303" s="3">
        <f t="shared" si="32"/>
        <v>1905.0833333333105</v>
      </c>
      <c r="V303" s="3">
        <f t="shared" si="33"/>
        <v>-1.002372</v>
      </c>
      <c r="Z303" s="1">
        <v>1905.125</v>
      </c>
      <c r="AA303" s="2">
        <f t="shared" si="37"/>
        <v>0.52851999999999999</v>
      </c>
      <c r="AB303">
        <v>26.425999999999998</v>
      </c>
      <c r="AE303">
        <v>1905.0833333333105</v>
      </c>
      <c r="AF303">
        <v>0.14670691939729741</v>
      </c>
    </row>
    <row r="304" spans="4:32" x14ac:dyDescent="0.35">
      <c r="D304">
        <v>0.53022000000000002</v>
      </c>
      <c r="M304">
        <f t="shared" si="38"/>
        <v>303</v>
      </c>
      <c r="N304">
        <f t="shared" si="39"/>
        <v>1905.1666666666438</v>
      </c>
      <c r="O304">
        <f t="shared" si="34"/>
        <v>0</v>
      </c>
      <c r="P304">
        <f t="array" ref="P304">+SUM($G$2:$G$18*SIN(2*PI()*(N304)*$B$1/$F$2:$F$18+$H$2:$H$18))</f>
        <v>-6.7017485831566803E-2</v>
      </c>
      <c r="Q304">
        <f t="shared" si="35"/>
        <v>0</v>
      </c>
      <c r="R304">
        <f t="shared" si="36"/>
        <v>-7.9180950512013556E-3</v>
      </c>
      <c r="S304">
        <f t="array" ref="S304">+$B$2*SIN(R304*$B$3+$B$4)+0*R304+ SUM($J$2:$J$20*SIN(2*PI()*N304*$I$2:$I$20+$K$2:$K$20))</f>
        <v>0.14501155716756728</v>
      </c>
      <c r="U304" s="3">
        <f t="shared" si="32"/>
        <v>1905.1666666666438</v>
      </c>
      <c r="V304" s="3">
        <f t="shared" si="33"/>
        <v>-0.81633200000000006</v>
      </c>
      <c r="Z304" s="1">
        <v>1905.2083</v>
      </c>
      <c r="AA304" s="2">
        <f t="shared" si="37"/>
        <v>0.625282</v>
      </c>
      <c r="AB304">
        <v>31.264099999999999</v>
      </c>
      <c r="AE304">
        <v>1905.1666666666438</v>
      </c>
      <c r="AF304">
        <v>0.14501155716756728</v>
      </c>
    </row>
    <row r="305" spans="4:32" x14ac:dyDescent="0.35">
      <c r="D305">
        <v>0.52851999999999999</v>
      </c>
      <c r="M305">
        <f t="shared" si="38"/>
        <v>304</v>
      </c>
      <c r="N305">
        <f t="shared" si="39"/>
        <v>1905.249999999977</v>
      </c>
      <c r="O305">
        <f t="shared" si="34"/>
        <v>0</v>
      </c>
      <c r="P305">
        <f t="array" ref="P305">+SUM($G$2:$G$18*SIN(2*PI()*(N305)*$B$1/$F$2:$F$18+$H$2:$H$18))</f>
        <v>0.23103216126100479</v>
      </c>
      <c r="Q305">
        <f t="shared" si="35"/>
        <v>0</v>
      </c>
      <c r="R305">
        <f t="shared" si="36"/>
        <v>-7.9059159051135166E-3</v>
      </c>
      <c r="S305">
        <f t="array" ref="S305">+$B$2*SIN(R305*$B$3+$B$4)+0*R305+ SUM($J$2:$J$20*SIN(2*PI()*N305*$I$2:$I$20+$K$2:$K$20))</f>
        <v>0.14331804009501087</v>
      </c>
      <c r="U305" s="3">
        <f t="shared" si="32"/>
        <v>1905.249999999977</v>
      </c>
      <c r="V305" s="3">
        <f t="shared" si="33"/>
        <v>-0.68721399999999999</v>
      </c>
      <c r="Z305" s="1">
        <v>1905.2917</v>
      </c>
      <c r="AA305" s="2">
        <f t="shared" si="37"/>
        <v>0.80665400000000009</v>
      </c>
      <c r="AB305">
        <v>40.332700000000003</v>
      </c>
      <c r="AE305">
        <v>1905.249999999977</v>
      </c>
      <c r="AF305">
        <v>0.14331804009501087</v>
      </c>
    </row>
    <row r="306" spans="4:32" x14ac:dyDescent="0.35">
      <c r="D306">
        <v>0.625282</v>
      </c>
      <c r="M306">
        <f t="shared" si="38"/>
        <v>305</v>
      </c>
      <c r="N306">
        <f t="shared" si="39"/>
        <v>1905.3333333333103</v>
      </c>
      <c r="O306">
        <f t="shared" si="34"/>
        <v>0</v>
      </c>
      <c r="P306">
        <f t="array" ref="P306">+SUM($G$2:$G$18*SIN(2*PI()*(N306)*$B$1/$F$2:$F$18+$H$2:$H$18))</f>
        <v>0.12201503201086766</v>
      </c>
      <c r="Q306">
        <f t="shared" si="35"/>
        <v>0</v>
      </c>
      <c r="R306">
        <f t="shared" si="36"/>
        <v>-7.8937554922687714E-3</v>
      </c>
      <c r="S306">
        <f t="array" ref="S306">+$B$2*SIN(R306*$B$3+$B$4)+0*R306+ SUM($J$2:$J$20*SIN(2*PI()*N306*$I$2:$I$20+$K$2:$K$20))</f>
        <v>0.14162637656352856</v>
      </c>
      <c r="U306" s="3">
        <f t="shared" si="32"/>
        <v>1905.3333333333103</v>
      </c>
      <c r="V306" s="3">
        <f t="shared" si="33"/>
        <v>-0.75040600000000002</v>
      </c>
      <c r="Z306" s="1">
        <v>1905.375</v>
      </c>
      <c r="AA306" s="2">
        <f t="shared" si="37"/>
        <v>0.78033600000000003</v>
      </c>
      <c r="AB306">
        <v>39.016800000000003</v>
      </c>
      <c r="AE306">
        <v>1905.3333333333103</v>
      </c>
      <c r="AF306">
        <v>0.14162637656352856</v>
      </c>
    </row>
    <row r="307" spans="4:32" x14ac:dyDescent="0.35">
      <c r="D307">
        <v>0.80665400000000009</v>
      </c>
      <c r="M307">
        <f t="shared" si="38"/>
        <v>306</v>
      </c>
      <c r="N307">
        <f t="shared" si="39"/>
        <v>1905.4166666666436</v>
      </c>
      <c r="O307">
        <f t="shared" si="34"/>
        <v>0</v>
      </c>
      <c r="P307">
        <f t="array" ref="P307">+SUM($G$2:$G$18*SIN(2*PI()*(N307)*$B$1/$F$2:$F$18+$H$2:$H$18))</f>
        <v>-1.424333711649492E-2</v>
      </c>
      <c r="Q307">
        <f t="shared" si="35"/>
        <v>0</v>
      </c>
      <c r="R307">
        <f t="shared" si="36"/>
        <v>-7.8816137838527509E-3</v>
      </c>
      <c r="S307">
        <f t="array" ref="S307">+$B$2*SIN(R307*$B$3+$B$4)+0*R307+ SUM($J$2:$J$20*SIN(2*PI()*N307*$I$2:$I$20+$K$2:$K$20))</f>
        <v>0.13993657487265282</v>
      </c>
      <c r="U307" s="3">
        <f t="shared" si="32"/>
        <v>1905.4166666666436</v>
      </c>
      <c r="V307" s="3">
        <f t="shared" si="33"/>
        <v>-0.76129199999999997</v>
      </c>
      <c r="Z307" s="1">
        <v>1905.4583</v>
      </c>
      <c r="AA307" s="2">
        <f t="shared" si="37"/>
        <v>0.87248000000000003</v>
      </c>
      <c r="AB307">
        <v>43.624000000000002</v>
      </c>
      <c r="AE307">
        <v>1905.4166666666436</v>
      </c>
      <c r="AF307">
        <v>0.13993657487265282</v>
      </c>
    </row>
    <row r="308" spans="4:32" x14ac:dyDescent="0.35">
      <c r="D308">
        <v>0.78033600000000003</v>
      </c>
      <c r="M308">
        <f t="shared" si="38"/>
        <v>307</v>
      </c>
      <c r="N308">
        <f t="shared" si="39"/>
        <v>1905.4999999999768</v>
      </c>
      <c r="O308">
        <f t="shared" si="34"/>
        <v>0</v>
      </c>
      <c r="P308">
        <f t="array" ref="P308">+SUM($G$2:$G$18*SIN(2*PI()*(N308)*$B$1/$F$2:$F$18+$H$2:$H$18))</f>
        <v>-3.3644742292032008E-2</v>
      </c>
      <c r="Q308">
        <f t="shared" si="35"/>
        <v>0</v>
      </c>
      <c r="R308">
        <f t="shared" si="36"/>
        <v>-7.8694907510954079E-3</v>
      </c>
      <c r="S308">
        <f t="array" ref="S308">+$B$2*SIN(R308*$B$3+$B$4)+0*R308+ SUM($J$2:$J$20*SIN(2*PI()*N308*$I$2:$I$20+$K$2:$K$20))</f>
        <v>0.13824864323799649</v>
      </c>
      <c r="U308" s="3">
        <f t="shared" si="32"/>
        <v>1905.4999999999768</v>
      </c>
      <c r="V308" s="3">
        <f t="shared" si="33"/>
        <v>-0.67986999999999997</v>
      </c>
      <c r="Z308" s="1">
        <v>1905.5417</v>
      </c>
      <c r="AA308" s="2">
        <f t="shared" si="37"/>
        <v>0.64461799999999991</v>
      </c>
      <c r="AB308">
        <v>32.230899999999998</v>
      </c>
      <c r="AE308">
        <v>1905.4999999999768</v>
      </c>
      <c r="AF308">
        <v>0.13824864323799649</v>
      </c>
    </row>
    <row r="309" spans="4:32" x14ac:dyDescent="0.35">
      <c r="D309">
        <v>0.87248000000000003</v>
      </c>
      <c r="M309">
        <f t="shared" si="38"/>
        <v>308</v>
      </c>
      <c r="N309">
        <f t="shared" si="39"/>
        <v>1905.5833333333101</v>
      </c>
      <c r="O309">
        <f t="shared" si="34"/>
        <v>0</v>
      </c>
      <c r="P309">
        <f t="array" ref="P309">+SUM($G$2:$G$18*SIN(2*PI()*(N309)*$B$1/$F$2:$F$18+$H$2:$H$18))</f>
        <v>9.6877131380664575E-2</v>
      </c>
      <c r="Q309">
        <f t="shared" si="35"/>
        <v>0</v>
      </c>
      <c r="R309">
        <f t="shared" si="36"/>
        <v>-7.8573863652709481E-3</v>
      </c>
      <c r="S309">
        <f t="array" ref="S309">+$B$2*SIN(R309*$B$3+$B$4)+0*R309+ SUM($J$2:$J$20*SIN(2*PI()*N309*$I$2:$I$20+$K$2:$K$20))</f>
        <v>0.13656258979170249</v>
      </c>
      <c r="U309" s="3">
        <f t="shared" si="32"/>
        <v>1905.5833333333101</v>
      </c>
      <c r="V309" s="3">
        <f t="shared" si="33"/>
        <v>-0.45844999999999997</v>
      </c>
      <c r="Z309" s="1">
        <v>1905.625</v>
      </c>
      <c r="AA309" s="2">
        <f t="shared" si="37"/>
        <v>0.59060400000000002</v>
      </c>
      <c r="AB309">
        <v>29.530200000000001</v>
      </c>
      <c r="AE309">
        <v>1905.5833333333101</v>
      </c>
      <c r="AF309">
        <v>0.13656258979170249</v>
      </c>
    </row>
    <row r="310" spans="4:32" x14ac:dyDescent="0.35">
      <c r="D310">
        <v>0.64461799999999991</v>
      </c>
      <c r="M310">
        <f t="shared" si="38"/>
        <v>309</v>
      </c>
      <c r="N310">
        <f t="shared" si="39"/>
        <v>1905.6666666666433</v>
      </c>
      <c r="O310">
        <f t="shared" si="34"/>
        <v>0</v>
      </c>
      <c r="P310">
        <f t="array" ref="P310">+SUM($G$2:$G$18*SIN(2*PI()*(N310)*$B$1/$F$2:$F$18+$H$2:$H$18))</f>
        <v>0.1360382460448934</v>
      </c>
      <c r="Q310">
        <f t="shared" si="35"/>
        <v>0</v>
      </c>
      <c r="R310">
        <f t="shared" si="36"/>
        <v>-7.8453005976977606E-3</v>
      </c>
      <c r="S310">
        <f t="array" ref="S310">+$B$2*SIN(R310*$B$3+$B$4)+0*R310+ SUM($J$2:$J$20*SIN(2*PI()*N310*$I$2:$I$20+$K$2:$K$20))</f>
        <v>0.13487842258289084</v>
      </c>
      <c r="U310" s="3">
        <f t="shared" si="32"/>
        <v>1905.6666666666433</v>
      </c>
      <c r="V310" s="3">
        <f t="shared" si="33"/>
        <v>-0.25241800000000003</v>
      </c>
      <c r="Z310" s="1">
        <v>1905.7083</v>
      </c>
      <c r="AA310" s="2">
        <f t="shared" si="37"/>
        <v>0.59812799999999999</v>
      </c>
      <c r="AB310">
        <v>29.906400000000001</v>
      </c>
      <c r="AE310">
        <v>1905.6666666666433</v>
      </c>
      <c r="AF310">
        <v>0.13487842258289084</v>
      </c>
    </row>
    <row r="311" spans="4:32" x14ac:dyDescent="0.35">
      <c r="D311">
        <v>0.59060400000000002</v>
      </c>
      <c r="M311">
        <f t="shared" si="38"/>
        <v>310</v>
      </c>
      <c r="N311">
        <f t="shared" si="39"/>
        <v>1905.7499999999766</v>
      </c>
      <c r="O311">
        <f t="shared" si="34"/>
        <v>0</v>
      </c>
      <c r="P311">
        <f t="array" ref="P311">+SUM($G$2:$G$18*SIN(2*PI()*(N311)*$B$1/$F$2:$F$18+$H$2:$H$18))</f>
        <v>-0.19001489851088263</v>
      </c>
      <c r="Q311">
        <f t="shared" si="35"/>
        <v>0</v>
      </c>
      <c r="R311">
        <f t="shared" si="36"/>
        <v>-7.8332334197383502E-3</v>
      </c>
      <c r="S311">
        <f t="array" ref="S311">+$B$2*SIN(R311*$B$3+$B$4)+0*R311+ SUM($J$2:$J$20*SIN(2*PI()*N311*$I$2:$I$20+$K$2:$K$20))</f>
        <v>0.13319614957810233</v>
      </c>
      <c r="U311" s="3">
        <f t="shared" si="32"/>
        <v>1905.7499999999766</v>
      </c>
      <c r="V311" s="3">
        <f t="shared" si="33"/>
        <v>-1.4076E-2</v>
      </c>
      <c r="Z311" s="1">
        <v>1905.7917</v>
      </c>
      <c r="AA311" s="2">
        <f t="shared" si="37"/>
        <v>0.81641800000000009</v>
      </c>
      <c r="AB311">
        <v>40.820900000000002</v>
      </c>
      <c r="AE311">
        <v>1905.7499999999766</v>
      </c>
      <c r="AF311">
        <v>0.13319614957810233</v>
      </c>
    </row>
    <row r="312" spans="4:32" x14ac:dyDescent="0.35">
      <c r="D312">
        <v>0.59812799999999999</v>
      </c>
      <c r="M312">
        <f t="shared" si="38"/>
        <v>311</v>
      </c>
      <c r="N312">
        <f t="shared" si="39"/>
        <v>1905.8333333333098</v>
      </c>
      <c r="O312">
        <f t="shared" si="34"/>
        <v>0</v>
      </c>
      <c r="P312">
        <f t="array" ref="P312">+SUM($G$2:$G$18*SIN(2*PI()*(N312)*$B$1/$F$2:$F$18+$H$2:$H$18))</f>
        <v>-0.33763908231530287</v>
      </c>
      <c r="Q312">
        <f t="shared" si="35"/>
        <v>0</v>
      </c>
      <c r="R312">
        <f t="shared" si="36"/>
        <v>-7.8211848027992716E-3</v>
      </c>
      <c r="S312">
        <f t="array" ref="S312">+$B$2*SIN(R312*$B$3+$B$4)+0*R312+ SUM($J$2:$J$20*SIN(2*PI()*N312*$I$2:$I$20+$K$2:$K$20))</f>
        <v>0.13151577866174544</v>
      </c>
      <c r="U312" s="3">
        <f t="shared" si="32"/>
        <v>1905.8333333333098</v>
      </c>
      <c r="V312" s="3">
        <f t="shared" si="33"/>
        <v>9.5033999999999993E-2</v>
      </c>
      <c r="Z312" s="1">
        <v>1905.875</v>
      </c>
      <c r="AA312" s="2">
        <f t="shared" si="37"/>
        <v>0.73163200000000006</v>
      </c>
      <c r="AB312">
        <v>36.581600000000002</v>
      </c>
      <c r="AE312">
        <v>1905.8333333333098</v>
      </c>
      <c r="AF312">
        <v>0.13151577866174544</v>
      </c>
    </row>
    <row r="313" spans="4:32" x14ac:dyDescent="0.35">
      <c r="D313">
        <v>0.81641800000000009</v>
      </c>
      <c r="M313">
        <f t="shared" si="38"/>
        <v>312</v>
      </c>
      <c r="N313">
        <f t="shared" si="39"/>
        <v>1905.9166666666431</v>
      </c>
      <c r="O313">
        <f t="shared" si="34"/>
        <v>0</v>
      </c>
      <c r="P313">
        <f t="array" ref="P313">+SUM($G$2:$G$18*SIN(2*PI()*(N313)*$B$1/$F$2:$F$18+$H$2:$H$18))</f>
        <v>-7.4522240911380488E-3</v>
      </c>
      <c r="Q313">
        <f t="shared" si="35"/>
        <v>0</v>
      </c>
      <c r="R313">
        <f t="shared" si="36"/>
        <v>-7.8091547183310609E-3</v>
      </c>
      <c r="S313">
        <f t="array" ref="S313">+$B$2*SIN(R313*$B$3+$B$4)+0*R313+ SUM($J$2:$J$20*SIN(2*PI()*N313*$I$2:$I$20+$K$2:$K$20))</f>
        <v>0.12983731763653708</v>
      </c>
      <c r="U313" s="3">
        <f t="shared" si="32"/>
        <v>1905.9166666666431</v>
      </c>
      <c r="V313" s="3">
        <f t="shared" si="33"/>
        <v>4.2602000000000001E-2</v>
      </c>
      <c r="Z313" s="1">
        <v>1905.9583</v>
      </c>
      <c r="AA313" s="2">
        <f t="shared" si="37"/>
        <v>0.87761399999999989</v>
      </c>
      <c r="AB313">
        <v>43.880699999999997</v>
      </c>
      <c r="AE313">
        <v>1905.9166666666431</v>
      </c>
      <c r="AF313">
        <v>0.12983731763653708</v>
      </c>
    </row>
    <row r="314" spans="4:32" x14ac:dyDescent="0.35">
      <c r="D314">
        <v>0.73163200000000006</v>
      </c>
      <c r="M314">
        <f t="shared" si="38"/>
        <v>313</v>
      </c>
      <c r="N314">
        <f t="shared" si="39"/>
        <v>1905.9999999999764</v>
      </c>
      <c r="O314">
        <f t="shared" si="34"/>
        <v>36.637715116165623</v>
      </c>
      <c r="P314">
        <f t="array" ref="P314">+SUM($G$2:$G$18*SIN(2*PI()*(N314)*$B$1/$F$2:$F$18+$H$2:$H$18))</f>
        <v>0.25460153741351843</v>
      </c>
      <c r="Q314">
        <f t="shared" si="35"/>
        <v>9.328018595894271</v>
      </c>
      <c r="R314">
        <f t="shared" si="36"/>
        <v>6.5506640626218342E-3</v>
      </c>
      <c r="S314">
        <f t="array" ref="S314">+$B$2*SIN(R314*$B$3+$B$4)+0*R314+ SUM($J$2:$J$20*SIN(2*PI()*N314*$I$2:$I$20+$K$2:$K$20))</f>
        <v>-0.43260751332265451</v>
      </c>
      <c r="U314" s="3">
        <f t="shared" si="32"/>
        <v>1905.9999999999764</v>
      </c>
      <c r="V314" s="3">
        <f t="shared" si="33"/>
        <v>0.10093999999999999</v>
      </c>
      <c r="Z314" s="1">
        <v>1906.0417</v>
      </c>
      <c r="AA314" s="2">
        <f t="shared" si="37"/>
        <v>1.0574379999999999</v>
      </c>
      <c r="AB314">
        <v>52.871899999999997</v>
      </c>
      <c r="AE314">
        <v>1905.9999999999764</v>
      </c>
      <c r="AF314">
        <v>-0.43260751332265451</v>
      </c>
    </row>
    <row r="315" spans="4:32" x14ac:dyDescent="0.35">
      <c r="D315">
        <v>0.87761399999999989</v>
      </c>
      <c r="M315">
        <f t="shared" si="38"/>
        <v>314</v>
      </c>
      <c r="N315">
        <f t="shared" si="39"/>
        <v>1906.0833333333096</v>
      </c>
      <c r="O315">
        <f t="shared" si="34"/>
        <v>0</v>
      </c>
      <c r="P315">
        <f t="array" ref="P315">+SUM($G$2:$G$18*SIN(2*PI()*(N315)*$B$1/$F$2:$F$18+$H$2:$H$18))</f>
        <v>0.28881328009475404</v>
      </c>
      <c r="Q315">
        <f t="shared" si="35"/>
        <v>0</v>
      </c>
      <c r="R315">
        <f t="shared" si="36"/>
        <v>6.5405882181068182E-3</v>
      </c>
      <c r="S315">
        <f t="array" ref="S315">+$B$2*SIN(R315*$B$3+$B$4)+0*R315+ SUM($J$2:$J$20*SIN(2*PI()*N315*$I$2:$I$20+$K$2:$K$20))</f>
        <v>-0.43377491439530275</v>
      </c>
      <c r="U315" s="3">
        <f t="shared" ref="U315:U378" si="40">+N315</f>
        <v>1906.0833333333096</v>
      </c>
      <c r="V315" s="3">
        <f t="shared" ref="V315:V378" si="41">+D273</f>
        <v>-9.4567999999999999E-2</v>
      </c>
      <c r="Z315" s="1">
        <v>1906.125</v>
      </c>
      <c r="AA315" s="2">
        <f t="shared" si="37"/>
        <v>1.09111</v>
      </c>
      <c r="AB315">
        <v>54.555500000000002</v>
      </c>
      <c r="AE315">
        <v>1906.0833333333096</v>
      </c>
      <c r="AF315">
        <v>-0.43377491439530275</v>
      </c>
    </row>
    <row r="316" spans="4:32" x14ac:dyDescent="0.35">
      <c r="D316">
        <v>1.0574379999999999</v>
      </c>
      <c r="M316">
        <f t="shared" si="38"/>
        <v>315</v>
      </c>
      <c r="N316">
        <f t="shared" si="39"/>
        <v>1906.1666666666429</v>
      </c>
      <c r="O316">
        <f t="shared" si="34"/>
        <v>0</v>
      </c>
      <c r="P316">
        <f t="array" ref="P316">+SUM($G$2:$G$18*SIN(2*PI()*(N316)*$B$1/$F$2:$F$18+$H$2:$H$18))</f>
        <v>0.21280837314356704</v>
      </c>
      <c r="Q316">
        <f t="shared" si="35"/>
        <v>0</v>
      </c>
      <c r="R316">
        <f t="shared" si="36"/>
        <v>6.5305278716606572E-3</v>
      </c>
      <c r="S316">
        <f t="array" ref="S316">+$B$2*SIN(R316*$B$3+$B$4)+0*R316+ SUM($J$2:$J$20*SIN(2*PI()*N316*$I$2:$I$20+$K$2:$K$20))</f>
        <v>-0.43493896345016902</v>
      </c>
      <c r="U316" s="3">
        <f t="shared" si="40"/>
        <v>1906.1666666666429</v>
      </c>
      <c r="V316" s="3">
        <f t="shared" si="41"/>
        <v>-0.33931199999999995</v>
      </c>
      <c r="Z316" s="1">
        <v>1906.2083</v>
      </c>
      <c r="AA316" s="2">
        <f t="shared" si="37"/>
        <v>1.087858</v>
      </c>
      <c r="AB316">
        <v>54.392899999999997</v>
      </c>
      <c r="AE316">
        <v>1906.1666666666429</v>
      </c>
      <c r="AF316">
        <v>-0.43493896345016902</v>
      </c>
    </row>
    <row r="317" spans="4:32" x14ac:dyDescent="0.35">
      <c r="D317">
        <v>1.09111</v>
      </c>
      <c r="M317">
        <f t="shared" si="38"/>
        <v>316</v>
      </c>
      <c r="N317">
        <f t="shared" si="39"/>
        <v>1906.2499999999761</v>
      </c>
      <c r="O317">
        <f t="shared" si="34"/>
        <v>0</v>
      </c>
      <c r="P317">
        <f t="array" ref="P317">+SUM($G$2:$G$18*SIN(2*PI()*(N317)*$B$1/$F$2:$F$18+$H$2:$H$18))</f>
        <v>7.1584185553493093E-2</v>
      </c>
      <c r="Q317">
        <f t="shared" si="35"/>
        <v>0</v>
      </c>
      <c r="R317">
        <f t="shared" si="36"/>
        <v>6.5204829994451371E-3</v>
      </c>
      <c r="S317">
        <f t="array" ref="S317">+$B$2*SIN(R317*$B$3+$B$4)+0*R317+ SUM($J$2:$J$20*SIN(2*PI()*N317*$I$2:$I$20+$K$2:$K$20))</f>
        <v>-0.43609966626354346</v>
      </c>
      <c r="U317" s="3">
        <f t="shared" si="40"/>
        <v>1906.2499999999761</v>
      </c>
      <c r="V317" s="3">
        <f t="shared" si="41"/>
        <v>-0.31174600000000002</v>
      </c>
      <c r="Z317" s="1">
        <v>1906.2917</v>
      </c>
      <c r="AA317" s="2">
        <f t="shared" si="37"/>
        <v>0.72614199999999995</v>
      </c>
      <c r="AB317">
        <v>36.307099999999998</v>
      </c>
      <c r="AE317">
        <v>1906.2499999999761</v>
      </c>
      <c r="AF317">
        <v>-0.43609966626354346</v>
      </c>
    </row>
    <row r="318" spans="4:32" x14ac:dyDescent="0.35">
      <c r="D318">
        <v>1.087858</v>
      </c>
      <c r="M318">
        <f t="shared" si="38"/>
        <v>317</v>
      </c>
      <c r="N318">
        <f t="shared" si="39"/>
        <v>1906.3333333333094</v>
      </c>
      <c r="O318">
        <f t="shared" si="34"/>
        <v>0</v>
      </c>
      <c r="P318">
        <f t="array" ref="P318">+SUM($G$2:$G$18*SIN(2*PI()*(N318)*$B$1/$F$2:$F$18+$H$2:$H$18))</f>
        <v>0.14810515575706448</v>
      </c>
      <c r="Q318">
        <f t="shared" si="35"/>
        <v>0</v>
      </c>
      <c r="R318">
        <f t="shared" si="36"/>
        <v>6.510453577658711E-3</v>
      </c>
      <c r="S318">
        <f t="array" ref="S318">+$B$2*SIN(R318*$B$3+$B$4)+0*R318+ SUM($J$2:$J$20*SIN(2*PI()*N318*$I$2:$I$20+$K$2:$K$20))</f>
        <v>-0.43725702862565652</v>
      </c>
      <c r="U318" s="3">
        <f t="shared" si="40"/>
        <v>1906.3333333333094</v>
      </c>
      <c r="V318" s="3">
        <f t="shared" si="41"/>
        <v>-0.193412</v>
      </c>
      <c r="Z318" s="1">
        <v>1906.375</v>
      </c>
      <c r="AA318" s="2">
        <f t="shared" si="37"/>
        <v>0.35365600000000003</v>
      </c>
      <c r="AB318">
        <v>17.6828</v>
      </c>
      <c r="AE318">
        <v>1906.3333333333094</v>
      </c>
      <c r="AF318">
        <v>-0.43725702862565652</v>
      </c>
    </row>
    <row r="319" spans="4:32" x14ac:dyDescent="0.35">
      <c r="D319">
        <v>0.72614199999999995</v>
      </c>
      <c r="M319">
        <f t="shared" si="38"/>
        <v>318</v>
      </c>
      <c r="N319">
        <f t="shared" si="39"/>
        <v>1906.4166666666426</v>
      </c>
      <c r="O319">
        <f t="shared" si="34"/>
        <v>0</v>
      </c>
      <c r="P319">
        <f t="array" ref="P319">+SUM($G$2:$G$18*SIN(2*PI()*(N319)*$B$1/$F$2:$F$18+$H$2:$H$18))</f>
        <v>0.218174687221349</v>
      </c>
      <c r="Q319">
        <f t="shared" si="35"/>
        <v>0</v>
      </c>
      <c r="R319">
        <f t="shared" si="36"/>
        <v>6.5004395825364412E-3</v>
      </c>
      <c r="S319">
        <f t="array" ref="S319">+$B$2*SIN(R319*$B$3+$B$4)+0*R319+ SUM($J$2:$J$20*SIN(2*PI()*N319*$I$2:$I$20+$K$2:$K$20))</f>
        <v>-0.43841105634045313</v>
      </c>
      <c r="U319" s="3">
        <f t="shared" si="40"/>
        <v>1906.4166666666426</v>
      </c>
      <c r="V319" s="3">
        <f t="shared" si="41"/>
        <v>0.21876400000000001</v>
      </c>
      <c r="Z319" s="1">
        <v>1906.4583</v>
      </c>
      <c r="AA319" s="2">
        <f t="shared" si="37"/>
        <v>0.518092</v>
      </c>
      <c r="AB319">
        <v>25.904599999999999</v>
      </c>
      <c r="AE319">
        <v>1906.4166666666426</v>
      </c>
      <c r="AF319">
        <v>-0.43841105634045313</v>
      </c>
    </row>
    <row r="320" spans="4:32" x14ac:dyDescent="0.35">
      <c r="D320">
        <v>0.35365600000000003</v>
      </c>
      <c r="M320">
        <f t="shared" si="38"/>
        <v>319</v>
      </c>
      <c r="N320">
        <f t="shared" si="39"/>
        <v>1906.4999999999759</v>
      </c>
      <c r="O320">
        <f t="shared" si="34"/>
        <v>0</v>
      </c>
      <c r="P320">
        <f t="array" ref="P320">+SUM($G$2:$G$18*SIN(2*PI()*(N320)*$B$1/$F$2:$F$18+$H$2:$H$18))</f>
        <v>-8.0716858854489412E-2</v>
      </c>
      <c r="Q320">
        <f t="shared" si="35"/>
        <v>0</v>
      </c>
      <c r="R320">
        <f t="shared" si="36"/>
        <v>6.4904409903499445E-3</v>
      </c>
      <c r="S320">
        <f t="array" ref="S320">+$B$2*SIN(R320*$B$3+$B$4)+0*R320+ SUM($J$2:$J$20*SIN(2*PI()*N320*$I$2:$I$20+$K$2:$K$20))</f>
        <v>-0.43956175522537072</v>
      </c>
      <c r="U320" s="3">
        <f t="shared" si="40"/>
        <v>1906.4999999999759</v>
      </c>
      <c r="V320" s="3">
        <f t="shared" si="41"/>
        <v>0.42325000000000002</v>
      </c>
      <c r="Z320" s="1">
        <v>1906.5417</v>
      </c>
      <c r="AA320" s="2">
        <f t="shared" si="37"/>
        <v>0.33329599999999998</v>
      </c>
      <c r="AB320">
        <v>16.6648</v>
      </c>
      <c r="AE320">
        <v>1906.4999999999759</v>
      </c>
      <c r="AF320">
        <v>-0.43956175522537072</v>
      </c>
    </row>
    <row r="321" spans="4:32" x14ac:dyDescent="0.35">
      <c r="D321">
        <v>0.518092</v>
      </c>
      <c r="M321">
        <f t="shared" si="38"/>
        <v>320</v>
      </c>
      <c r="N321">
        <f t="shared" si="39"/>
        <v>1906.5833333333092</v>
      </c>
      <c r="O321">
        <f t="shared" si="34"/>
        <v>0</v>
      </c>
      <c r="P321">
        <f t="array" ref="P321">+SUM($G$2:$G$18*SIN(2*PI()*(N321)*$B$1/$F$2:$F$18+$H$2:$H$18))</f>
        <v>-0.22467547813145178</v>
      </c>
      <c r="Q321">
        <f t="shared" si="35"/>
        <v>0</v>
      </c>
      <c r="R321">
        <f t="shared" si="36"/>
        <v>6.4804577774073349E-3</v>
      </c>
      <c r="S321">
        <f t="array" ref="S321">+$B$2*SIN(R321*$B$3+$B$4)+0*R321+ SUM($J$2:$J$20*SIN(2*PI()*N321*$I$2:$I$20+$K$2:$K$20))</f>
        <v>-0.44070913111111626</v>
      </c>
      <c r="U321" s="3">
        <f t="shared" si="40"/>
        <v>1906.5833333333092</v>
      </c>
      <c r="V321" s="3">
        <f t="shared" si="41"/>
        <v>0.54003999999999996</v>
      </c>
      <c r="Z321" s="1">
        <v>1906.625</v>
      </c>
      <c r="AA321" s="2">
        <f t="shared" si="37"/>
        <v>0.142344</v>
      </c>
      <c r="AB321">
        <v>7.1172000000000004</v>
      </c>
      <c r="AE321">
        <v>1906.5833333333092</v>
      </c>
      <c r="AF321">
        <v>-0.44070913111111626</v>
      </c>
    </row>
    <row r="322" spans="4:32" x14ac:dyDescent="0.35">
      <c r="D322">
        <v>0.33329599999999998</v>
      </c>
      <c r="M322">
        <f t="shared" si="38"/>
        <v>321</v>
      </c>
      <c r="N322">
        <f t="shared" si="39"/>
        <v>1906.6666666666424</v>
      </c>
      <c r="O322">
        <f t="shared" ref="O322:O385" si="42">+IF(MOD(M322,$B$5)=1, $B$6, 0)</f>
        <v>0</v>
      </c>
      <c r="P322">
        <f t="array" ref="P322">+SUM($G$2:$G$18*SIN(2*PI()*(N322)*$B$1/$F$2:$F$18+$H$2:$H$18))</f>
        <v>5.7037364481483332E-2</v>
      </c>
      <c r="Q322">
        <f t="shared" si="35"/>
        <v>0</v>
      </c>
      <c r="R322">
        <f t="shared" si="36"/>
        <v>6.4704899200531676E-3</v>
      </c>
      <c r="S322">
        <f t="array" ref="S322">+$B$2*SIN(R322*$B$3+$B$4)+0*R322+ SUM($J$2:$J$20*SIN(2*PI()*N322*$I$2:$I$20+$K$2:$K$20))</f>
        <v>-0.44185318984144717</v>
      </c>
      <c r="U322" s="3">
        <f t="shared" si="40"/>
        <v>1906.6666666666424</v>
      </c>
      <c r="V322" s="3">
        <f t="shared" si="41"/>
        <v>0.66759800000000002</v>
      </c>
      <c r="Z322" s="1">
        <v>1906.7083</v>
      </c>
      <c r="AA322" s="2">
        <f t="shared" si="37"/>
        <v>0.14677799999999999</v>
      </c>
      <c r="AB322">
        <v>7.3388999999999998</v>
      </c>
      <c r="AE322">
        <v>1906.6666666666424</v>
      </c>
      <c r="AF322">
        <v>-0.44185318984144717</v>
      </c>
    </row>
    <row r="323" spans="4:32" x14ac:dyDescent="0.35">
      <c r="D323">
        <v>0.142344</v>
      </c>
      <c r="M323">
        <f t="shared" si="38"/>
        <v>322</v>
      </c>
      <c r="N323">
        <f t="shared" si="39"/>
        <v>1906.7499999999757</v>
      </c>
      <c r="O323">
        <f t="shared" si="42"/>
        <v>0</v>
      </c>
      <c r="P323">
        <f t="array" ref="P323">+SUM($G$2:$G$18*SIN(2*PI()*(N323)*$B$1/$F$2:$F$18+$H$2:$H$18))</f>
        <v>0.35430391974937225</v>
      </c>
      <c r="Q323">
        <f t="shared" ref="Q323:Q386" si="43">+O323*P323</f>
        <v>0</v>
      </c>
      <c r="R323">
        <f t="shared" ref="R323:R386" si="44">+(1-$B$7)*R322+($B$7)*Q323</f>
        <v>6.4605373946683836E-3</v>
      </c>
      <c r="S323">
        <f t="array" ref="S323">+$B$2*SIN(R323*$B$3+$B$4)+0*R323+ SUM($J$2:$J$20*SIN(2*PI()*N323*$I$2:$I$20+$K$2:$K$20))</f>
        <v>-0.44299393727295105</v>
      </c>
      <c r="U323" s="3">
        <f t="shared" si="40"/>
        <v>1906.7499999999757</v>
      </c>
      <c r="V323" s="3">
        <f t="shared" si="41"/>
        <v>0.75823400000000007</v>
      </c>
      <c r="Z323" s="1">
        <v>1906.7917</v>
      </c>
      <c r="AA323" s="2">
        <f t="shared" ref="AA323:AA386" si="45">+AB323/50</f>
        <v>-4.1100000000000005E-2</v>
      </c>
      <c r="AB323">
        <v>-2.0550000000000002</v>
      </c>
      <c r="AE323">
        <v>1906.7499999999757</v>
      </c>
      <c r="AF323">
        <v>-0.44299393727295105</v>
      </c>
    </row>
    <row r="324" spans="4:32" x14ac:dyDescent="0.35">
      <c r="D324">
        <v>0.14677799999999999</v>
      </c>
      <c r="M324">
        <f t="shared" ref="M324:M387" si="46">+M323+1</f>
        <v>323</v>
      </c>
      <c r="N324">
        <f t="shared" ref="N324:N387" si="47">+N323+1/12</f>
        <v>1906.8333333333089</v>
      </c>
      <c r="O324">
        <f t="shared" si="42"/>
        <v>0</v>
      </c>
      <c r="P324">
        <f t="array" ref="P324">+SUM($G$2:$G$18*SIN(2*PI()*(N324)*$B$1/$F$2:$F$18+$H$2:$H$18))</f>
        <v>0.48831637091875846</v>
      </c>
      <c r="Q324">
        <f t="shared" si="43"/>
        <v>0</v>
      </c>
      <c r="R324">
        <f t="shared" si="44"/>
        <v>6.4506001776702534E-3</v>
      </c>
      <c r="S324">
        <f t="array" ref="S324">+$B$2*SIN(R324*$B$3+$B$4)+0*R324+ SUM($J$2:$J$20*SIN(2*PI()*N324*$I$2:$I$20+$K$2:$K$20))</f>
        <v>-0.44413137927483065</v>
      </c>
      <c r="U324" s="3">
        <f t="shared" si="40"/>
        <v>1906.8333333333089</v>
      </c>
      <c r="V324" s="3">
        <f t="shared" si="41"/>
        <v>0.84733000000000003</v>
      </c>
      <c r="Z324" s="1">
        <v>1906.875</v>
      </c>
      <c r="AA324" s="2">
        <f t="shared" si="45"/>
        <v>3.2562000000000001E-2</v>
      </c>
      <c r="AB324">
        <v>1.6281000000000001</v>
      </c>
      <c r="AE324">
        <v>1906.8333333333089</v>
      </c>
      <c r="AF324">
        <v>-0.44413137927483065</v>
      </c>
    </row>
    <row r="325" spans="4:32" x14ac:dyDescent="0.35">
      <c r="D325">
        <v>-4.1100000000000005E-2</v>
      </c>
      <c r="M325">
        <f t="shared" si="46"/>
        <v>324</v>
      </c>
      <c r="N325">
        <f t="shared" si="47"/>
        <v>1906.9166666666422</v>
      </c>
      <c r="O325">
        <f t="shared" si="42"/>
        <v>0</v>
      </c>
      <c r="P325">
        <f t="array" ref="P325">+SUM($G$2:$G$18*SIN(2*PI()*(N325)*$B$1/$F$2:$F$18+$H$2:$H$18))</f>
        <v>0.32340717614886116</v>
      </c>
      <c r="Q325">
        <f t="shared" si="43"/>
        <v>0</v>
      </c>
      <c r="R325">
        <f t="shared" si="44"/>
        <v>6.4406782455123206E-3</v>
      </c>
      <c r="S325">
        <f t="array" ref="S325">+$B$2*SIN(R325*$B$3+$B$4)+0*R325+ SUM($J$2:$J$20*SIN(2*PI()*N325*$I$2:$I$20+$K$2:$K$20))</f>
        <v>-0.4452655217286865</v>
      </c>
      <c r="U325" s="3">
        <f t="shared" si="40"/>
        <v>1906.9166666666422</v>
      </c>
      <c r="V325" s="3">
        <f t="shared" si="41"/>
        <v>0.81950000000000001</v>
      </c>
      <c r="Z325" s="1">
        <v>1906.9583</v>
      </c>
      <c r="AA325" s="2">
        <f t="shared" si="45"/>
        <v>7.3916000000000009E-2</v>
      </c>
      <c r="AB325">
        <v>3.6958000000000002</v>
      </c>
      <c r="AE325">
        <v>1906.9166666666422</v>
      </c>
      <c r="AF325">
        <v>-0.4452655217286865</v>
      </c>
    </row>
    <row r="326" spans="4:32" x14ac:dyDescent="0.35">
      <c r="D326">
        <v>3.2562000000000001E-2</v>
      </c>
      <c r="M326">
        <f t="shared" si="46"/>
        <v>325</v>
      </c>
      <c r="N326">
        <f t="shared" si="47"/>
        <v>1906.9999999999754</v>
      </c>
      <c r="O326">
        <f t="shared" si="42"/>
        <v>36.637715116165623</v>
      </c>
      <c r="P326">
        <f t="array" ref="P326">+SUM($G$2:$G$18*SIN(2*PI()*(N326)*$B$1/$F$2:$F$18+$H$2:$H$18))</f>
        <v>4.3089307177980873E-2</v>
      </c>
      <c r="Q326">
        <f t="shared" si="43"/>
        <v>1.5786937609398137</v>
      </c>
      <c r="R326">
        <f t="shared" si="44"/>
        <v>8.859025064711425E-3</v>
      </c>
      <c r="S326">
        <f t="array" ref="S326">+$B$2*SIN(R326*$B$3+$B$4)+0*R326+ SUM($J$2:$J$20*SIN(2*PI()*N326*$I$2:$I$20+$K$2:$K$20))</f>
        <v>-0.13312905869719319</v>
      </c>
      <c r="U326" s="3">
        <f t="shared" si="40"/>
        <v>1906.9999999999754</v>
      </c>
      <c r="V326" s="3">
        <f t="shared" si="41"/>
        <v>1.065518</v>
      </c>
      <c r="Z326" s="1">
        <v>1907.0417</v>
      </c>
      <c r="AA326" s="2">
        <f t="shared" si="45"/>
        <v>0.15526400000000001</v>
      </c>
      <c r="AB326">
        <v>7.7632000000000003</v>
      </c>
      <c r="AE326">
        <v>1906.9999999999754</v>
      </c>
      <c r="AF326">
        <v>-0.13312905869719319</v>
      </c>
    </row>
    <row r="327" spans="4:32" x14ac:dyDescent="0.35">
      <c r="D327">
        <v>7.3916000000000009E-2</v>
      </c>
      <c r="M327">
        <f t="shared" si="46"/>
        <v>326</v>
      </c>
      <c r="N327">
        <f t="shared" si="47"/>
        <v>1907.0833333333087</v>
      </c>
      <c r="O327">
        <f t="shared" si="42"/>
        <v>0</v>
      </c>
      <c r="P327">
        <f t="array" ref="P327">+SUM($G$2:$G$18*SIN(2*PI()*(N327)*$B$1/$F$2:$F$18+$H$2:$H$18))</f>
        <v>0.15402750351768585</v>
      </c>
      <c r="Q327">
        <f t="shared" si="43"/>
        <v>0</v>
      </c>
      <c r="R327">
        <f t="shared" si="44"/>
        <v>8.8453986356573089E-3</v>
      </c>
      <c r="S327">
        <f t="array" ref="S327">+$B$2*SIN(R327*$B$3+$B$4)+0*R327+ SUM($J$2:$J$20*SIN(2*PI()*N327*$I$2:$I$20+$K$2:$K$20))</f>
        <v>-0.13502868588441252</v>
      </c>
      <c r="U327" s="3">
        <f t="shared" si="40"/>
        <v>1907.0833333333087</v>
      </c>
      <c r="V327" s="3">
        <f t="shared" si="41"/>
        <v>1.071534</v>
      </c>
      <c r="Z327" s="1">
        <v>1907.125</v>
      </c>
      <c r="AA327" s="2">
        <f t="shared" si="45"/>
        <v>0.23661599999999999</v>
      </c>
      <c r="AB327">
        <v>11.8308</v>
      </c>
      <c r="AE327">
        <v>1907.0833333333087</v>
      </c>
      <c r="AF327">
        <v>-0.13502868588441252</v>
      </c>
    </row>
    <row r="328" spans="4:32" x14ac:dyDescent="0.35">
      <c r="D328">
        <v>0.15526400000000001</v>
      </c>
      <c r="M328">
        <f t="shared" si="46"/>
        <v>327</v>
      </c>
      <c r="N328">
        <f t="shared" si="47"/>
        <v>1907.166666666642</v>
      </c>
      <c r="O328">
        <f t="shared" si="42"/>
        <v>0</v>
      </c>
      <c r="P328">
        <f t="array" ref="P328">+SUM($G$2:$G$18*SIN(2*PI()*(N328)*$B$1/$F$2:$F$18+$H$2:$H$18))</f>
        <v>0.25353833163430084</v>
      </c>
      <c r="Q328">
        <f t="shared" si="43"/>
        <v>0</v>
      </c>
      <c r="R328">
        <f t="shared" si="44"/>
        <v>8.8317931659714546E-3</v>
      </c>
      <c r="S328">
        <f t="array" ref="S328">+$B$2*SIN(R328*$B$3+$B$4)+0*R328+ SUM($J$2:$J$20*SIN(2*PI()*N328*$I$2:$I$20+$K$2:$K$20))</f>
        <v>-0.13692450508550089</v>
      </c>
      <c r="U328" s="3">
        <f t="shared" si="40"/>
        <v>1907.166666666642</v>
      </c>
      <c r="V328" s="3">
        <f t="shared" si="41"/>
        <v>0.93908400000000003</v>
      </c>
      <c r="Z328" s="1">
        <v>1907.2083</v>
      </c>
      <c r="AA328" s="2">
        <f t="shared" si="45"/>
        <v>0.29950399999999999</v>
      </c>
      <c r="AB328">
        <v>14.975199999999999</v>
      </c>
      <c r="AE328">
        <v>1907.166666666642</v>
      </c>
      <c r="AF328">
        <v>-0.13692450508550089</v>
      </c>
    </row>
    <row r="329" spans="4:32" x14ac:dyDescent="0.35">
      <c r="D329">
        <v>0.23661599999999999</v>
      </c>
      <c r="M329">
        <f t="shared" si="46"/>
        <v>328</v>
      </c>
      <c r="N329">
        <f t="shared" si="47"/>
        <v>1907.2499999999752</v>
      </c>
      <c r="O329">
        <f t="shared" si="42"/>
        <v>0</v>
      </c>
      <c r="P329">
        <f t="array" ref="P329">+SUM($G$2:$G$18*SIN(2*PI()*(N329)*$B$1/$F$2:$F$18+$H$2:$H$18))</f>
        <v>-9.5297998088172062E-2</v>
      </c>
      <c r="Q329">
        <f t="shared" si="43"/>
        <v>0</v>
      </c>
      <c r="R329">
        <f t="shared" si="44"/>
        <v>8.8182086234153984E-3</v>
      </c>
      <c r="S329">
        <f t="array" ref="S329">+$B$2*SIN(R329*$B$3+$B$4)+0*R329+ SUM($J$2:$J$20*SIN(2*PI()*N329*$I$2:$I$20+$K$2:$K$20))</f>
        <v>-0.1388165124787514</v>
      </c>
      <c r="U329" s="3">
        <f t="shared" si="40"/>
        <v>1907.2499999999752</v>
      </c>
      <c r="V329" s="3">
        <f t="shared" si="41"/>
        <v>0.97278999999999993</v>
      </c>
      <c r="Z329" s="1">
        <v>1907.2917</v>
      </c>
      <c r="AA329" s="2">
        <f t="shared" si="45"/>
        <v>0.117772</v>
      </c>
      <c r="AB329">
        <v>5.8886000000000003</v>
      </c>
      <c r="AE329">
        <v>1907.2499999999752</v>
      </c>
      <c r="AF329">
        <v>-0.1388165124787514</v>
      </c>
    </row>
    <row r="330" spans="4:32" x14ac:dyDescent="0.35">
      <c r="D330">
        <v>0.29950399999999999</v>
      </c>
      <c r="M330">
        <f t="shared" si="46"/>
        <v>329</v>
      </c>
      <c r="N330">
        <f t="shared" si="47"/>
        <v>1907.3333333333085</v>
      </c>
      <c r="O330">
        <f t="shared" si="42"/>
        <v>0</v>
      </c>
      <c r="P330">
        <f t="array" ref="P330">+SUM($G$2:$G$18*SIN(2*PI()*(N330)*$B$1/$F$2:$F$18+$H$2:$H$18))</f>
        <v>-0.25557157318756335</v>
      </c>
      <c r="Q330">
        <f t="shared" si="43"/>
        <v>0</v>
      </c>
      <c r="R330">
        <f t="shared" si="44"/>
        <v>8.8046449758002673E-3</v>
      </c>
      <c r="S330">
        <f t="array" ref="S330">+$B$2*SIN(R330*$B$3+$B$4)+0*R330+ SUM($J$2:$J$20*SIN(2*PI()*N330*$I$2:$I$20+$K$2:$K$20))</f>
        <v>-0.14070470434107218</v>
      </c>
      <c r="U330" s="3">
        <f t="shared" si="40"/>
        <v>1907.3333333333085</v>
      </c>
      <c r="V330" s="3">
        <f t="shared" si="41"/>
        <v>0.59880200000000006</v>
      </c>
      <c r="Z330" s="1">
        <v>1907.375</v>
      </c>
      <c r="AA330" s="2">
        <f t="shared" si="45"/>
        <v>-3.0110000000000001E-2</v>
      </c>
      <c r="AB330">
        <v>-1.5055000000000001</v>
      </c>
      <c r="AE330">
        <v>1907.3333333333085</v>
      </c>
      <c r="AF330">
        <v>-0.14070470434107218</v>
      </c>
    </row>
    <row r="331" spans="4:32" x14ac:dyDescent="0.35">
      <c r="D331">
        <v>0.117772</v>
      </c>
      <c r="M331">
        <f t="shared" si="46"/>
        <v>330</v>
      </c>
      <c r="N331">
        <f t="shared" si="47"/>
        <v>1907.4166666666417</v>
      </c>
      <c r="O331">
        <f t="shared" si="42"/>
        <v>0</v>
      </c>
      <c r="P331">
        <f t="array" ref="P331">+SUM($G$2:$G$18*SIN(2*PI()*(N331)*$B$1/$F$2:$F$18+$H$2:$H$18))</f>
        <v>6.5533294869780351E-2</v>
      </c>
      <c r="Q331">
        <f t="shared" si="43"/>
        <v>0</v>
      </c>
      <c r="R331">
        <f t="shared" si="44"/>
        <v>8.7911021909866955E-3</v>
      </c>
      <c r="S331">
        <f t="array" ref="S331">+$B$2*SIN(R331*$B$3+$B$4)+0*R331+ SUM($J$2:$J$20*SIN(2*PI()*N331*$I$2:$I$20+$K$2:$K$20))</f>
        <v>-0.14258907704730558</v>
      </c>
      <c r="U331" s="3">
        <f t="shared" si="40"/>
        <v>1907.4166666666417</v>
      </c>
      <c r="V331" s="3">
        <f t="shared" si="41"/>
        <v>0.247888</v>
      </c>
      <c r="Z331" s="1">
        <v>1907.4583</v>
      </c>
      <c r="AA331" s="2">
        <f t="shared" si="45"/>
        <v>4.6620000000000002E-2</v>
      </c>
      <c r="AB331">
        <v>2.331</v>
      </c>
      <c r="AE331">
        <v>1907.4166666666417</v>
      </c>
      <c r="AF331">
        <v>-0.14258907704730558</v>
      </c>
    </row>
    <row r="332" spans="4:32" x14ac:dyDescent="0.35">
      <c r="D332">
        <v>-3.0110000000000001E-2</v>
      </c>
      <c r="M332">
        <f t="shared" si="46"/>
        <v>331</v>
      </c>
      <c r="N332">
        <f t="shared" si="47"/>
        <v>1907.499999999975</v>
      </c>
      <c r="O332">
        <f t="shared" si="42"/>
        <v>0</v>
      </c>
      <c r="P332">
        <f t="array" ref="P332">+SUM($G$2:$G$18*SIN(2*PI()*(N332)*$B$1/$F$2:$F$18+$H$2:$H$18))</f>
        <v>0.44504595470081054</v>
      </c>
      <c r="Q332">
        <f t="shared" si="43"/>
        <v>0</v>
      </c>
      <c r="R332">
        <f t="shared" si="44"/>
        <v>8.777580236884755E-3</v>
      </c>
      <c r="S332">
        <f t="array" ref="S332">+$B$2*SIN(R332*$B$3+$B$4)+0*R332+ SUM($J$2:$J$20*SIN(2*PI()*N332*$I$2:$I$20+$K$2:$K$20))</f>
        <v>-0.14446962706954733</v>
      </c>
      <c r="U332" s="3">
        <f t="shared" si="40"/>
        <v>1907.499999999975</v>
      </c>
      <c r="V332" s="3">
        <f t="shared" si="41"/>
        <v>-0.144562</v>
      </c>
      <c r="Z332" s="1">
        <v>1907.5417</v>
      </c>
      <c r="AA332" s="2">
        <f t="shared" si="45"/>
        <v>-0.293576</v>
      </c>
      <c r="AB332">
        <v>-14.678800000000001</v>
      </c>
      <c r="AE332">
        <v>1907.499999999975</v>
      </c>
      <c r="AF332">
        <v>-0.14446962706954733</v>
      </c>
    </row>
    <row r="333" spans="4:32" x14ac:dyDescent="0.35">
      <c r="D333">
        <v>4.6620000000000002E-2</v>
      </c>
      <c r="M333">
        <f t="shared" si="46"/>
        <v>332</v>
      </c>
      <c r="N333">
        <f t="shared" si="47"/>
        <v>1907.5833333333082</v>
      </c>
      <c r="O333">
        <f t="shared" si="42"/>
        <v>0</v>
      </c>
      <c r="P333">
        <f t="array" ref="P333">+SUM($G$2:$G$18*SIN(2*PI()*(N333)*$B$1/$F$2:$F$18+$H$2:$H$18))</f>
        <v>0.52444597740973431</v>
      </c>
      <c r="Q333">
        <f t="shared" si="43"/>
        <v>0</v>
      </c>
      <c r="R333">
        <f t="shared" si="44"/>
        <v>8.7640790814538759E-3</v>
      </c>
      <c r="S333">
        <f t="array" ref="S333">+$B$2*SIN(R333*$B$3+$B$4)+0*R333+ SUM($J$2:$J$20*SIN(2*PI()*N333*$I$2:$I$20+$K$2:$K$20))</f>
        <v>-0.14634635097646992</v>
      </c>
      <c r="U333" s="3">
        <f t="shared" si="40"/>
        <v>1907.5833333333082</v>
      </c>
      <c r="V333" s="3">
        <f t="shared" si="41"/>
        <v>-0.18470800000000001</v>
      </c>
      <c r="Z333" s="1">
        <v>1907.625</v>
      </c>
      <c r="AA333" s="2">
        <f t="shared" si="45"/>
        <v>-7.6848E-2</v>
      </c>
      <c r="AB333">
        <v>-3.8424</v>
      </c>
      <c r="AE333">
        <v>1907.5833333333082</v>
      </c>
      <c r="AF333">
        <v>-0.14634635097646992</v>
      </c>
    </row>
    <row r="334" spans="4:32" x14ac:dyDescent="0.35">
      <c r="D334">
        <v>-0.293576</v>
      </c>
      <c r="M334">
        <f t="shared" si="46"/>
        <v>333</v>
      </c>
      <c r="N334">
        <f t="shared" si="47"/>
        <v>1907.6666666666415</v>
      </c>
      <c r="O334">
        <f t="shared" si="42"/>
        <v>0</v>
      </c>
      <c r="P334">
        <f t="array" ref="P334">+SUM($G$2:$G$18*SIN(2*PI()*(N334)*$B$1/$F$2:$F$18+$H$2:$H$18))</f>
        <v>0.12025743008439505</v>
      </c>
      <c r="Q334">
        <f t="shared" si="43"/>
        <v>0</v>
      </c>
      <c r="R334">
        <f t="shared" si="44"/>
        <v>8.7505986927027702E-3</v>
      </c>
      <c r="S334">
        <f t="array" ref="S334">+$B$2*SIN(R334*$B$3+$B$4)+0*R334+ SUM($J$2:$J$20*SIN(2*PI()*N334*$I$2:$I$20+$K$2:$K$20))</f>
        <v>-0.14821924543264894</v>
      </c>
      <c r="U334" s="3">
        <f t="shared" si="40"/>
        <v>1907.6666666666415</v>
      </c>
      <c r="V334" s="3">
        <f t="shared" si="41"/>
        <v>7.4519999999999994E-3</v>
      </c>
      <c r="Z334" s="1">
        <v>1907.7083</v>
      </c>
      <c r="AA334" s="2">
        <f t="shared" si="45"/>
        <v>-0.133966</v>
      </c>
      <c r="AB334">
        <v>-6.6982999999999997</v>
      </c>
      <c r="AE334">
        <v>1907.6666666666415</v>
      </c>
      <c r="AF334">
        <v>-0.14821924543264894</v>
      </c>
    </row>
    <row r="335" spans="4:32" x14ac:dyDescent="0.35">
      <c r="D335">
        <v>-7.6848E-2</v>
      </c>
      <c r="M335">
        <f t="shared" si="46"/>
        <v>334</v>
      </c>
      <c r="N335">
        <f t="shared" si="47"/>
        <v>1907.7499999999748</v>
      </c>
      <c r="O335">
        <f t="shared" si="42"/>
        <v>0</v>
      </c>
      <c r="P335">
        <f t="array" ref="P335">+SUM($G$2:$G$18*SIN(2*PI()*(N335)*$B$1/$F$2:$F$18+$H$2:$H$18))</f>
        <v>-0.20726892085028908</v>
      </c>
      <c r="Q335">
        <f t="shared" si="43"/>
        <v>0</v>
      </c>
      <c r="R335">
        <f t="shared" si="44"/>
        <v>8.7371390386893587E-3</v>
      </c>
      <c r="S335">
        <f t="array" ref="S335">+$B$2*SIN(R335*$B$3+$B$4)+0*R335+ SUM($J$2:$J$20*SIN(2*PI()*N335*$I$2:$I$20+$K$2:$K$20))</f>
        <v>-0.15008830719789235</v>
      </c>
      <c r="U335" s="3">
        <f t="shared" si="40"/>
        <v>1907.7499999999748</v>
      </c>
      <c r="V335" s="3">
        <f t="shared" si="41"/>
        <v>2.4228E-2</v>
      </c>
      <c r="Z335" s="1">
        <v>1907.7917</v>
      </c>
      <c r="AA335" s="2">
        <f t="shared" si="45"/>
        <v>-0.395704</v>
      </c>
      <c r="AB335">
        <v>-19.7852</v>
      </c>
      <c r="AE335">
        <v>1907.7499999999748</v>
      </c>
      <c r="AF335">
        <v>-0.15008830719789235</v>
      </c>
    </row>
    <row r="336" spans="4:32" x14ac:dyDescent="0.35">
      <c r="D336">
        <v>-0.133966</v>
      </c>
      <c r="M336">
        <f t="shared" si="46"/>
        <v>335</v>
      </c>
      <c r="N336">
        <f t="shared" si="47"/>
        <v>1907.833333333308</v>
      </c>
      <c r="O336">
        <f t="shared" si="42"/>
        <v>0</v>
      </c>
      <c r="P336">
        <f t="array" ref="P336">+SUM($G$2:$G$18*SIN(2*PI()*(N336)*$B$1/$F$2:$F$18+$H$2:$H$18))</f>
        <v>7.7306152205999207E-2</v>
      </c>
      <c r="Q336">
        <f t="shared" si="43"/>
        <v>0</v>
      </c>
      <c r="R336">
        <f t="shared" si="44"/>
        <v>8.7237000875206912E-3</v>
      </c>
      <c r="S336">
        <f t="array" ref="S336">+$B$2*SIN(R336*$B$3+$B$4)+0*R336+ SUM($J$2:$J$20*SIN(2*PI()*N336*$I$2:$I$20+$K$2:$K$20))</f>
        <v>-0.15195353312657173</v>
      </c>
      <c r="U336" s="3">
        <f t="shared" si="40"/>
        <v>1907.833333333308</v>
      </c>
      <c r="V336" s="3">
        <f t="shared" si="41"/>
        <v>-0.18668999999999999</v>
      </c>
      <c r="Z336" s="1">
        <v>1907.875</v>
      </c>
      <c r="AA336" s="2">
        <f t="shared" si="45"/>
        <v>-0.44821</v>
      </c>
      <c r="AB336">
        <v>-22.410499999999999</v>
      </c>
      <c r="AE336">
        <v>1907.833333333308</v>
      </c>
      <c r="AF336">
        <v>-0.15195353312657173</v>
      </c>
    </row>
    <row r="337" spans="4:32" x14ac:dyDescent="0.35">
      <c r="D337">
        <v>-0.395704</v>
      </c>
      <c r="M337">
        <f t="shared" si="46"/>
        <v>336</v>
      </c>
      <c r="N337">
        <f t="shared" si="47"/>
        <v>1907.9166666666413</v>
      </c>
      <c r="O337">
        <f t="shared" si="42"/>
        <v>0</v>
      </c>
      <c r="P337">
        <f t="array" ref="P337">+SUM($G$2:$G$18*SIN(2*PI()*(N337)*$B$1/$F$2:$F$18+$H$2:$H$18))</f>
        <v>0.18174402893827349</v>
      </c>
      <c r="Q337">
        <f t="shared" si="43"/>
        <v>0</v>
      </c>
      <c r="R337">
        <f t="shared" si="44"/>
        <v>8.7102818073528775E-3</v>
      </c>
      <c r="S337">
        <f t="array" ref="S337">+$B$2*SIN(R337*$B$3+$B$4)+0*R337+ SUM($J$2:$J$20*SIN(2*PI()*N337*$I$2:$I$20+$K$2:$K$20))</f>
        <v>-0.15381492016695689</v>
      </c>
      <c r="U337" s="3">
        <f t="shared" si="40"/>
        <v>1907.9166666666413</v>
      </c>
      <c r="V337" s="3">
        <f t="shared" si="41"/>
        <v>-0.46222600000000003</v>
      </c>
      <c r="Z337" s="1">
        <v>1907.9583</v>
      </c>
      <c r="AA337" s="2">
        <f t="shared" si="45"/>
        <v>-0.494562</v>
      </c>
      <c r="AB337">
        <v>-24.728100000000001</v>
      </c>
      <c r="AE337">
        <v>1907.9166666666413</v>
      </c>
      <c r="AF337">
        <v>-0.15381492016695689</v>
      </c>
    </row>
    <row r="338" spans="4:32" x14ac:dyDescent="0.35">
      <c r="D338">
        <v>-0.44821</v>
      </c>
      <c r="M338">
        <f t="shared" si="46"/>
        <v>337</v>
      </c>
      <c r="N338">
        <f t="shared" si="47"/>
        <v>1907.9999999999745</v>
      </c>
      <c r="O338">
        <f t="shared" si="42"/>
        <v>36.637715116165623</v>
      </c>
      <c r="P338">
        <f t="array" ref="P338">+SUM($G$2:$G$18*SIN(2*PI()*(N338)*$B$1/$F$2:$F$18+$H$2:$H$18))</f>
        <v>-0.29148628266826698</v>
      </c>
      <c r="Q338">
        <f t="shared" si="43"/>
        <v>-10.67939138467009</v>
      </c>
      <c r="R338">
        <f t="shared" si="44"/>
        <v>-7.7295248324970988E-3</v>
      </c>
      <c r="S338">
        <f t="array" ref="S338">+$B$2*SIN(R338*$B$3+$B$4)+0*R338+ SUM($J$2:$J$20*SIN(2*PI()*N338*$I$2:$I$20+$K$2:$K$20))</f>
        <v>0.11871082132143694</v>
      </c>
      <c r="U338" s="3">
        <f t="shared" si="40"/>
        <v>1907.9999999999745</v>
      </c>
      <c r="V338" s="3">
        <f t="shared" si="41"/>
        <v>-0.49776000000000004</v>
      </c>
      <c r="Z338" s="1">
        <v>1908.0417</v>
      </c>
      <c r="AA338" s="2">
        <f t="shared" si="45"/>
        <v>-0.40245600000000004</v>
      </c>
      <c r="AB338">
        <v>-20.122800000000002</v>
      </c>
      <c r="AE338">
        <v>1907.9999999999745</v>
      </c>
      <c r="AF338">
        <v>0.11871082132143694</v>
      </c>
    </row>
    <row r="339" spans="4:32" x14ac:dyDescent="0.35">
      <c r="D339">
        <v>-0.494562</v>
      </c>
      <c r="M339">
        <f t="shared" si="46"/>
        <v>338</v>
      </c>
      <c r="N339">
        <f t="shared" si="47"/>
        <v>1908.0833333333078</v>
      </c>
      <c r="O339">
        <f t="shared" si="42"/>
        <v>0</v>
      </c>
      <c r="P339">
        <f t="array" ref="P339">+SUM($G$2:$G$18*SIN(2*PI()*(N339)*$B$1/$F$2:$F$18+$H$2:$H$18))</f>
        <v>-0.44125950906039685</v>
      </c>
      <c r="Q339">
        <f t="shared" si="43"/>
        <v>0</v>
      </c>
      <c r="R339">
        <f t="shared" si="44"/>
        <v>-7.7176357339808748E-3</v>
      </c>
      <c r="S339">
        <f t="array" ref="S339">+$B$2*SIN(R339*$B$3+$B$4)+0*R339+ SUM($J$2:$J$20*SIN(2*PI()*N339*$I$2:$I$20+$K$2:$K$20))</f>
        <v>0.11704723697457335</v>
      </c>
      <c r="U339" s="3">
        <f t="shared" si="40"/>
        <v>1908.0833333333078</v>
      </c>
      <c r="V339" s="3">
        <f t="shared" si="41"/>
        <v>-0.45329799999999998</v>
      </c>
      <c r="Z339" s="1">
        <v>1908.125</v>
      </c>
      <c r="AA339" s="2">
        <f t="shared" si="45"/>
        <v>-0.474966</v>
      </c>
      <c r="AB339">
        <v>-23.7483</v>
      </c>
      <c r="AE339">
        <v>1908.0833333333078</v>
      </c>
      <c r="AF339">
        <v>0.11704723697457335</v>
      </c>
    </row>
    <row r="340" spans="4:32" x14ac:dyDescent="0.35">
      <c r="D340">
        <v>-0.40245600000000004</v>
      </c>
      <c r="M340">
        <f t="shared" si="46"/>
        <v>339</v>
      </c>
      <c r="N340">
        <f t="shared" si="47"/>
        <v>1908.166666666641</v>
      </c>
      <c r="O340">
        <f t="shared" si="42"/>
        <v>0</v>
      </c>
      <c r="P340">
        <f t="array" ref="P340">+SUM($G$2:$G$18*SIN(2*PI()*(N340)*$B$1/$F$2:$F$18+$H$2:$H$18))</f>
        <v>1.7777078067064286E-2</v>
      </c>
      <c r="Q340">
        <f t="shared" si="43"/>
        <v>0</v>
      </c>
      <c r="R340">
        <f t="shared" si="44"/>
        <v>-7.7057649225737027E-3</v>
      </c>
      <c r="S340">
        <f t="array" ref="S340">+$B$2*SIN(R340*$B$3+$B$4)+0*R340+ SUM($J$2:$J$20*SIN(2*PI()*N340*$I$2:$I$20+$K$2:$K$20))</f>
        <v>0.11538562672683157</v>
      </c>
      <c r="U340" s="3">
        <f t="shared" si="40"/>
        <v>1908.166666666641</v>
      </c>
      <c r="V340" s="3">
        <f t="shared" si="41"/>
        <v>-0.33191400000000004</v>
      </c>
      <c r="Z340" s="1">
        <v>1908.2083</v>
      </c>
      <c r="AA340" s="2">
        <f t="shared" si="45"/>
        <v>-0.64593800000000001</v>
      </c>
      <c r="AB340">
        <v>-32.296900000000001</v>
      </c>
      <c r="AE340">
        <v>1908.166666666641</v>
      </c>
      <c r="AF340">
        <v>0.11538562672683157</v>
      </c>
    </row>
    <row r="341" spans="4:32" x14ac:dyDescent="0.35">
      <c r="D341">
        <v>-0.474966</v>
      </c>
      <c r="M341">
        <f t="shared" si="46"/>
        <v>340</v>
      </c>
      <c r="N341">
        <f t="shared" si="47"/>
        <v>1908.2499999999743</v>
      </c>
      <c r="O341">
        <f t="shared" si="42"/>
        <v>0</v>
      </c>
      <c r="P341">
        <f t="array" ref="P341">+SUM($G$2:$G$18*SIN(2*PI()*(N341)*$B$1/$F$2:$F$18+$H$2:$H$18))</f>
        <v>0.4646780307693022</v>
      </c>
      <c r="Q341">
        <f t="shared" si="43"/>
        <v>0</v>
      </c>
      <c r="R341">
        <f t="shared" si="44"/>
        <v>-7.6939123701474307E-3</v>
      </c>
      <c r="S341">
        <f t="array" ref="S341">+$B$2*SIN(R341*$B$3+$B$4)+0*R341+ SUM($J$2:$J$20*SIN(2*PI()*N341*$I$2:$I$20+$K$2:$K$20))</f>
        <v>0.11372599761443945</v>
      </c>
      <c r="U341" s="3">
        <f t="shared" si="40"/>
        <v>1908.2499999999743</v>
      </c>
      <c r="V341" s="3">
        <f t="shared" si="41"/>
        <v>0.112548</v>
      </c>
      <c r="Z341" s="1">
        <v>1908.2917</v>
      </c>
      <c r="AA341" s="2">
        <f t="shared" si="45"/>
        <v>-0.976912</v>
      </c>
      <c r="AB341">
        <v>-48.845599999999997</v>
      </c>
      <c r="AE341">
        <v>1908.2499999999743</v>
      </c>
      <c r="AF341">
        <v>0.11372599761443945</v>
      </c>
    </row>
    <row r="342" spans="4:32" x14ac:dyDescent="0.35">
      <c r="D342">
        <v>-0.64593800000000001</v>
      </c>
      <c r="M342">
        <f t="shared" si="46"/>
        <v>341</v>
      </c>
      <c r="N342">
        <f t="shared" si="47"/>
        <v>1908.3333333333076</v>
      </c>
      <c r="O342">
        <f t="shared" si="42"/>
        <v>0</v>
      </c>
      <c r="P342">
        <f t="array" ref="P342">+SUM($G$2:$G$18*SIN(2*PI()*(N342)*$B$1/$F$2:$F$18+$H$2:$H$18))</f>
        <v>0.3233127108829863</v>
      </c>
      <c r="Q342">
        <f t="shared" si="43"/>
        <v>0</v>
      </c>
      <c r="R342">
        <f t="shared" si="44"/>
        <v>-7.6820780486171738E-3</v>
      </c>
      <c r="S342">
        <f t="array" ref="S342">+$B$2*SIN(R342*$B$3+$B$4)+0*R342+ SUM($J$2:$J$20*SIN(2*PI()*N342*$I$2:$I$20+$K$2:$K$20))</f>
        <v>0.11206835659656611</v>
      </c>
      <c r="U342" s="3">
        <f t="shared" si="40"/>
        <v>1908.3333333333076</v>
      </c>
      <c r="V342" s="3">
        <f t="shared" si="41"/>
        <v>-0.116838</v>
      </c>
      <c r="Z342" s="1">
        <v>1908.375</v>
      </c>
      <c r="AA342" s="2">
        <f t="shared" si="45"/>
        <v>-1.2740400000000001</v>
      </c>
      <c r="AB342">
        <v>-63.701999999999998</v>
      </c>
      <c r="AE342">
        <v>1908.3333333333076</v>
      </c>
      <c r="AF342">
        <v>0.11206835659656611</v>
      </c>
    </row>
    <row r="343" spans="4:32" x14ac:dyDescent="0.35">
      <c r="D343">
        <v>-0.976912</v>
      </c>
      <c r="M343">
        <f t="shared" si="46"/>
        <v>342</v>
      </c>
      <c r="N343">
        <f t="shared" si="47"/>
        <v>1908.4166666666408</v>
      </c>
      <c r="O343">
        <f t="shared" si="42"/>
        <v>0</v>
      </c>
      <c r="P343">
        <f t="array" ref="P343">+SUM($G$2:$G$18*SIN(2*PI()*(N343)*$B$1/$F$2:$F$18+$H$2:$H$18))</f>
        <v>-0.36073184228483024</v>
      </c>
      <c r="Q343">
        <f t="shared" si="43"/>
        <v>0</v>
      </c>
      <c r="R343">
        <f t="shared" si="44"/>
        <v>-7.6702619299412441E-3</v>
      </c>
      <c r="S343">
        <f t="array" ref="S343">+$B$2*SIN(R343*$B$3+$B$4)+0*R343+ SUM($J$2:$J$20*SIN(2*PI()*N343*$I$2:$I$20+$K$2:$K$20))</f>
        <v>0.11041271055574803</v>
      </c>
      <c r="U343" s="3">
        <f t="shared" si="40"/>
        <v>1908.4166666666408</v>
      </c>
      <c r="V343" s="3">
        <f t="shared" si="41"/>
        <v>7.3773999999999992E-2</v>
      </c>
      <c r="Z343" s="1">
        <v>1908.4583</v>
      </c>
      <c r="AA343" s="2">
        <f t="shared" si="45"/>
        <v>-0.96962999999999999</v>
      </c>
      <c r="AB343">
        <v>-48.481499999999997</v>
      </c>
      <c r="AE343">
        <v>1908.4166666666408</v>
      </c>
      <c r="AF343">
        <v>0.11041271055574803</v>
      </c>
    </row>
    <row r="344" spans="4:32" x14ac:dyDescent="0.35">
      <c r="D344">
        <v>-1.2740400000000001</v>
      </c>
      <c r="M344">
        <f t="shared" si="46"/>
        <v>343</v>
      </c>
      <c r="N344">
        <f t="shared" si="47"/>
        <v>1908.4999999999741</v>
      </c>
      <c r="O344">
        <f t="shared" si="42"/>
        <v>0</v>
      </c>
      <c r="P344">
        <f t="array" ref="P344">+SUM($G$2:$G$18*SIN(2*PI()*(N344)*$B$1/$F$2:$F$18+$H$2:$H$18))</f>
        <v>-0.56567018476490527</v>
      </c>
      <c r="Q344">
        <f t="shared" si="43"/>
        <v>0</v>
      </c>
      <c r="R344">
        <f t="shared" si="44"/>
        <v>-7.6584639861210866E-3</v>
      </c>
      <c r="S344">
        <f t="array" ref="S344">+$B$2*SIN(R344*$B$3+$B$4)+0*R344+ SUM($J$2:$J$20*SIN(2*PI()*N344*$I$2:$I$20+$K$2:$K$20))</f>
        <v>0.10875906629831363</v>
      </c>
      <c r="U344" s="3">
        <f t="shared" si="40"/>
        <v>1908.4999999999741</v>
      </c>
      <c r="V344" s="3">
        <f t="shared" si="41"/>
        <v>0.29361599999999999</v>
      </c>
      <c r="Z344" s="1">
        <v>1908.5417</v>
      </c>
      <c r="AA344" s="2">
        <f t="shared" si="45"/>
        <v>-1.0959940000000001</v>
      </c>
      <c r="AB344">
        <v>-54.799700000000001</v>
      </c>
      <c r="AE344">
        <v>1908.4999999999741</v>
      </c>
      <c r="AF344">
        <v>0.10875906629831363</v>
      </c>
    </row>
    <row r="345" spans="4:32" x14ac:dyDescent="0.35">
      <c r="D345">
        <v>-0.96962999999999999</v>
      </c>
      <c r="M345">
        <f t="shared" si="46"/>
        <v>344</v>
      </c>
      <c r="N345">
        <f t="shared" si="47"/>
        <v>1908.5833333333073</v>
      </c>
      <c r="O345">
        <f t="shared" si="42"/>
        <v>0</v>
      </c>
      <c r="P345">
        <f t="array" ref="P345">+SUM($G$2:$G$18*SIN(2*PI()*(N345)*$B$1/$F$2:$F$18+$H$2:$H$18))</f>
        <v>-1.2259488400684498E-3</v>
      </c>
      <c r="Q345">
        <f t="shared" si="43"/>
        <v>0</v>
      </c>
      <c r="R345">
        <f t="shared" si="44"/>
        <v>-7.6466841892012111E-3</v>
      </c>
      <c r="S345">
        <f t="array" ref="S345">+$B$2*SIN(R345*$B$3+$B$4)+0*R345+ SUM($J$2:$J$20*SIN(2*PI()*N345*$I$2:$I$20+$K$2:$K$20))</f>
        <v>0.10710743055480755</v>
      </c>
      <c r="U345" s="3">
        <f t="shared" si="40"/>
        <v>1908.5833333333073</v>
      </c>
      <c r="V345" s="3">
        <f t="shared" si="41"/>
        <v>0.336534</v>
      </c>
      <c r="Z345" s="1">
        <v>1908.625</v>
      </c>
      <c r="AA345" s="2">
        <f t="shared" si="45"/>
        <v>-0.85774000000000006</v>
      </c>
      <c r="AB345">
        <v>-42.887</v>
      </c>
      <c r="AE345">
        <v>1908.5833333333073</v>
      </c>
      <c r="AF345">
        <v>0.10710743055480755</v>
      </c>
    </row>
    <row r="346" spans="4:32" x14ac:dyDescent="0.35">
      <c r="D346">
        <v>-1.0959940000000001</v>
      </c>
      <c r="M346">
        <f t="shared" si="46"/>
        <v>345</v>
      </c>
      <c r="N346">
        <f t="shared" si="47"/>
        <v>1908.6666666666406</v>
      </c>
      <c r="O346">
        <f t="shared" si="42"/>
        <v>0</v>
      </c>
      <c r="P346">
        <f t="array" ref="P346">+SUM($G$2:$G$18*SIN(2*PI()*(N346)*$B$1/$F$2:$F$18+$H$2:$H$18))</f>
        <v>7.6189722516795538E-2</v>
      </c>
      <c r="Q346">
        <f t="shared" si="43"/>
        <v>0</v>
      </c>
      <c r="R346">
        <f t="shared" si="44"/>
        <v>-7.6349225112691283E-3</v>
      </c>
      <c r="S346">
        <f t="array" ref="S346">+$B$2*SIN(R346*$B$3+$B$4)+0*R346+ SUM($J$2:$J$20*SIN(2*PI()*N346*$I$2:$I$20+$K$2:$K$20))</f>
        <v>0.10545780998041275</v>
      </c>
      <c r="U346" s="3">
        <f t="shared" si="40"/>
        <v>1908.6666666666406</v>
      </c>
      <c r="V346" s="3">
        <f t="shared" si="41"/>
        <v>0.53022000000000002</v>
      </c>
      <c r="Z346" s="1">
        <v>1908.7083</v>
      </c>
      <c r="AA346" s="2">
        <f t="shared" si="45"/>
        <v>-1.2502580000000001</v>
      </c>
      <c r="AB346">
        <v>-62.512900000000002</v>
      </c>
      <c r="AE346">
        <v>1908.6666666666406</v>
      </c>
      <c r="AF346">
        <v>0.10545780998041275</v>
      </c>
    </row>
    <row r="347" spans="4:32" x14ac:dyDescent="0.35">
      <c r="D347">
        <v>-0.85774000000000006</v>
      </c>
      <c r="M347">
        <f t="shared" si="46"/>
        <v>346</v>
      </c>
      <c r="N347">
        <f t="shared" si="47"/>
        <v>1908.7499999999739</v>
      </c>
      <c r="O347">
        <f t="shared" si="42"/>
        <v>0</v>
      </c>
      <c r="P347">
        <f t="array" ref="P347">+SUM($G$2:$G$18*SIN(2*PI()*(N347)*$B$1/$F$2:$F$18+$H$2:$H$18))</f>
        <v>-0.52706270302805813</v>
      </c>
      <c r="Q347">
        <f t="shared" si="43"/>
        <v>0</v>
      </c>
      <c r="R347">
        <f t="shared" si="44"/>
        <v>-7.623178924455281E-3</v>
      </c>
      <c r="S347">
        <f t="array" ref="S347">+$B$2*SIN(R347*$B$3+$B$4)+0*R347+ SUM($J$2:$J$20*SIN(2*PI()*N347*$I$2:$I$20+$K$2:$K$20))</f>
        <v>0.10381021115537005</v>
      </c>
      <c r="U347" s="3">
        <f t="shared" si="40"/>
        <v>1908.7499999999739</v>
      </c>
      <c r="V347" s="3">
        <f t="shared" si="41"/>
        <v>0.52851999999999999</v>
      </c>
      <c r="Z347" s="1">
        <v>1908.7917</v>
      </c>
      <c r="AA347" s="2">
        <f t="shared" si="45"/>
        <v>-1.1597</v>
      </c>
      <c r="AB347">
        <v>-57.984999999999999</v>
      </c>
      <c r="AE347">
        <v>1908.7499999999739</v>
      </c>
      <c r="AF347">
        <v>0.10381021115537005</v>
      </c>
    </row>
    <row r="348" spans="4:32" x14ac:dyDescent="0.35">
      <c r="D348">
        <v>-1.2502580000000001</v>
      </c>
      <c r="M348">
        <f t="shared" si="46"/>
        <v>347</v>
      </c>
      <c r="N348">
        <f t="shared" si="47"/>
        <v>1908.8333333333071</v>
      </c>
      <c r="O348">
        <f t="shared" si="42"/>
        <v>0</v>
      </c>
      <c r="P348">
        <f t="array" ref="P348">+SUM($G$2:$G$18*SIN(2*PI()*(N348)*$B$1/$F$2:$F$18+$H$2:$H$18))</f>
        <v>-0.61204193450172129</v>
      </c>
      <c r="Q348">
        <f t="shared" si="43"/>
        <v>0</v>
      </c>
      <c r="R348">
        <f t="shared" si="44"/>
        <v>-7.6114534009329802E-3</v>
      </c>
      <c r="S348">
        <f t="array" ref="S348">+$B$2*SIN(R348*$B$3+$B$4)+0*R348+ SUM($J$2:$J$20*SIN(2*PI()*N348*$I$2:$I$20+$K$2:$K$20))</f>
        <v>0.10216464058539809</v>
      </c>
      <c r="U348" s="3">
        <f t="shared" si="40"/>
        <v>1908.8333333333071</v>
      </c>
      <c r="V348" s="3">
        <f t="shared" si="41"/>
        <v>0.625282</v>
      </c>
      <c r="Z348" s="1">
        <v>1908.875</v>
      </c>
      <c r="AA348" s="2">
        <f t="shared" si="45"/>
        <v>-1.067604</v>
      </c>
      <c r="AB348">
        <v>-53.380200000000002</v>
      </c>
      <c r="AE348">
        <v>1908.8333333333071</v>
      </c>
      <c r="AF348">
        <v>0.10216464058539809</v>
      </c>
    </row>
    <row r="349" spans="4:32" x14ac:dyDescent="0.35">
      <c r="D349">
        <v>-1.1597</v>
      </c>
      <c r="M349">
        <f t="shared" si="46"/>
        <v>348</v>
      </c>
      <c r="N349">
        <f t="shared" si="47"/>
        <v>1908.9166666666404</v>
      </c>
      <c r="O349">
        <f t="shared" si="42"/>
        <v>0</v>
      </c>
      <c r="P349">
        <f t="array" ref="P349">+SUM($G$2:$G$18*SIN(2*PI()*(N349)*$B$1/$F$2:$F$18+$H$2:$H$18))</f>
        <v>7.7941246038681078E-3</v>
      </c>
      <c r="Q349">
        <f t="shared" si="43"/>
        <v>0</v>
      </c>
      <c r="R349">
        <f t="shared" si="44"/>
        <v>-7.5997459129183379E-3</v>
      </c>
      <c r="S349">
        <f t="array" ref="S349">+$B$2*SIN(R349*$B$3+$B$4)+0*R349+ SUM($J$2:$J$20*SIN(2*PI()*N349*$I$2:$I$20+$K$2:$K$20))</f>
        <v>0.10052110470211108</v>
      </c>
      <c r="U349" s="3">
        <f t="shared" si="40"/>
        <v>1908.9166666666404</v>
      </c>
      <c r="V349" s="3">
        <f t="shared" si="41"/>
        <v>0.80665400000000009</v>
      </c>
      <c r="Z349" s="1">
        <v>1908.9583</v>
      </c>
      <c r="AA349" s="2">
        <f t="shared" si="45"/>
        <v>-0.92320199999999997</v>
      </c>
      <c r="AB349">
        <v>-46.1601</v>
      </c>
      <c r="AE349">
        <v>1908.9166666666404</v>
      </c>
      <c r="AF349">
        <v>0.10052110470211108</v>
      </c>
    </row>
    <row r="350" spans="4:32" x14ac:dyDescent="0.35">
      <c r="D350">
        <v>-1.067604</v>
      </c>
      <c r="M350">
        <f t="shared" si="46"/>
        <v>349</v>
      </c>
      <c r="N350">
        <f t="shared" si="47"/>
        <v>1908.9999999999736</v>
      </c>
      <c r="O350">
        <f t="shared" si="42"/>
        <v>36.637715116165623</v>
      </c>
      <c r="P350">
        <f t="array" ref="P350">+SUM($G$2:$G$18*SIN(2*PI()*(N350)*$B$1/$F$2:$F$18+$H$2:$H$18))</f>
        <v>0.4443374921428081</v>
      </c>
      <c r="Q350">
        <f t="shared" si="43"/>
        <v>16.279510452559684</v>
      </c>
      <c r="R350">
        <f t="shared" si="44"/>
        <v>1.7452124918795487E-2</v>
      </c>
      <c r="S350">
        <f t="array" ref="S350">+$B$2*SIN(R350*$B$3+$B$4)+0*R350+ SUM($J$2:$J$20*SIN(2*PI()*N350*$I$2:$I$20+$K$2:$K$20))</f>
        <v>0.74625608523925513</v>
      </c>
      <c r="U350" s="3">
        <f t="shared" si="40"/>
        <v>1908.9999999999736</v>
      </c>
      <c r="V350" s="3">
        <f t="shared" si="41"/>
        <v>0.78033600000000003</v>
      </c>
      <c r="Z350" s="1">
        <v>1909.0417</v>
      </c>
      <c r="AA350" s="2">
        <f t="shared" si="45"/>
        <v>-0.76495599999999997</v>
      </c>
      <c r="AB350">
        <v>-38.247799999999998</v>
      </c>
      <c r="AE350">
        <v>1908.9999999999736</v>
      </c>
      <c r="AF350">
        <v>0.74625608523925513</v>
      </c>
    </row>
    <row r="351" spans="4:32" x14ac:dyDescent="0.35">
      <c r="D351">
        <v>-0.92320199999999997</v>
      </c>
      <c r="M351">
        <f t="shared" si="46"/>
        <v>350</v>
      </c>
      <c r="N351">
        <f t="shared" si="47"/>
        <v>1909.0833333333069</v>
      </c>
      <c r="O351">
        <f t="shared" si="42"/>
        <v>0</v>
      </c>
      <c r="P351">
        <f t="array" ref="P351">+SUM($G$2:$G$18*SIN(2*PI()*(N351)*$B$1/$F$2:$F$18+$H$2:$H$18))</f>
        <v>1.0629573882360605E-2</v>
      </c>
      <c r="Q351">
        <f t="shared" si="43"/>
        <v>0</v>
      </c>
      <c r="R351">
        <f t="shared" si="44"/>
        <v>1.7425281091138105E-2</v>
      </c>
      <c r="S351">
        <f t="array" ref="S351">+$B$2*SIN(R351*$B$3+$B$4)+0*R351+ SUM($J$2:$J$20*SIN(2*PI()*N351*$I$2:$I$20+$K$2:$K$20))</f>
        <v>0.74574877534090056</v>
      </c>
      <c r="U351" s="3">
        <f t="shared" si="40"/>
        <v>1909.0833333333069</v>
      </c>
      <c r="V351" s="3">
        <f t="shared" si="41"/>
        <v>0.87248000000000003</v>
      </c>
      <c r="Z351" s="1">
        <v>1909.125</v>
      </c>
      <c r="AA351" s="2">
        <f t="shared" si="45"/>
        <v>-0.52978599999999998</v>
      </c>
      <c r="AB351">
        <v>-26.4893</v>
      </c>
      <c r="AE351">
        <v>1909.0833333333069</v>
      </c>
      <c r="AF351">
        <v>0.74574877534090056</v>
      </c>
    </row>
    <row r="352" spans="4:32" x14ac:dyDescent="0.35">
      <c r="D352">
        <v>-0.76495599999999997</v>
      </c>
      <c r="M352">
        <f t="shared" si="46"/>
        <v>351</v>
      </c>
      <c r="N352">
        <f t="shared" si="47"/>
        <v>1909.1666666666401</v>
      </c>
      <c r="O352">
        <f t="shared" si="42"/>
        <v>0</v>
      </c>
      <c r="P352">
        <f t="array" ref="P352">+SUM($G$2:$G$18*SIN(2*PI()*(N352)*$B$1/$F$2:$F$18+$H$2:$H$18))</f>
        <v>-0.84394185948574596</v>
      </c>
      <c r="Q352">
        <f t="shared" si="43"/>
        <v>0</v>
      </c>
      <c r="R352">
        <f t="shared" si="44"/>
        <v>1.7398478553070768E-2</v>
      </c>
      <c r="S352">
        <f t="array" ref="S352">+$B$2*SIN(R352*$B$3+$B$4)+0*R352+ SUM($J$2:$J$20*SIN(2*PI()*N352*$I$2:$I$20+$K$2:$K$20))</f>
        <v>0.74522325367396836</v>
      </c>
      <c r="U352" s="3">
        <f t="shared" si="40"/>
        <v>1909.1666666666401</v>
      </c>
      <c r="V352" s="3">
        <f t="shared" si="41"/>
        <v>0.64461799999999991</v>
      </c>
      <c r="Z352" s="1">
        <v>1909.2083</v>
      </c>
      <c r="AA352" s="2">
        <f t="shared" si="45"/>
        <v>-0.51615600000000006</v>
      </c>
      <c r="AB352">
        <v>-25.8078</v>
      </c>
      <c r="AE352">
        <v>1909.1666666666401</v>
      </c>
      <c r="AF352">
        <v>0.74522325367396836</v>
      </c>
    </row>
    <row r="353" spans="4:32" x14ac:dyDescent="0.35">
      <c r="D353">
        <v>-0.52978599999999998</v>
      </c>
      <c r="M353">
        <f t="shared" si="46"/>
        <v>352</v>
      </c>
      <c r="N353">
        <f t="shared" si="47"/>
        <v>1909.2499999999734</v>
      </c>
      <c r="O353">
        <f t="shared" si="42"/>
        <v>0</v>
      </c>
      <c r="P353">
        <f t="array" ref="P353">+SUM($G$2:$G$18*SIN(2*PI()*(N353)*$B$1/$F$2:$F$18+$H$2:$H$18))</f>
        <v>-0.77195566410103755</v>
      </c>
      <c r="Q353">
        <f t="shared" si="43"/>
        <v>0</v>
      </c>
      <c r="R353">
        <f t="shared" si="44"/>
        <v>1.7371717241084265E-2</v>
      </c>
      <c r="S353">
        <f t="array" ref="S353">+$B$2*SIN(R353*$B$3+$B$4)+0*R353+ SUM($J$2:$J$20*SIN(2*PI()*N353*$I$2:$I$20+$K$2:$K$20))</f>
        <v>0.74467961997281673</v>
      </c>
      <c r="U353" s="3">
        <f t="shared" si="40"/>
        <v>1909.2499999999734</v>
      </c>
      <c r="V353" s="3">
        <f t="shared" si="41"/>
        <v>0.59060400000000002</v>
      </c>
      <c r="Z353" s="1">
        <v>1909.2917</v>
      </c>
      <c r="AA353" s="2">
        <f t="shared" si="45"/>
        <v>-0.65022199999999997</v>
      </c>
      <c r="AB353">
        <v>-32.511099999999999</v>
      </c>
      <c r="AE353">
        <v>1909.2499999999734</v>
      </c>
      <c r="AF353">
        <v>0.74467961997281673</v>
      </c>
    </row>
    <row r="354" spans="4:32" x14ac:dyDescent="0.35">
      <c r="D354">
        <v>-0.51615600000000006</v>
      </c>
      <c r="M354">
        <f t="shared" si="46"/>
        <v>353</v>
      </c>
      <c r="N354">
        <f t="shared" si="47"/>
        <v>1909.3333333333067</v>
      </c>
      <c r="O354">
        <f t="shared" si="42"/>
        <v>0</v>
      </c>
      <c r="P354">
        <f t="array" ref="P354">+SUM($G$2:$G$18*SIN(2*PI()*(N354)*$B$1/$F$2:$F$18+$H$2:$H$18))</f>
        <v>6.8221824939628056E-2</v>
      </c>
      <c r="Q354">
        <f t="shared" si="43"/>
        <v>0</v>
      </c>
      <c r="R354">
        <f t="shared" si="44"/>
        <v>1.7344997091767077E-2</v>
      </c>
      <c r="S354">
        <f t="array" ref="S354">+$B$2*SIN(R354*$B$3+$B$4)+0*R354+ SUM($J$2:$J$20*SIN(2*PI()*N354*$I$2:$I$20+$K$2:$K$20))</f>
        <v>0.74411797401535051</v>
      </c>
      <c r="U354" s="3">
        <f t="shared" si="40"/>
        <v>1909.3333333333067</v>
      </c>
      <c r="V354" s="3">
        <f t="shared" si="41"/>
        <v>0.59812799999999999</v>
      </c>
      <c r="Z354" s="1">
        <v>1909.375</v>
      </c>
      <c r="AA354" s="2">
        <f t="shared" si="45"/>
        <v>-0.35505600000000004</v>
      </c>
      <c r="AB354">
        <v>-17.752800000000001</v>
      </c>
      <c r="AE354">
        <v>1909.3333333333067</v>
      </c>
      <c r="AF354">
        <v>0.74411797401535051</v>
      </c>
    </row>
    <row r="355" spans="4:32" x14ac:dyDescent="0.35">
      <c r="D355">
        <v>-0.65022199999999997</v>
      </c>
      <c r="M355">
        <f t="shared" si="46"/>
        <v>354</v>
      </c>
      <c r="N355">
        <f t="shared" si="47"/>
        <v>1909.4166666666399</v>
      </c>
      <c r="O355">
        <f t="shared" si="42"/>
        <v>0</v>
      </c>
      <c r="P355">
        <f t="array" ref="P355">+SUM($G$2:$G$18*SIN(2*PI()*(N355)*$B$1/$F$2:$F$18+$H$2:$H$18))</f>
        <v>9.7697955502584422E-2</v>
      </c>
      <c r="Q355">
        <f t="shared" si="43"/>
        <v>0</v>
      </c>
      <c r="R355">
        <f t="shared" si="44"/>
        <v>1.7318318041805215E-2</v>
      </c>
      <c r="S355">
        <f t="array" ref="S355">+$B$2*SIN(R355*$B$3+$B$4)+0*R355+ SUM($J$2:$J$20*SIN(2*PI()*N355*$I$2:$I$20+$K$2:$K$20))</f>
        <v>0.7435384156171384</v>
      </c>
      <c r="U355" s="3">
        <f t="shared" si="40"/>
        <v>1909.4166666666399</v>
      </c>
      <c r="V355" s="3">
        <f t="shared" si="41"/>
        <v>0.81641800000000009</v>
      </c>
      <c r="Z355" s="1">
        <v>1909.4583</v>
      </c>
      <c r="AA355" s="2">
        <f t="shared" si="45"/>
        <v>-0.18604399999999999</v>
      </c>
      <c r="AB355">
        <v>-9.3021999999999991</v>
      </c>
      <c r="AE355">
        <v>1909.4166666666399</v>
      </c>
      <c r="AF355">
        <v>0.7435384156171384</v>
      </c>
    </row>
    <row r="356" spans="4:32" x14ac:dyDescent="0.35">
      <c r="D356">
        <v>-0.35505600000000004</v>
      </c>
      <c r="M356">
        <f t="shared" si="46"/>
        <v>355</v>
      </c>
      <c r="N356">
        <f t="shared" si="47"/>
        <v>1909.4999999999732</v>
      </c>
      <c r="O356">
        <f t="shared" si="42"/>
        <v>0</v>
      </c>
      <c r="P356">
        <f t="array" ref="P356">+SUM($G$2:$G$18*SIN(2*PI()*(N356)*$B$1/$F$2:$F$18+$H$2:$H$18))</f>
        <v>-0.55853033639612337</v>
      </c>
      <c r="Q356">
        <f t="shared" si="43"/>
        <v>0</v>
      </c>
      <c r="R356">
        <f t="shared" si="44"/>
        <v>1.7291680027982079E-2</v>
      </c>
      <c r="S356">
        <f t="array" ref="S356">+$B$2*SIN(R356*$B$3+$B$4)+0*R356+ SUM($J$2:$J$20*SIN(2*PI()*N356*$I$2:$I$20+$K$2:$K$20))</f>
        <v>0.74294104462559274</v>
      </c>
      <c r="U356" s="3">
        <f t="shared" si="40"/>
        <v>1909.4999999999732</v>
      </c>
      <c r="V356" s="3">
        <f t="shared" si="41"/>
        <v>0.73163200000000006</v>
      </c>
      <c r="Z356" s="1">
        <v>1909.5417</v>
      </c>
      <c r="AA356" s="2">
        <f t="shared" si="45"/>
        <v>-8.6267999999999997E-2</v>
      </c>
      <c r="AB356">
        <v>-4.3133999999999997</v>
      </c>
      <c r="AE356">
        <v>1909.4999999999732</v>
      </c>
      <c r="AF356">
        <v>0.74294104462559274</v>
      </c>
    </row>
    <row r="357" spans="4:32" x14ac:dyDescent="0.35">
      <c r="D357">
        <v>-0.18604399999999999</v>
      </c>
      <c r="M357">
        <f t="shared" si="46"/>
        <v>356</v>
      </c>
      <c r="N357">
        <f t="shared" si="47"/>
        <v>1909.5833333333064</v>
      </c>
      <c r="O357">
        <f t="shared" si="42"/>
        <v>0</v>
      </c>
      <c r="P357">
        <f t="array" ref="P357">+SUM($G$2:$G$18*SIN(2*PI()*(N357)*$B$1/$F$2:$F$18+$H$2:$H$18))</f>
        <v>-0.55415208025734419</v>
      </c>
      <c r="Q357">
        <f t="shared" si="43"/>
        <v>0</v>
      </c>
      <c r="R357">
        <f t="shared" si="44"/>
        <v>1.7265082987178305E-2</v>
      </c>
      <c r="S357">
        <f t="array" ref="S357">+$B$2*SIN(R357*$B$3+$B$4)+0*R357+ SUM($J$2:$J$20*SIN(2*PI()*N357*$I$2:$I$20+$K$2:$K$20))</f>
        <v>0.74232596091420988</v>
      </c>
      <c r="U357" s="3">
        <f t="shared" si="40"/>
        <v>1909.5833333333064</v>
      </c>
      <c r="V357" s="3">
        <f t="shared" si="41"/>
        <v>0.87761399999999989</v>
      </c>
      <c r="Z357" s="1">
        <v>1909.625</v>
      </c>
      <c r="AA357" s="2">
        <f t="shared" si="45"/>
        <v>0.111972</v>
      </c>
      <c r="AB357">
        <v>5.5986000000000002</v>
      </c>
      <c r="AE357">
        <v>1909.5833333333064</v>
      </c>
      <c r="AF357">
        <v>0.74232596091420988</v>
      </c>
    </row>
    <row r="358" spans="4:32" x14ac:dyDescent="0.35">
      <c r="D358">
        <v>-8.6267999999999997E-2</v>
      </c>
      <c r="M358">
        <f t="shared" si="46"/>
        <v>357</v>
      </c>
      <c r="N358">
        <f t="shared" si="47"/>
        <v>1909.6666666666397</v>
      </c>
      <c r="O358">
        <f t="shared" si="42"/>
        <v>0</v>
      </c>
      <c r="P358">
        <f t="array" ref="P358">+SUM($G$2:$G$18*SIN(2*PI()*(N358)*$B$1/$F$2:$F$18+$H$2:$H$18))</f>
        <v>0.12414240023449052</v>
      </c>
      <c r="Q358">
        <f t="shared" si="43"/>
        <v>0</v>
      </c>
      <c r="R358">
        <f t="shared" si="44"/>
        <v>1.7238526856371617E-2</v>
      </c>
      <c r="S358">
        <f t="array" ref="S358">+$B$2*SIN(R358*$B$3+$B$4)+0*R358+ SUM($J$2:$J$20*SIN(2*PI()*N358*$I$2:$I$20+$K$2:$K$20))</f>
        <v>0.74169326437687311</v>
      </c>
      <c r="U358" s="3">
        <f t="shared" si="40"/>
        <v>1909.6666666666397</v>
      </c>
      <c r="V358" s="3">
        <f t="shared" si="41"/>
        <v>1.0574379999999999</v>
      </c>
      <c r="Z358" s="1">
        <v>1909.7083</v>
      </c>
      <c r="AA358" s="2">
        <f t="shared" si="45"/>
        <v>-2.6712E-2</v>
      </c>
      <c r="AB358">
        <v>-1.3355999999999999</v>
      </c>
      <c r="AE358">
        <v>1909.6666666666397</v>
      </c>
      <c r="AF358">
        <v>0.74169326437687311</v>
      </c>
    </row>
    <row r="359" spans="4:32" x14ac:dyDescent="0.35">
      <c r="D359">
        <v>0.111972</v>
      </c>
      <c r="M359">
        <f t="shared" si="46"/>
        <v>358</v>
      </c>
      <c r="N359">
        <f t="shared" si="47"/>
        <v>1909.7499999999729</v>
      </c>
      <c r="O359">
        <f t="shared" si="42"/>
        <v>0</v>
      </c>
      <c r="P359">
        <f t="array" ref="P359">+SUM($G$2:$G$18*SIN(2*PI()*(N359)*$B$1/$F$2:$F$18+$H$2:$H$18))</f>
        <v>0.4479417555361872</v>
      </c>
      <c r="Q359">
        <f t="shared" si="43"/>
        <v>0</v>
      </c>
      <c r="R359">
        <f t="shared" si="44"/>
        <v>1.721201157263667E-2</v>
      </c>
      <c r="S359">
        <f t="array" ref="S359">+$B$2*SIN(R359*$B$3+$B$4)+0*R359+ SUM($J$2:$J$20*SIN(2*PI()*N359*$I$2:$I$20+$K$2:$K$20))</f>
        <v>0.74104305492221534</v>
      </c>
      <c r="U359" s="3">
        <f t="shared" si="40"/>
        <v>1909.7499999999729</v>
      </c>
      <c r="V359" s="3">
        <f t="shared" si="41"/>
        <v>1.09111</v>
      </c>
      <c r="Z359" s="1">
        <v>1909.7917</v>
      </c>
      <c r="AA359" s="2">
        <f t="shared" si="45"/>
        <v>9.1523999999999994E-2</v>
      </c>
      <c r="AB359">
        <v>4.5762</v>
      </c>
      <c r="AE359">
        <v>1909.7499999999729</v>
      </c>
      <c r="AF359">
        <v>0.74104305492221534</v>
      </c>
    </row>
    <row r="360" spans="4:32" x14ac:dyDescent="0.35">
      <c r="D360">
        <v>-2.6712E-2</v>
      </c>
      <c r="M360">
        <f t="shared" si="46"/>
        <v>359</v>
      </c>
      <c r="N360">
        <f t="shared" si="47"/>
        <v>1909.8333333333062</v>
      </c>
      <c r="O360">
        <f t="shared" si="42"/>
        <v>0</v>
      </c>
      <c r="P360">
        <f t="array" ref="P360">+SUM($G$2:$G$18*SIN(2*PI()*(N360)*$B$1/$F$2:$F$18+$H$2:$H$18))</f>
        <v>-0.20417082256535032</v>
      </c>
      <c r="Q360">
        <f t="shared" si="43"/>
        <v>0</v>
      </c>
      <c r="R360">
        <f t="shared" si="44"/>
        <v>1.7185537073144914E-2</v>
      </c>
      <c r="S360">
        <f t="array" ref="S360">+$B$2*SIN(R360*$B$3+$B$4)+0*R360+ SUM($J$2:$J$20*SIN(2*PI()*N360*$I$2:$I$20+$K$2:$K$20))</f>
        <v>0.74037543246804238</v>
      </c>
      <c r="U360" s="3">
        <f t="shared" si="40"/>
        <v>1909.8333333333062</v>
      </c>
      <c r="V360" s="3">
        <f t="shared" si="41"/>
        <v>1.087858</v>
      </c>
      <c r="Z360" s="1">
        <v>1909.875</v>
      </c>
      <c r="AA360" s="2">
        <f t="shared" si="45"/>
        <v>0.280528</v>
      </c>
      <c r="AB360">
        <v>14.026400000000001</v>
      </c>
      <c r="AE360">
        <v>1909.8333333333062</v>
      </c>
      <c r="AF360">
        <v>0.74037543246804238</v>
      </c>
    </row>
    <row r="361" spans="4:32" x14ac:dyDescent="0.35">
      <c r="D361">
        <v>9.1523999999999994E-2</v>
      </c>
      <c r="M361">
        <f t="shared" si="46"/>
        <v>360</v>
      </c>
      <c r="N361">
        <f t="shared" si="47"/>
        <v>1909.9166666666395</v>
      </c>
      <c r="O361">
        <f t="shared" si="42"/>
        <v>0</v>
      </c>
      <c r="P361">
        <f t="array" ref="P361">+SUM($G$2:$G$18*SIN(2*PI()*(N361)*$B$1/$F$2:$F$18+$H$2:$H$18))</f>
        <v>-1.0230309117955461</v>
      </c>
      <c r="Q361">
        <f t="shared" si="43"/>
        <v>0</v>
      </c>
      <c r="R361">
        <f t="shared" si="44"/>
        <v>1.7159103295164433E-2</v>
      </c>
      <c r="S361">
        <f t="array" ref="S361">+$B$2*SIN(R361*$B$3+$B$4)+0*R361+ SUM($J$2:$J$20*SIN(2*PI()*N361*$I$2:$I$20+$K$2:$K$20))</f>
        <v>0.73969049693581745</v>
      </c>
      <c r="U361" s="3">
        <f t="shared" si="40"/>
        <v>1909.9166666666395</v>
      </c>
      <c r="V361" s="3">
        <f t="shared" si="41"/>
        <v>0.72614199999999995</v>
      </c>
      <c r="Z361" s="1">
        <v>1909.9583</v>
      </c>
      <c r="AA361" s="2">
        <f t="shared" si="45"/>
        <v>0.41876399999999997</v>
      </c>
      <c r="AB361">
        <v>20.938199999999998</v>
      </c>
      <c r="AE361">
        <v>1909.9166666666395</v>
      </c>
      <c r="AF361">
        <v>0.73969049693581745</v>
      </c>
    </row>
    <row r="362" spans="4:32" x14ac:dyDescent="0.35">
      <c r="D362">
        <v>0.280528</v>
      </c>
      <c r="M362">
        <f t="shared" si="46"/>
        <v>361</v>
      </c>
      <c r="N362">
        <f t="shared" si="47"/>
        <v>1909.9999999999727</v>
      </c>
      <c r="O362">
        <f t="shared" si="42"/>
        <v>36.637715116165623</v>
      </c>
      <c r="P362">
        <f t="array" ref="P362">+SUM($G$2:$G$18*SIN(2*PI()*(N362)*$B$1/$F$2:$F$18+$H$2:$H$18))</f>
        <v>-0.63277887549392275</v>
      </c>
      <c r="Q362">
        <f t="shared" si="43"/>
        <v>-23.18357217187398</v>
      </c>
      <c r="R362">
        <f t="shared" si="44"/>
        <v>-1.8526891090834576E-2</v>
      </c>
      <c r="S362">
        <f t="array" ref="S362">+$B$2*SIN(R362*$B$3+$B$4)+0*R362+ SUM($J$2:$J$20*SIN(2*PI()*N362*$I$2:$I$20+$K$2:$K$20))</f>
        <v>0.61273508016870126</v>
      </c>
      <c r="U362" s="3">
        <f t="shared" si="40"/>
        <v>1909.9999999999727</v>
      </c>
      <c r="V362" s="3">
        <f t="shared" si="41"/>
        <v>0.35365600000000003</v>
      </c>
      <c r="Z362" s="1">
        <v>1910.0417</v>
      </c>
      <c r="AA362" s="2">
        <f t="shared" si="45"/>
        <v>0.53392000000000006</v>
      </c>
      <c r="AB362">
        <v>26.696000000000002</v>
      </c>
      <c r="AE362">
        <v>1909.9999999999727</v>
      </c>
      <c r="AF362">
        <v>0.61273508016870126</v>
      </c>
    </row>
    <row r="363" spans="4:32" x14ac:dyDescent="0.35">
      <c r="D363">
        <v>0.41876399999999997</v>
      </c>
      <c r="M363">
        <f t="shared" si="46"/>
        <v>362</v>
      </c>
      <c r="N363">
        <f t="shared" si="47"/>
        <v>1910.083333333306</v>
      </c>
      <c r="O363">
        <f t="shared" si="42"/>
        <v>0</v>
      </c>
      <c r="P363">
        <f t="array" ref="P363">+SUM($G$2:$G$18*SIN(2*PI()*(N363)*$B$1/$F$2:$F$18+$H$2:$H$18))</f>
        <v>0.34699749081357761</v>
      </c>
      <c r="Q363">
        <f t="shared" si="43"/>
        <v>0</v>
      </c>
      <c r="R363">
        <f t="shared" si="44"/>
        <v>-1.8498394121337535E-2</v>
      </c>
      <c r="S363">
        <f t="array" ref="S363">+$B$2*SIN(R363*$B$3+$B$4)+0*R363+ SUM($J$2:$J$20*SIN(2*PI()*N363*$I$2:$I$20+$K$2:$K$20))</f>
        <v>0.61507127253143812</v>
      </c>
      <c r="U363" s="3">
        <f t="shared" si="40"/>
        <v>1910.083333333306</v>
      </c>
      <c r="V363" s="3">
        <f t="shared" si="41"/>
        <v>0.518092</v>
      </c>
      <c r="Z363" s="1">
        <v>1910.125</v>
      </c>
      <c r="AA363" s="2">
        <f t="shared" si="45"/>
        <v>0.48907600000000001</v>
      </c>
      <c r="AB363">
        <v>24.453800000000001</v>
      </c>
      <c r="AE363">
        <v>1910.083333333306</v>
      </c>
      <c r="AF363">
        <v>0.61507127253143812</v>
      </c>
    </row>
    <row r="364" spans="4:32" x14ac:dyDescent="0.35">
      <c r="D364">
        <v>0.53392000000000006</v>
      </c>
      <c r="M364">
        <f t="shared" si="46"/>
        <v>363</v>
      </c>
      <c r="N364">
        <f t="shared" si="47"/>
        <v>1910.1666666666392</v>
      </c>
      <c r="O364">
        <f t="shared" si="42"/>
        <v>0</v>
      </c>
      <c r="P364">
        <f t="array" ref="P364">+SUM($G$2:$G$18*SIN(2*PI()*(N364)*$B$1/$F$2:$F$18+$H$2:$H$18))</f>
        <v>0.32879486500688315</v>
      </c>
      <c r="Q364">
        <f t="shared" si="43"/>
        <v>0</v>
      </c>
      <c r="R364">
        <f t="shared" si="44"/>
        <v>-1.8469940984195667E-2</v>
      </c>
      <c r="S364">
        <f t="array" ref="S364">+$B$2*SIN(R364*$B$3+$B$4)+0*R364+ SUM($J$2:$J$20*SIN(2*PI()*N364*$I$2:$I$20+$K$2:$K$20))</f>
        <v>0.6173862187318252</v>
      </c>
      <c r="U364" s="3">
        <f t="shared" si="40"/>
        <v>1910.1666666666392</v>
      </c>
      <c r="V364" s="3">
        <f t="shared" si="41"/>
        <v>0.33329599999999998</v>
      </c>
      <c r="Z364" s="1">
        <v>1910.2083</v>
      </c>
      <c r="AA364" s="2">
        <f t="shared" si="45"/>
        <v>0.28422999999999998</v>
      </c>
      <c r="AB364">
        <v>14.211499999999999</v>
      </c>
      <c r="AE364">
        <v>1910.1666666666392</v>
      </c>
      <c r="AF364">
        <v>0.6173862187318252</v>
      </c>
    </row>
    <row r="365" spans="4:32" x14ac:dyDescent="0.35">
      <c r="D365">
        <v>0.48907600000000001</v>
      </c>
      <c r="M365">
        <f t="shared" si="46"/>
        <v>364</v>
      </c>
      <c r="N365">
        <f t="shared" si="47"/>
        <v>1910.2499999999725</v>
      </c>
      <c r="O365">
        <f t="shared" si="42"/>
        <v>0</v>
      </c>
      <c r="P365">
        <f t="array" ref="P365">+SUM($G$2:$G$18*SIN(2*PI()*(N365)*$B$1/$F$2:$F$18+$H$2:$H$18))</f>
        <v>-0.26553716713377568</v>
      </c>
      <c r="Q365">
        <f t="shared" si="43"/>
        <v>0</v>
      </c>
      <c r="R365">
        <f t="shared" si="44"/>
        <v>-1.8441531611988631E-2</v>
      </c>
      <c r="S365">
        <f t="array" ref="S365">+$B$2*SIN(R365*$B$3+$B$4)+0*R365+ SUM($J$2:$J$20*SIN(2*PI()*N365*$I$2:$I$20+$K$2:$K$20))</f>
        <v>0.61967993947644562</v>
      </c>
      <c r="U365" s="3">
        <f t="shared" si="40"/>
        <v>1910.2499999999725</v>
      </c>
      <c r="V365" s="3">
        <f t="shared" si="41"/>
        <v>0.142344</v>
      </c>
      <c r="Z365" s="1">
        <v>1910.2917</v>
      </c>
      <c r="AA365" s="2">
        <f t="shared" si="45"/>
        <v>0.213228</v>
      </c>
      <c r="AB365">
        <v>10.6614</v>
      </c>
      <c r="AE365">
        <v>1910.2499999999725</v>
      </c>
      <c r="AF365">
        <v>0.61967993947644562</v>
      </c>
    </row>
    <row r="366" spans="4:32" x14ac:dyDescent="0.35">
      <c r="D366">
        <v>0.28422999999999998</v>
      </c>
      <c r="M366">
        <f t="shared" si="46"/>
        <v>365</v>
      </c>
      <c r="N366">
        <f t="shared" si="47"/>
        <v>1910.3333333333057</v>
      </c>
      <c r="O366">
        <f t="shared" si="42"/>
        <v>0</v>
      </c>
      <c r="P366">
        <f t="array" ref="P366">+SUM($G$2:$G$18*SIN(2*PI()*(N366)*$B$1/$F$2:$F$18+$H$2:$H$18))</f>
        <v>-0.22492631157895493</v>
      </c>
      <c r="Q366">
        <f t="shared" si="43"/>
        <v>0</v>
      </c>
      <c r="R366">
        <f t="shared" si="44"/>
        <v>-1.8413165937399788E-2</v>
      </c>
      <c r="S366">
        <f t="array" ref="S366">+$B$2*SIN(R366*$B$3+$B$4)+0*R366+ SUM($J$2:$J$20*SIN(2*PI()*N366*$I$2:$I$20+$K$2:$K$20))</f>
        <v>0.62195245628588169</v>
      </c>
      <c r="U366" s="3">
        <f t="shared" si="40"/>
        <v>1910.3333333333057</v>
      </c>
      <c r="V366" s="3">
        <f t="shared" si="41"/>
        <v>0.14677799999999999</v>
      </c>
      <c r="Z366" s="1">
        <v>1910.375</v>
      </c>
      <c r="AA366" s="2">
        <f t="shared" si="45"/>
        <v>0.17453399999999999</v>
      </c>
      <c r="AB366">
        <v>8.7266999999999992</v>
      </c>
      <c r="AE366">
        <v>1910.3333333333057</v>
      </c>
      <c r="AF366">
        <v>0.62195245628588169</v>
      </c>
    </row>
    <row r="367" spans="4:32" x14ac:dyDescent="0.35">
      <c r="D367">
        <v>0.213228</v>
      </c>
      <c r="M367">
        <f t="shared" si="46"/>
        <v>366</v>
      </c>
      <c r="N367">
        <f t="shared" si="47"/>
        <v>1910.416666666639</v>
      </c>
      <c r="O367">
        <f t="shared" si="42"/>
        <v>0</v>
      </c>
      <c r="P367">
        <f t="array" ref="P367">+SUM($G$2:$G$18*SIN(2*PI()*(N367)*$B$1/$F$2:$F$18+$H$2:$H$18))</f>
        <v>0.31521081959986585</v>
      </c>
      <c r="Q367">
        <f t="shared" si="43"/>
        <v>0</v>
      </c>
      <c r="R367">
        <f t="shared" si="44"/>
        <v>-1.8384843893216044E-2</v>
      </c>
      <c r="S367">
        <f t="array" ref="S367">+$B$2*SIN(R367*$B$3+$B$4)+0*R367+ SUM($J$2:$J$20*SIN(2*PI()*N367*$I$2:$I$20+$K$2:$K$20))</f>
        <v>0.62420379148590288</v>
      </c>
      <c r="U367" s="3">
        <f t="shared" si="40"/>
        <v>1910.416666666639</v>
      </c>
      <c r="V367" s="3">
        <f t="shared" si="41"/>
        <v>-4.1100000000000005E-2</v>
      </c>
      <c r="Z367" s="1">
        <v>1910.4583</v>
      </c>
      <c r="AA367" s="2">
        <f t="shared" si="45"/>
        <v>-0.27493000000000001</v>
      </c>
      <c r="AB367">
        <v>-13.746499999999999</v>
      </c>
      <c r="AE367">
        <v>1910.416666666639</v>
      </c>
      <c r="AF367">
        <v>0.62420379148590288</v>
      </c>
    </row>
    <row r="368" spans="4:32" x14ac:dyDescent="0.35">
      <c r="D368">
        <v>0.17453399999999999</v>
      </c>
      <c r="M368">
        <f t="shared" si="46"/>
        <v>367</v>
      </c>
      <c r="N368">
        <f t="shared" si="47"/>
        <v>1910.4999999999723</v>
      </c>
      <c r="O368">
        <f t="shared" si="42"/>
        <v>0</v>
      </c>
      <c r="P368">
        <f t="array" ref="P368">+SUM($G$2:$G$18*SIN(2*PI()*(N368)*$B$1/$F$2:$F$18+$H$2:$H$18))</f>
        <v>0.46058853410827133</v>
      </c>
      <c r="Q368">
        <f t="shared" si="43"/>
        <v>0</v>
      </c>
      <c r="R368">
        <f t="shared" si="44"/>
        <v>-1.8356565412327688E-2</v>
      </c>
      <c r="S368">
        <f t="array" ref="S368">+$B$2*SIN(R368*$B$3+$B$4)+0*R368+ SUM($J$2:$J$20*SIN(2*PI()*N368*$I$2:$I$20+$K$2:$K$20))</f>
        <v>0.62643396819869002</v>
      </c>
      <c r="U368" s="3">
        <f t="shared" si="40"/>
        <v>1910.4999999999723</v>
      </c>
      <c r="V368" s="3">
        <f t="shared" si="41"/>
        <v>3.2562000000000001E-2</v>
      </c>
      <c r="Z368" s="1">
        <v>1910.5417</v>
      </c>
      <c r="AA368" s="2">
        <f t="shared" si="45"/>
        <v>-0.176704</v>
      </c>
      <c r="AB368">
        <v>-8.8352000000000004</v>
      </c>
      <c r="AE368">
        <v>1910.4999999999723</v>
      </c>
      <c r="AF368">
        <v>0.62643396819869002</v>
      </c>
    </row>
    <row r="369" spans="4:32" x14ac:dyDescent="0.35">
      <c r="D369">
        <v>-0.27493000000000001</v>
      </c>
      <c r="M369">
        <f t="shared" si="46"/>
        <v>368</v>
      </c>
      <c r="N369">
        <f t="shared" si="47"/>
        <v>1910.5833333333055</v>
      </c>
      <c r="O369">
        <f t="shared" si="42"/>
        <v>0</v>
      </c>
      <c r="P369">
        <f t="array" ref="P369">+SUM($G$2:$G$18*SIN(2*PI()*(N369)*$B$1/$F$2:$F$18+$H$2:$H$18))</f>
        <v>-0.2188773284272563</v>
      </c>
      <c r="Q369">
        <f t="shared" si="43"/>
        <v>0</v>
      </c>
      <c r="R369">
        <f t="shared" si="44"/>
        <v>-1.8328330427728232E-2</v>
      </c>
      <c r="S369">
        <f t="array" ref="S369">+$B$2*SIN(R369*$B$3+$B$4)+0*R369+ SUM($J$2:$J$20*SIN(2*PI()*N369*$I$2:$I$20+$K$2:$K$20))</f>
        <v>0.62864301033410364</v>
      </c>
      <c r="U369" s="3">
        <f t="shared" si="40"/>
        <v>1910.5833333333055</v>
      </c>
      <c r="V369" s="3">
        <f t="shared" si="41"/>
        <v>7.3916000000000009E-2</v>
      </c>
      <c r="Z369" s="1">
        <v>1910.625</v>
      </c>
      <c r="AA369" s="2">
        <f t="shared" si="45"/>
        <v>-0.26001600000000002</v>
      </c>
      <c r="AB369">
        <v>-13.0008</v>
      </c>
      <c r="AE369">
        <v>1910.5833333333055</v>
      </c>
      <c r="AF369">
        <v>0.62864301033410364</v>
      </c>
    </row>
    <row r="370" spans="4:32" x14ac:dyDescent="0.35">
      <c r="D370">
        <v>-0.176704</v>
      </c>
      <c r="M370">
        <f t="shared" si="46"/>
        <v>369</v>
      </c>
      <c r="N370">
        <f t="shared" si="47"/>
        <v>1910.6666666666388</v>
      </c>
      <c r="O370">
        <f t="shared" si="42"/>
        <v>0</v>
      </c>
      <c r="P370">
        <f t="array" ref="P370">+SUM($G$2:$G$18*SIN(2*PI()*(N370)*$B$1/$F$2:$F$18+$H$2:$H$18))</f>
        <v>-0.80471337316273772</v>
      </c>
      <c r="Q370">
        <f t="shared" si="43"/>
        <v>0</v>
      </c>
      <c r="R370">
        <f t="shared" si="44"/>
        <v>-1.8300138872514252E-2</v>
      </c>
      <c r="S370">
        <f t="array" ref="S370">+$B$2*SIN(R370*$B$3+$B$4)+0*R370+ SUM($J$2:$J$20*SIN(2*PI()*N370*$I$2:$I$20+$K$2:$K$20))</f>
        <v>0.63083094258098826</v>
      </c>
      <c r="U370" s="3">
        <f t="shared" si="40"/>
        <v>1910.6666666666388</v>
      </c>
      <c r="V370" s="3">
        <f t="shared" si="41"/>
        <v>0.15526400000000001</v>
      </c>
      <c r="Z370" s="1">
        <v>1910.7083</v>
      </c>
      <c r="AA370" s="2">
        <f t="shared" si="45"/>
        <v>-0.118714</v>
      </c>
      <c r="AB370">
        <v>-5.9356999999999998</v>
      </c>
      <c r="AE370">
        <v>1910.6666666666388</v>
      </c>
      <c r="AF370">
        <v>0.63083094258098826</v>
      </c>
    </row>
    <row r="371" spans="4:32" x14ac:dyDescent="0.35">
      <c r="D371">
        <v>-0.26001600000000002</v>
      </c>
      <c r="M371">
        <f t="shared" si="46"/>
        <v>370</v>
      </c>
      <c r="N371">
        <f t="shared" si="47"/>
        <v>1910.749999999972</v>
      </c>
      <c r="O371">
        <f t="shared" si="42"/>
        <v>0</v>
      </c>
      <c r="P371">
        <f t="array" ref="P371">+SUM($G$2:$G$18*SIN(2*PI()*(N371)*$B$1/$F$2:$F$18+$H$2:$H$18))</f>
        <v>-0.20262790542316053</v>
      </c>
      <c r="Q371">
        <f t="shared" si="43"/>
        <v>0</v>
      </c>
      <c r="R371">
        <f t="shared" si="44"/>
        <v>-1.8271990679885233E-2</v>
      </c>
      <c r="S371">
        <f t="array" ref="S371">+$B$2*SIN(R371*$B$3+$B$4)+0*R371+ SUM($J$2:$J$20*SIN(2*PI()*N371*$I$2:$I$20+$K$2:$K$20))</f>
        <v>0.63299779039851567</v>
      </c>
      <c r="U371" s="3">
        <f t="shared" si="40"/>
        <v>1910.749999999972</v>
      </c>
      <c r="V371" s="3">
        <f t="shared" si="41"/>
        <v>0.23661599999999999</v>
      </c>
      <c r="Z371" s="1">
        <v>1910.7917</v>
      </c>
      <c r="AA371" s="2">
        <f t="shared" si="45"/>
        <v>-5.28E-2</v>
      </c>
      <c r="AB371">
        <v>-2.64</v>
      </c>
      <c r="AE371">
        <v>1910.749999999972</v>
      </c>
      <c r="AF371">
        <v>0.63299779039851567</v>
      </c>
    </row>
    <row r="372" spans="4:32" x14ac:dyDescent="0.35">
      <c r="D372">
        <v>-0.118714</v>
      </c>
      <c r="M372">
        <f t="shared" si="46"/>
        <v>371</v>
      </c>
      <c r="N372">
        <f t="shared" si="47"/>
        <v>1910.8333333333053</v>
      </c>
      <c r="O372">
        <f t="shared" si="42"/>
        <v>0</v>
      </c>
      <c r="P372">
        <f t="array" ref="P372">+SUM($G$2:$G$18*SIN(2*PI()*(N372)*$B$1/$F$2:$F$18+$H$2:$H$18))</f>
        <v>0.70253726722140697</v>
      </c>
      <c r="Q372">
        <f t="shared" si="43"/>
        <v>0</v>
      </c>
      <c r="R372">
        <f t="shared" si="44"/>
        <v>-1.8243885783143413E-2</v>
      </c>
      <c r="S372">
        <f t="array" ref="S372">+$B$2*SIN(R372*$B$3+$B$4)+0*R372+ SUM($J$2:$J$20*SIN(2*PI()*N372*$I$2:$I$20+$K$2:$K$20))</f>
        <v>0.6351435800075701</v>
      </c>
      <c r="U372" s="3">
        <f t="shared" si="40"/>
        <v>1910.8333333333053</v>
      </c>
      <c r="V372" s="3">
        <f t="shared" si="41"/>
        <v>0.29950399999999999</v>
      </c>
      <c r="Z372" s="1">
        <v>1910.875</v>
      </c>
      <c r="AA372" s="2">
        <f t="shared" si="45"/>
        <v>8.6961999999999998E-2</v>
      </c>
      <c r="AB372">
        <v>4.3480999999999996</v>
      </c>
      <c r="AE372">
        <v>1910.8333333333053</v>
      </c>
      <c r="AF372">
        <v>0.6351435800075701</v>
      </c>
    </row>
    <row r="373" spans="4:32" x14ac:dyDescent="0.35">
      <c r="D373">
        <v>-5.28E-2</v>
      </c>
      <c r="M373">
        <f t="shared" si="46"/>
        <v>372</v>
      </c>
      <c r="N373">
        <f t="shared" si="47"/>
        <v>1910.9166666666385</v>
      </c>
      <c r="O373">
        <f t="shared" si="42"/>
        <v>0</v>
      </c>
      <c r="P373">
        <f t="array" ref="P373">+SUM($G$2:$G$18*SIN(2*PI()*(N373)*$B$1/$F$2:$F$18+$H$2:$H$18))</f>
        <v>0.65730451954526814</v>
      </c>
      <c r="Q373">
        <f t="shared" si="43"/>
        <v>0</v>
      </c>
      <c r="R373">
        <f t="shared" si="44"/>
        <v>-1.8215824115693609E-2</v>
      </c>
      <c r="S373">
        <f t="array" ref="S373">+$B$2*SIN(R373*$B$3+$B$4)+0*R373+ SUM($J$2:$J$20*SIN(2*PI()*N373*$I$2:$I$20+$K$2:$K$20))</f>
        <v>0.63726833838217212</v>
      </c>
      <c r="U373" s="3">
        <f t="shared" si="40"/>
        <v>1910.9166666666385</v>
      </c>
      <c r="V373" s="3">
        <f t="shared" si="41"/>
        <v>0.117772</v>
      </c>
      <c r="Z373" s="1">
        <v>1910.9583</v>
      </c>
      <c r="AA373" s="2">
        <f t="shared" si="45"/>
        <v>-2.4048E-2</v>
      </c>
      <c r="AB373">
        <v>-1.2023999999999999</v>
      </c>
      <c r="AE373">
        <v>1910.9166666666385</v>
      </c>
      <c r="AF373">
        <v>0.63726833838217212</v>
      </c>
    </row>
    <row r="374" spans="4:32" x14ac:dyDescent="0.35">
      <c r="D374">
        <v>8.6961999999999998E-2</v>
      </c>
      <c r="M374">
        <f t="shared" si="46"/>
        <v>373</v>
      </c>
      <c r="N374">
        <f t="shared" si="47"/>
        <v>1910.9999999999718</v>
      </c>
      <c r="O374">
        <f t="shared" si="42"/>
        <v>36.637715116165623</v>
      </c>
      <c r="P374">
        <f t="array" ref="P374">+SUM($G$2:$G$18*SIN(2*PI()*(N374)*$B$1/$F$2:$F$18+$H$2:$H$18))</f>
        <v>0.21003803080519784</v>
      </c>
      <c r="Q374">
        <f t="shared" si="43"/>
        <v>7.6953135362012572</v>
      </c>
      <c r="R374">
        <f t="shared" si="44"/>
        <v>-6.3513288899282559E-3</v>
      </c>
      <c r="S374">
        <f t="array" ref="S374">+$B$2*SIN(R374*$B$3+$B$4)+0*R374+ SUM($J$2:$J$20*SIN(2*PI()*N374*$I$2:$I$20+$K$2:$K$20))</f>
        <v>-7.5915651398295286E-2</v>
      </c>
      <c r="U374" s="3">
        <f t="shared" si="40"/>
        <v>1910.9999999999718</v>
      </c>
      <c r="V374" s="3">
        <f t="shared" si="41"/>
        <v>-3.0110000000000001E-2</v>
      </c>
      <c r="Z374" s="1">
        <v>1911.0417</v>
      </c>
      <c r="AA374" s="2">
        <f t="shared" si="45"/>
        <v>0.12647800000000001</v>
      </c>
      <c r="AB374">
        <v>6.3239000000000001</v>
      </c>
      <c r="AE374">
        <v>1910.9999999999718</v>
      </c>
      <c r="AF374">
        <v>-7.5915651398295286E-2</v>
      </c>
    </row>
    <row r="375" spans="4:32" x14ac:dyDescent="0.35">
      <c r="D375">
        <v>-2.4048E-2</v>
      </c>
      <c r="M375">
        <f t="shared" si="46"/>
        <v>374</v>
      </c>
      <c r="N375">
        <f t="shared" si="47"/>
        <v>1911.0833333333051</v>
      </c>
      <c r="O375">
        <f t="shared" si="42"/>
        <v>0</v>
      </c>
      <c r="P375">
        <f t="array" ref="P375">+SUM($G$2:$G$18*SIN(2*PI()*(N375)*$B$1/$F$2:$F$18+$H$2:$H$18))</f>
        <v>0.16461661910609901</v>
      </c>
      <c r="Q375">
        <f t="shared" si="43"/>
        <v>0</v>
      </c>
      <c r="R375">
        <f t="shared" si="44"/>
        <v>-6.3415596510011975E-3</v>
      </c>
      <c r="S375">
        <f t="array" ref="S375">+$B$2*SIN(R375*$B$3+$B$4)+0*R375+ SUM($J$2:$J$20*SIN(2*PI()*N375*$I$2:$I$20+$K$2:$K$20))</f>
        <v>-7.7292504854424571E-2</v>
      </c>
      <c r="U375" s="3">
        <f t="shared" si="40"/>
        <v>1911.0833333333051</v>
      </c>
      <c r="V375" s="3">
        <f t="shared" si="41"/>
        <v>4.6620000000000002E-2</v>
      </c>
      <c r="Z375" s="1">
        <v>1911.125</v>
      </c>
      <c r="AA375" s="2">
        <f t="shared" si="45"/>
        <v>7.5465999999999991E-2</v>
      </c>
      <c r="AB375">
        <v>3.7732999999999999</v>
      </c>
      <c r="AE375">
        <v>1911.0833333333051</v>
      </c>
      <c r="AF375">
        <v>-7.7292504854424571E-2</v>
      </c>
    </row>
    <row r="376" spans="4:32" x14ac:dyDescent="0.35">
      <c r="D376">
        <v>0.12647800000000001</v>
      </c>
      <c r="M376">
        <f t="shared" si="46"/>
        <v>375</v>
      </c>
      <c r="N376">
        <f t="shared" si="47"/>
        <v>1911.1666666666383</v>
      </c>
      <c r="O376">
        <f t="shared" si="42"/>
        <v>0</v>
      </c>
      <c r="P376">
        <f t="array" ref="P376">+SUM($G$2:$G$18*SIN(2*PI()*(N376)*$B$1/$F$2:$F$18+$H$2:$H$18))</f>
        <v>0.3820379678549326</v>
      </c>
      <c r="Q376">
        <f t="shared" si="43"/>
        <v>0</v>
      </c>
      <c r="R376">
        <f t="shared" si="44"/>
        <v>-6.33180543854039E-3</v>
      </c>
      <c r="S376">
        <f t="array" ref="S376">+$B$2*SIN(R376*$B$3+$B$4)+0*R376+ SUM($J$2:$J$20*SIN(2*PI()*N376*$I$2:$I$20+$K$2:$K$20))</f>
        <v>-7.8666979812504131E-2</v>
      </c>
      <c r="U376" s="3">
        <f t="shared" si="40"/>
        <v>1911.1666666666383</v>
      </c>
      <c r="V376" s="3">
        <f t="shared" si="41"/>
        <v>-0.293576</v>
      </c>
      <c r="Z376" s="1">
        <v>1911.2083</v>
      </c>
      <c r="AA376" s="2">
        <f t="shared" si="45"/>
        <v>0.24291599999999999</v>
      </c>
      <c r="AB376">
        <v>12.145799999999999</v>
      </c>
      <c r="AE376">
        <v>1911.1666666666383</v>
      </c>
      <c r="AF376">
        <v>-7.8666979812504131E-2</v>
      </c>
    </row>
    <row r="377" spans="4:32" x14ac:dyDescent="0.35">
      <c r="D377">
        <v>7.5465999999999991E-2</v>
      </c>
      <c r="M377">
        <f t="shared" si="46"/>
        <v>376</v>
      </c>
      <c r="N377">
        <f t="shared" si="47"/>
        <v>1911.2499999999716</v>
      </c>
      <c r="O377">
        <f t="shared" si="42"/>
        <v>0</v>
      </c>
      <c r="P377">
        <f t="array" ref="P377">+SUM($G$2:$G$18*SIN(2*PI()*(N377)*$B$1/$F$2:$F$18+$H$2:$H$18))</f>
        <v>0.37220980126333092</v>
      </c>
      <c r="Q377">
        <f t="shared" si="43"/>
        <v>0</v>
      </c>
      <c r="R377">
        <f t="shared" si="44"/>
        <v>-6.3220662294330111E-3</v>
      </c>
      <c r="S377">
        <f t="array" ref="S377">+$B$2*SIN(R377*$B$3+$B$4)+0*R377+ SUM($J$2:$J$20*SIN(2*PI()*N377*$I$2:$I$20+$K$2:$K$20))</f>
        <v>-8.0039076110555538E-2</v>
      </c>
      <c r="U377" s="3">
        <f t="shared" si="40"/>
        <v>1911.2499999999716</v>
      </c>
      <c r="V377" s="3">
        <f t="shared" si="41"/>
        <v>-7.6848E-2</v>
      </c>
      <c r="Z377" s="1">
        <v>1911.2917</v>
      </c>
      <c r="AA377" s="2">
        <f t="shared" si="45"/>
        <v>0.17497800000000002</v>
      </c>
      <c r="AB377">
        <v>8.7489000000000008</v>
      </c>
      <c r="AE377">
        <v>1911.2499999999716</v>
      </c>
      <c r="AF377">
        <v>-8.0039076110555538E-2</v>
      </c>
    </row>
    <row r="378" spans="4:32" x14ac:dyDescent="0.35">
      <c r="D378">
        <v>0.24291599999999999</v>
      </c>
      <c r="M378">
        <f t="shared" si="46"/>
        <v>377</v>
      </c>
      <c r="N378">
        <f t="shared" si="47"/>
        <v>1911.3333333333048</v>
      </c>
      <c r="O378">
        <f t="shared" si="42"/>
        <v>0</v>
      </c>
      <c r="P378">
        <f t="array" ref="P378">+SUM($G$2:$G$18*SIN(2*PI()*(N378)*$B$1/$F$2:$F$18+$H$2:$H$18))</f>
        <v>-0.1130927805348233</v>
      </c>
      <c r="Q378">
        <f t="shared" si="43"/>
        <v>0</v>
      </c>
      <c r="R378">
        <f t="shared" si="44"/>
        <v>-6.312342000601788E-3</v>
      </c>
      <c r="S378">
        <f t="array" ref="S378">+$B$2*SIN(R378*$B$3+$B$4)+0*R378+ SUM($J$2:$J$20*SIN(2*PI()*N378*$I$2:$I$20+$K$2:$K$20))</f>
        <v>-8.1408793620773287E-2</v>
      </c>
      <c r="U378" s="3">
        <f t="shared" si="40"/>
        <v>1911.3333333333048</v>
      </c>
      <c r="V378" s="3">
        <f t="shared" si="41"/>
        <v>-0.133966</v>
      </c>
      <c r="Z378" s="1">
        <v>1911.375</v>
      </c>
      <c r="AA378" s="2">
        <f t="shared" si="45"/>
        <v>0.102424</v>
      </c>
      <c r="AB378">
        <v>5.1212</v>
      </c>
      <c r="AE378">
        <v>1911.3333333333048</v>
      </c>
      <c r="AF378">
        <v>-8.1408793620773287E-2</v>
      </c>
    </row>
    <row r="379" spans="4:32" x14ac:dyDescent="0.35">
      <c r="D379">
        <v>0.17497800000000002</v>
      </c>
      <c r="M379">
        <f t="shared" si="46"/>
        <v>378</v>
      </c>
      <c r="N379">
        <f t="shared" si="47"/>
        <v>1911.4166666666381</v>
      </c>
      <c r="O379">
        <f t="shared" si="42"/>
        <v>0</v>
      </c>
      <c r="P379">
        <f t="array" ref="P379">+SUM($G$2:$G$18*SIN(2*PI()*(N379)*$B$1/$F$2:$F$18+$H$2:$H$18))</f>
        <v>-0.36838989397166932</v>
      </c>
      <c r="Q379">
        <f t="shared" si="43"/>
        <v>0</v>
      </c>
      <c r="R379">
        <f t="shared" si="44"/>
        <v>-6.3026327290049457E-3</v>
      </c>
      <c r="S379">
        <f t="array" ref="S379">+$B$2*SIN(R379*$B$3+$B$4)+0*R379+ SUM($J$2:$J$20*SIN(2*PI()*N379*$I$2:$I$20+$K$2:$K$20))</f>
        <v>-8.2776132249276532E-2</v>
      </c>
      <c r="U379" s="3">
        <f t="shared" ref="U379:U442" si="48">+N379</f>
        <v>1911.4166666666381</v>
      </c>
      <c r="V379" s="3">
        <f t="shared" ref="V379:V442" si="49">+D337</f>
        <v>-0.395704</v>
      </c>
      <c r="Z379" s="1">
        <v>1911.4583</v>
      </c>
      <c r="AA379" s="2">
        <f t="shared" si="45"/>
        <v>7.9100000000000004E-2</v>
      </c>
      <c r="AB379">
        <v>3.9550000000000001</v>
      </c>
      <c r="AE379">
        <v>1911.4166666666381</v>
      </c>
      <c r="AF379">
        <v>-8.2776132249276532E-2</v>
      </c>
    </row>
    <row r="380" spans="4:32" x14ac:dyDescent="0.35">
      <c r="D380">
        <v>0.102424</v>
      </c>
      <c r="M380">
        <f t="shared" si="46"/>
        <v>379</v>
      </c>
      <c r="N380">
        <f t="shared" si="47"/>
        <v>1911.4999999999714</v>
      </c>
      <c r="O380">
        <f t="shared" si="42"/>
        <v>0</v>
      </c>
      <c r="P380">
        <f t="array" ref="P380">+SUM($G$2:$G$18*SIN(2*PI()*(N380)*$B$1/$F$2:$F$18+$H$2:$H$18))</f>
        <v>0.24464867665925119</v>
      </c>
      <c r="Q380">
        <f t="shared" si="43"/>
        <v>0</v>
      </c>
      <c r="R380">
        <f t="shared" si="44"/>
        <v>-6.2929383916361494E-3</v>
      </c>
      <c r="S380">
        <f t="array" ref="S380">+$B$2*SIN(R380*$B$3+$B$4)+0*R380+ SUM($J$2:$J$20*SIN(2*PI()*N380*$I$2:$I$20+$K$2:$K$20))</f>
        <v>-8.4141091935862208E-2</v>
      </c>
      <c r="U380" s="3">
        <f t="shared" si="48"/>
        <v>1911.4999999999714</v>
      </c>
      <c r="V380" s="3">
        <f t="shared" si="49"/>
        <v>-0.44821</v>
      </c>
      <c r="Z380" s="1">
        <v>1911.5417</v>
      </c>
      <c r="AA380" s="2">
        <f t="shared" si="45"/>
        <v>0.152696</v>
      </c>
      <c r="AB380">
        <v>7.6348000000000003</v>
      </c>
      <c r="AE380">
        <v>1911.4999999999714</v>
      </c>
      <c r="AF380">
        <v>-8.4141091935862208E-2</v>
      </c>
    </row>
    <row r="381" spans="4:32" x14ac:dyDescent="0.35">
      <c r="D381">
        <v>7.9100000000000004E-2</v>
      </c>
      <c r="M381">
        <f t="shared" si="46"/>
        <v>380</v>
      </c>
      <c r="N381">
        <f t="shared" si="47"/>
        <v>1911.5833333333046</v>
      </c>
      <c r="O381">
        <f t="shared" si="42"/>
        <v>0</v>
      </c>
      <c r="P381">
        <f t="array" ref="P381">+SUM($G$2:$G$18*SIN(2*PI()*(N381)*$B$1/$F$2:$F$18+$H$2:$H$18))</f>
        <v>0.88401654630271587</v>
      </c>
      <c r="Q381">
        <f t="shared" si="43"/>
        <v>0</v>
      </c>
      <c r="R381">
        <f t="shared" si="44"/>
        <v>-6.2832589655244511E-3</v>
      </c>
      <c r="S381">
        <f t="array" ref="S381">+$B$2*SIN(R381*$B$3+$B$4)+0*R381+ SUM($J$2:$J$20*SIN(2*PI()*N381*$I$2:$I$20+$K$2:$K$20))</f>
        <v>-8.5503672653756663E-2</v>
      </c>
      <c r="U381" s="3">
        <f t="shared" si="48"/>
        <v>1911.5833333333046</v>
      </c>
      <c r="V381" s="3">
        <f t="shared" si="49"/>
        <v>-0.494562</v>
      </c>
      <c r="Z381" s="1">
        <v>1911.625</v>
      </c>
      <c r="AA381" s="2">
        <f t="shared" si="45"/>
        <v>0.104756</v>
      </c>
      <c r="AB381">
        <v>5.2378</v>
      </c>
      <c r="AE381">
        <v>1911.5833333333046</v>
      </c>
      <c r="AF381">
        <v>-8.5503672653756663E-2</v>
      </c>
    </row>
    <row r="382" spans="4:32" x14ac:dyDescent="0.35">
      <c r="D382">
        <v>0.152696</v>
      </c>
      <c r="M382">
        <f t="shared" si="46"/>
        <v>381</v>
      </c>
      <c r="N382">
        <f t="shared" si="47"/>
        <v>1911.6666666666379</v>
      </c>
      <c r="O382">
        <f t="shared" si="42"/>
        <v>0</v>
      </c>
      <c r="P382">
        <f t="array" ref="P382">+SUM($G$2:$G$18*SIN(2*PI()*(N382)*$B$1/$F$2:$F$18+$H$2:$H$18))</f>
        <v>0.84327880396883603</v>
      </c>
      <c r="Q382">
        <f t="shared" si="43"/>
        <v>0</v>
      </c>
      <c r="R382">
        <f t="shared" si="44"/>
        <v>-6.2735944277342364E-3</v>
      </c>
      <c r="S382">
        <f t="array" ref="S382">+$B$2*SIN(R382*$B$3+$B$4)+0*R382+ SUM($J$2:$J$20*SIN(2*PI()*N382*$I$2:$I$20+$K$2:$K$20))</f>
        <v>-8.6863874409371239E-2</v>
      </c>
      <c r="U382" s="3">
        <f t="shared" si="48"/>
        <v>1911.6666666666379</v>
      </c>
      <c r="V382" s="3">
        <f t="shared" si="49"/>
        <v>-0.40245600000000004</v>
      </c>
      <c r="Z382" s="1">
        <v>1911.7083</v>
      </c>
      <c r="AA382" s="2">
        <f t="shared" si="45"/>
        <v>-7.2417999999999996E-2</v>
      </c>
      <c r="AB382">
        <v>-3.6208999999999998</v>
      </c>
      <c r="AE382">
        <v>1911.6666666666379</v>
      </c>
      <c r="AF382">
        <v>-8.6863874409371239E-2</v>
      </c>
    </row>
    <row r="383" spans="4:32" x14ac:dyDescent="0.35">
      <c r="D383">
        <v>0.104756</v>
      </c>
      <c r="M383">
        <f t="shared" si="46"/>
        <v>382</v>
      </c>
      <c r="N383">
        <f t="shared" si="47"/>
        <v>1911.7499999999711</v>
      </c>
      <c r="O383">
        <f t="shared" si="42"/>
        <v>0</v>
      </c>
      <c r="P383">
        <f t="array" ref="P383">+SUM($G$2:$G$18*SIN(2*PI()*(N383)*$B$1/$F$2:$F$18+$H$2:$H$18))</f>
        <v>0.55530951222640823</v>
      </c>
      <c r="Q383">
        <f t="shared" si="43"/>
        <v>0</v>
      </c>
      <c r="R383">
        <f t="shared" si="44"/>
        <v>-6.2639447553651693E-3</v>
      </c>
      <c r="S383">
        <f t="array" ref="S383">+$B$2*SIN(R383*$B$3+$B$4)+0*R383+ SUM($J$2:$J$20*SIN(2*PI()*N383*$I$2:$I$20+$K$2:$K$20))</f>
        <v>-8.8221697242057973E-2</v>
      </c>
      <c r="U383" s="3">
        <f t="shared" si="48"/>
        <v>1911.7499999999711</v>
      </c>
      <c r="V383" s="3">
        <f t="shared" si="49"/>
        <v>-0.474966</v>
      </c>
      <c r="Z383" s="1">
        <v>1911.7917</v>
      </c>
      <c r="AA383" s="2">
        <f t="shared" si="45"/>
        <v>-0.16036400000000001</v>
      </c>
      <c r="AB383">
        <v>-8.0182000000000002</v>
      </c>
      <c r="AE383">
        <v>1911.7499999999711</v>
      </c>
      <c r="AF383">
        <v>-8.8221697242057973E-2</v>
      </c>
    </row>
    <row r="384" spans="4:32" x14ac:dyDescent="0.35">
      <c r="D384">
        <v>-7.2417999999999996E-2</v>
      </c>
      <c r="M384">
        <f t="shared" si="46"/>
        <v>383</v>
      </c>
      <c r="N384">
        <f t="shared" si="47"/>
        <v>1911.8333333333044</v>
      </c>
      <c r="O384">
        <f t="shared" si="42"/>
        <v>0</v>
      </c>
      <c r="P384">
        <f t="array" ref="P384">+SUM($G$2:$G$18*SIN(2*PI()*(N384)*$B$1/$F$2:$F$18+$H$2:$H$18))</f>
        <v>0.3025336090661585</v>
      </c>
      <c r="Q384">
        <f t="shared" si="43"/>
        <v>0</v>
      </c>
      <c r="R384">
        <f t="shared" si="44"/>
        <v>-6.2543099255521362E-3</v>
      </c>
      <c r="S384">
        <f t="array" ref="S384">+$B$2*SIN(R384*$B$3+$B$4)+0*R384+ SUM($J$2:$J$20*SIN(2*PI()*N384*$I$2:$I$20+$K$2:$K$20))</f>
        <v>-8.9577141223866688E-2</v>
      </c>
      <c r="U384" s="3">
        <f t="shared" si="48"/>
        <v>1911.8333333333044</v>
      </c>
      <c r="V384" s="3">
        <f t="shared" si="49"/>
        <v>-0.64593800000000001</v>
      </c>
      <c r="Z384" s="1">
        <v>1911.875</v>
      </c>
      <c r="AA384" s="2">
        <f t="shared" si="45"/>
        <v>-0.10522999999999999</v>
      </c>
      <c r="AB384">
        <v>-5.2614999999999998</v>
      </c>
      <c r="AE384">
        <v>1911.8333333333044</v>
      </c>
      <c r="AF384">
        <v>-8.9577141223866688E-2</v>
      </c>
    </row>
    <row r="385" spans="4:32" x14ac:dyDescent="0.35">
      <c r="D385">
        <v>-0.16036400000000001</v>
      </c>
      <c r="M385">
        <f t="shared" si="46"/>
        <v>384</v>
      </c>
      <c r="N385">
        <f t="shared" si="47"/>
        <v>1911.9166666666376</v>
      </c>
      <c r="O385">
        <f t="shared" si="42"/>
        <v>0</v>
      </c>
      <c r="P385">
        <f t="array" ref="P385">+SUM($G$2:$G$18*SIN(2*PI()*(N385)*$B$1/$F$2:$F$18+$H$2:$H$18))</f>
        <v>0.14504009000347129</v>
      </c>
      <c r="Q385">
        <f t="shared" si="43"/>
        <v>0</v>
      </c>
      <c r="R385">
        <f t="shared" si="44"/>
        <v>-6.2446899154651944E-3</v>
      </c>
      <c r="S385">
        <f t="array" ref="S385">+$B$2*SIN(R385*$B$3+$B$4)+0*R385+ SUM($J$2:$J$20*SIN(2*PI()*N385*$I$2:$I$20+$K$2:$K$20))</f>
        <v>-9.0930206459302484E-2</v>
      </c>
      <c r="U385" s="3">
        <f t="shared" si="48"/>
        <v>1911.9166666666376</v>
      </c>
      <c r="V385" s="3">
        <f t="shared" si="49"/>
        <v>-0.976912</v>
      </c>
      <c r="Z385" s="1">
        <v>1911.9583</v>
      </c>
      <c r="AA385" s="2">
        <f t="shared" si="45"/>
        <v>-4.2408000000000001E-2</v>
      </c>
      <c r="AB385">
        <v>-2.1204000000000001</v>
      </c>
      <c r="AE385">
        <v>1911.9166666666376</v>
      </c>
      <c r="AF385">
        <v>-9.0930206459302484E-2</v>
      </c>
    </row>
    <row r="386" spans="4:32" x14ac:dyDescent="0.35">
      <c r="D386">
        <v>-0.10522999999999999</v>
      </c>
      <c r="M386">
        <f t="shared" si="46"/>
        <v>385</v>
      </c>
      <c r="N386">
        <f t="shared" si="47"/>
        <v>1911.9999999999709</v>
      </c>
      <c r="O386">
        <f t="shared" ref="O386:O449" si="50">+IF(MOD(M386,$B$5)=1, $B$6, 0)</f>
        <v>36.637715116165623</v>
      </c>
      <c r="P386">
        <f t="array" ref="P386">+SUM($G$2:$G$18*SIN(2*PI()*(N386)*$B$1/$F$2:$F$18+$H$2:$H$18))</f>
        <v>9.9944392963950981E-2</v>
      </c>
      <c r="Q386">
        <f t="shared" si="43"/>
        <v>3.6617341968713442</v>
      </c>
      <c r="R386">
        <f t="shared" si="44"/>
        <v>-6.0282145841662749E-4</v>
      </c>
      <c r="S386">
        <f t="array" ref="S386">+$B$2*SIN(R386*$B$3+$B$4)+0*R386+ SUM($J$2:$J$20*SIN(2*PI()*N386*$I$2:$I$20+$K$2:$K$20))</f>
        <v>-0.69682722058624802</v>
      </c>
      <c r="U386" s="3">
        <f t="shared" si="48"/>
        <v>1911.9999999999709</v>
      </c>
      <c r="V386" s="3">
        <f t="shared" si="49"/>
        <v>-1.2740400000000001</v>
      </c>
      <c r="Z386" s="1">
        <v>1912.0417</v>
      </c>
      <c r="AA386" s="2">
        <f t="shared" si="45"/>
        <v>4.1199999999999999E-4</v>
      </c>
      <c r="AB386">
        <v>2.06E-2</v>
      </c>
      <c r="AE386">
        <v>1911.9999999999709</v>
      </c>
      <c r="AF386">
        <v>-0.69682722058624802</v>
      </c>
    </row>
    <row r="387" spans="4:32" x14ac:dyDescent="0.35">
      <c r="D387">
        <v>-4.2408000000000001E-2</v>
      </c>
      <c r="M387">
        <f t="shared" si="46"/>
        <v>386</v>
      </c>
      <c r="N387">
        <f t="shared" si="47"/>
        <v>1912.0833333333042</v>
      </c>
      <c r="O387">
        <f t="shared" si="50"/>
        <v>0</v>
      </c>
      <c r="P387">
        <f t="array" ref="P387">+SUM($G$2:$G$18*SIN(2*PI()*(N387)*$B$1/$F$2:$F$18+$H$2:$H$18))</f>
        <v>-3.7423170283575197E-2</v>
      </c>
      <c r="Q387">
        <f t="shared" ref="Q387:Q450" si="51">+O387*P387</f>
        <v>0</v>
      </c>
      <c r="R387">
        <f t="shared" ref="R387:R450" si="52">+(1-$B$7)*R386+($B$7)*Q387</f>
        <v>-6.0189423405780575E-4</v>
      </c>
      <c r="S387">
        <f t="array" ref="S387">+$B$2*SIN(R387*$B$3+$B$4)+0*R387+ SUM($J$2:$J$20*SIN(2*PI()*N387*$I$2:$I$20+$K$2:$K$20))</f>
        <v>-0.69687688920885804</v>
      </c>
      <c r="U387" s="3">
        <f t="shared" si="48"/>
        <v>1912.0833333333042</v>
      </c>
      <c r="V387" s="3">
        <f t="shared" si="49"/>
        <v>-0.96962999999999999</v>
      </c>
      <c r="Z387" s="1">
        <v>1912.125</v>
      </c>
      <c r="AA387" s="2">
        <f t="shared" ref="AA387:AA450" si="53">+AB387/50</f>
        <v>-3.8303999999999998E-2</v>
      </c>
      <c r="AB387">
        <v>-1.9152</v>
      </c>
      <c r="AE387">
        <v>1912.0833333333042</v>
      </c>
      <c r="AF387">
        <v>-0.69687688920885804</v>
      </c>
    </row>
    <row r="388" spans="4:32" x14ac:dyDescent="0.35">
      <c r="D388">
        <v>4.1199999999999999E-4</v>
      </c>
      <c r="M388">
        <f t="shared" ref="M388:M451" si="54">+M387+1</f>
        <v>387</v>
      </c>
      <c r="N388">
        <f t="shared" ref="N388:N451" si="55">+N387+1/12</f>
        <v>1912.1666666666374</v>
      </c>
      <c r="O388">
        <f t="shared" si="50"/>
        <v>0</v>
      </c>
      <c r="P388">
        <f t="array" ref="P388">+SUM($G$2:$G$18*SIN(2*PI()*(N388)*$B$1/$F$2:$F$18+$H$2:$H$18))</f>
        <v>6.4067249035951457E-3</v>
      </c>
      <c r="Q388">
        <f t="shared" si="51"/>
        <v>0</v>
      </c>
      <c r="R388">
        <f t="shared" si="52"/>
        <v>-6.0096843590072178E-4</v>
      </c>
      <c r="S388">
        <f t="array" ref="S388">+$B$2*SIN(R388*$B$3+$B$4)+0*R388+ SUM($J$2:$J$20*SIN(2*PI()*N388*$I$2:$I$20+$K$2:$K$20))</f>
        <v>-0.69692646025940852</v>
      </c>
      <c r="U388" s="3">
        <f t="shared" si="48"/>
        <v>1912.1666666666374</v>
      </c>
      <c r="V388" s="3">
        <f t="shared" si="49"/>
        <v>-1.0959940000000001</v>
      </c>
      <c r="Z388" s="1">
        <v>1912.2083</v>
      </c>
      <c r="AA388" s="2">
        <f t="shared" si="53"/>
        <v>0.14605399999999999</v>
      </c>
      <c r="AB388">
        <v>7.3026999999999997</v>
      </c>
      <c r="AE388">
        <v>1912.1666666666374</v>
      </c>
      <c r="AF388">
        <v>-0.69692646025940852</v>
      </c>
    </row>
    <row r="389" spans="4:32" x14ac:dyDescent="0.35">
      <c r="D389">
        <v>-3.8303999999999998E-2</v>
      </c>
      <c r="M389">
        <f t="shared" si="54"/>
        <v>388</v>
      </c>
      <c r="N389">
        <f t="shared" si="55"/>
        <v>1912.2499999999707</v>
      </c>
      <c r="O389">
        <f t="shared" si="50"/>
        <v>0</v>
      </c>
      <c r="P389">
        <f t="array" ref="P389">+SUM($G$2:$G$18*SIN(2*PI()*(N389)*$B$1/$F$2:$F$18+$H$2:$H$18))</f>
        <v>0.43957653540585678</v>
      </c>
      <c r="Q389">
        <f t="shared" si="51"/>
        <v>0</v>
      </c>
      <c r="R389">
        <f t="shared" si="52"/>
        <v>-6.0004406175167635E-4</v>
      </c>
      <c r="S389">
        <f t="array" ref="S389">+$B$2*SIN(R389*$B$3+$B$4)+0*R389+ SUM($J$2:$J$20*SIN(2*PI()*N389*$I$2:$I$20+$K$2:$K$20))</f>
        <v>-0.69697593395156676</v>
      </c>
      <c r="U389" s="3">
        <f t="shared" si="48"/>
        <v>1912.2499999999707</v>
      </c>
      <c r="V389" s="3">
        <f t="shared" si="49"/>
        <v>-0.85774000000000006</v>
      </c>
      <c r="Z389" s="1">
        <v>1912.2917</v>
      </c>
      <c r="AA389" s="2">
        <f t="shared" si="53"/>
        <v>-0.12189800000000001</v>
      </c>
      <c r="AB389">
        <v>-6.0949</v>
      </c>
      <c r="AE389">
        <v>1912.2499999999707</v>
      </c>
      <c r="AF389">
        <v>-0.69697593395156676</v>
      </c>
    </row>
    <row r="390" spans="4:32" x14ac:dyDescent="0.35">
      <c r="D390">
        <v>0.14605399999999999</v>
      </c>
      <c r="M390">
        <f t="shared" si="54"/>
        <v>389</v>
      </c>
      <c r="N390">
        <f t="shared" si="55"/>
        <v>1912.3333333333039</v>
      </c>
      <c r="O390">
        <f t="shared" si="50"/>
        <v>0</v>
      </c>
      <c r="P390">
        <f t="array" ref="P390">+SUM($G$2:$G$18*SIN(2*PI()*(N390)*$B$1/$F$2:$F$18+$H$2:$H$18))</f>
        <v>0.73145088417140047</v>
      </c>
      <c r="Q390">
        <f t="shared" si="51"/>
        <v>0</v>
      </c>
      <c r="R390">
        <f t="shared" si="52"/>
        <v>-5.9912110942034452E-4</v>
      </c>
      <c r="S390">
        <f t="array" ref="S390">+$B$2*SIN(R390*$B$3+$B$4)+0*R390+ SUM($J$2:$J$20*SIN(2*PI()*N390*$I$2:$I$20+$K$2:$K$20))</f>
        <v>-0.69702531049848371</v>
      </c>
      <c r="U390" s="3">
        <f t="shared" si="48"/>
        <v>1912.3333333333039</v>
      </c>
      <c r="V390" s="3">
        <f t="shared" si="49"/>
        <v>-1.2502580000000001</v>
      </c>
      <c r="Z390" s="1">
        <v>1912.375</v>
      </c>
      <c r="AA390" s="2">
        <f t="shared" si="53"/>
        <v>-0.10677199999999999</v>
      </c>
      <c r="AB390">
        <v>-5.3385999999999996</v>
      </c>
      <c r="AE390">
        <v>1912.3333333333039</v>
      </c>
      <c r="AF390">
        <v>-0.69702531049848371</v>
      </c>
    </row>
    <row r="391" spans="4:32" x14ac:dyDescent="0.35">
      <c r="D391">
        <v>-0.12189800000000001</v>
      </c>
      <c r="M391">
        <f t="shared" si="54"/>
        <v>390</v>
      </c>
      <c r="N391">
        <f t="shared" si="55"/>
        <v>1912.4166666666372</v>
      </c>
      <c r="O391">
        <f t="shared" si="50"/>
        <v>0</v>
      </c>
      <c r="P391">
        <f t="array" ref="P391">+SUM($G$2:$G$18*SIN(2*PI()*(N391)*$B$1/$F$2:$F$18+$H$2:$H$18))</f>
        <v>0.72273645749606397</v>
      </c>
      <c r="Q391">
        <f t="shared" si="51"/>
        <v>0</v>
      </c>
      <c r="R391">
        <f t="shared" si="52"/>
        <v>-5.9819957671977014E-4</v>
      </c>
      <c r="S391">
        <f t="array" ref="S391">+$B$2*SIN(R391*$B$3+$B$4)+0*R391+ SUM($J$2:$J$20*SIN(2*PI()*N391*$I$2:$I$20+$K$2:$K$20))</f>
        <v>-0.69707459011279438</v>
      </c>
      <c r="U391" s="3">
        <f t="shared" si="48"/>
        <v>1912.4166666666372</v>
      </c>
      <c r="V391" s="3">
        <f t="shared" si="49"/>
        <v>-1.1597</v>
      </c>
      <c r="Z391" s="1">
        <v>1912.4583</v>
      </c>
      <c r="AA391" s="2">
        <f t="shared" si="53"/>
        <v>2.2198000000000002E-2</v>
      </c>
      <c r="AB391">
        <v>1.1099000000000001</v>
      </c>
      <c r="AE391">
        <v>1912.4166666666372</v>
      </c>
      <c r="AF391">
        <v>-0.69707459011279438</v>
      </c>
    </row>
    <row r="392" spans="4:32" x14ac:dyDescent="0.35">
      <c r="D392">
        <v>-0.10677199999999999</v>
      </c>
      <c r="M392">
        <f t="shared" si="54"/>
        <v>391</v>
      </c>
      <c r="N392">
        <f t="shared" si="55"/>
        <v>1912.4999999999704</v>
      </c>
      <c r="O392">
        <f t="shared" si="50"/>
        <v>0</v>
      </c>
      <c r="P392">
        <f t="array" ref="P392">+SUM($G$2:$G$18*SIN(2*PI()*(N392)*$B$1/$F$2:$F$18+$H$2:$H$18))</f>
        <v>0.53841357907571008</v>
      </c>
      <c r="Q392">
        <f t="shared" si="51"/>
        <v>0</v>
      </c>
      <c r="R392">
        <f t="shared" si="52"/>
        <v>-5.9727946146636104E-4</v>
      </c>
      <c r="S392">
        <f t="array" ref="S392">+$B$2*SIN(R392*$B$3+$B$4)+0*R392+ SUM($J$2:$J$20*SIN(2*PI()*N392*$I$2:$I$20+$K$2:$K$20))</f>
        <v>-0.69712377300662087</v>
      </c>
      <c r="U392" s="3">
        <f t="shared" si="48"/>
        <v>1912.4999999999704</v>
      </c>
      <c r="V392" s="3">
        <f t="shared" si="49"/>
        <v>-1.067604</v>
      </c>
      <c r="Z392" s="1">
        <v>1912.5417</v>
      </c>
      <c r="AA392" s="2">
        <f t="shared" si="53"/>
        <v>0.23885799999999999</v>
      </c>
      <c r="AB392">
        <v>11.9429</v>
      </c>
      <c r="AE392">
        <v>1912.4999999999704</v>
      </c>
      <c r="AF392">
        <v>-0.69712377300662087</v>
      </c>
    </row>
    <row r="393" spans="4:32" x14ac:dyDescent="0.35">
      <c r="D393">
        <v>2.2198000000000002E-2</v>
      </c>
      <c r="M393">
        <f t="shared" si="54"/>
        <v>392</v>
      </c>
      <c r="N393">
        <f t="shared" si="55"/>
        <v>1912.5833333333037</v>
      </c>
      <c r="O393">
        <f t="shared" si="50"/>
        <v>0</v>
      </c>
      <c r="P393">
        <f t="array" ref="P393">+SUM($G$2:$G$18*SIN(2*PI()*(N393)*$B$1/$F$2:$F$18+$H$2:$H$18))</f>
        <v>4.3388556837724086E-2</v>
      </c>
      <c r="Q393">
        <f t="shared" si="51"/>
        <v>0</v>
      </c>
      <c r="R393">
        <f t="shared" si="52"/>
        <v>-5.963607614798838E-4</v>
      </c>
      <c r="S393">
        <f t="array" ref="S393">+$B$2*SIN(R393*$B$3+$B$4)+0*R393+ SUM($J$2:$J$20*SIN(2*PI()*N393*$I$2:$I$20+$K$2:$K$20))</f>
        <v>-0.69717285939157192</v>
      </c>
      <c r="U393" s="3">
        <f t="shared" si="48"/>
        <v>1912.5833333333037</v>
      </c>
      <c r="V393" s="3">
        <f t="shared" si="49"/>
        <v>-0.92320199999999997</v>
      </c>
      <c r="Z393" s="1">
        <v>1912.625</v>
      </c>
      <c r="AA393" s="2">
        <f t="shared" si="53"/>
        <v>0.30013400000000001</v>
      </c>
      <c r="AB393">
        <v>15.0067</v>
      </c>
      <c r="AE393">
        <v>1912.5833333333037</v>
      </c>
      <c r="AF393">
        <v>-0.69717285939157192</v>
      </c>
    </row>
    <row r="394" spans="4:32" x14ac:dyDescent="0.35">
      <c r="D394">
        <v>0.23885799999999999</v>
      </c>
      <c r="M394">
        <f t="shared" si="54"/>
        <v>393</v>
      </c>
      <c r="N394">
        <f t="shared" si="55"/>
        <v>1912.666666666637</v>
      </c>
      <c r="O394">
        <f t="shared" si="50"/>
        <v>0</v>
      </c>
      <c r="P394">
        <f t="array" ref="P394">+SUM($G$2:$G$18*SIN(2*PI()*(N394)*$B$1/$F$2:$F$18+$H$2:$H$18))</f>
        <v>-0.35655590930691722</v>
      </c>
      <c r="Q394">
        <f t="shared" si="51"/>
        <v>0</v>
      </c>
      <c r="R394">
        <f t="shared" si="52"/>
        <v>-5.9544347458345833E-4</v>
      </c>
      <c r="S394">
        <f t="array" ref="S394">+$B$2*SIN(R394*$B$3+$B$4)+0*R394+ SUM($J$2:$J$20*SIN(2*PI()*N394*$I$2:$I$20+$K$2:$K$20))</f>
        <v>-0.69722184947874555</v>
      </c>
      <c r="U394" s="3">
        <f t="shared" si="48"/>
        <v>1912.666666666637</v>
      </c>
      <c r="V394" s="3">
        <f t="shared" si="49"/>
        <v>-0.76495599999999997</v>
      </c>
      <c r="Z394" s="1">
        <v>1912.7083</v>
      </c>
      <c r="AA394" s="2">
        <f t="shared" si="53"/>
        <v>0.35987000000000002</v>
      </c>
      <c r="AB394">
        <v>17.993500000000001</v>
      </c>
      <c r="AE394">
        <v>1912.666666666637</v>
      </c>
      <c r="AF394">
        <v>-0.69722184947874555</v>
      </c>
    </row>
    <row r="395" spans="4:32" x14ac:dyDescent="0.35">
      <c r="D395">
        <v>0.30013400000000001</v>
      </c>
      <c r="M395">
        <f t="shared" si="54"/>
        <v>394</v>
      </c>
      <c r="N395">
        <f t="shared" si="55"/>
        <v>1912.7499999999702</v>
      </c>
      <c r="O395">
        <f t="shared" si="50"/>
        <v>0</v>
      </c>
      <c r="P395">
        <f t="array" ref="P395">+SUM($G$2:$G$18*SIN(2*PI()*(N395)*$B$1/$F$2:$F$18+$H$2:$H$18))</f>
        <v>-0.27198529996736387</v>
      </c>
      <c r="Q395">
        <f t="shared" si="51"/>
        <v>0</v>
      </c>
      <c r="R395">
        <f t="shared" si="52"/>
        <v>-5.9452759860355309E-4</v>
      </c>
      <c r="S395">
        <f t="array" ref="S395">+$B$2*SIN(R395*$B$3+$B$4)+0*R395+ SUM($J$2:$J$20*SIN(2*PI()*N395*$I$2:$I$20+$K$2:$K$20))</f>
        <v>-0.69727074347872942</v>
      </c>
      <c r="U395" s="3">
        <f t="shared" si="48"/>
        <v>1912.7499999999702</v>
      </c>
      <c r="V395" s="3">
        <f t="shared" si="49"/>
        <v>-0.52978599999999998</v>
      </c>
      <c r="Z395" s="1">
        <v>1912.7917</v>
      </c>
      <c r="AA395" s="2">
        <f t="shared" si="53"/>
        <v>0.59498800000000007</v>
      </c>
      <c r="AB395">
        <v>29.749400000000001</v>
      </c>
      <c r="AE395">
        <v>1912.7499999999702</v>
      </c>
      <c r="AF395">
        <v>-0.69727074347872942</v>
      </c>
    </row>
    <row r="396" spans="4:32" x14ac:dyDescent="0.35">
      <c r="D396">
        <v>0.35987000000000002</v>
      </c>
      <c r="M396">
        <f t="shared" si="54"/>
        <v>395</v>
      </c>
      <c r="N396">
        <f t="shared" si="55"/>
        <v>1912.8333333333035</v>
      </c>
      <c r="O396">
        <f t="shared" si="50"/>
        <v>0</v>
      </c>
      <c r="P396">
        <f t="array" ref="P396">+SUM($G$2:$G$18*SIN(2*PI()*(N396)*$B$1/$F$2:$F$18+$H$2:$H$18))</f>
        <v>-3.9205924572211281E-2</v>
      </c>
      <c r="Q396">
        <f t="shared" si="51"/>
        <v>0</v>
      </c>
      <c r="R396">
        <f t="shared" si="52"/>
        <v>-5.9361313136997956E-4</v>
      </c>
      <c r="S396">
        <f t="array" ref="S396">+$B$2*SIN(R396*$B$3+$B$4)+0*R396+ SUM($J$2:$J$20*SIN(2*PI()*N396*$I$2:$I$20+$K$2:$K$20))</f>
        <v>-0.69731954160160281</v>
      </c>
      <c r="U396" s="3">
        <f t="shared" si="48"/>
        <v>1912.8333333333035</v>
      </c>
      <c r="V396" s="3">
        <f t="shared" si="49"/>
        <v>-0.51615600000000006</v>
      </c>
      <c r="Z396" s="1">
        <v>1912.875</v>
      </c>
      <c r="AA396" s="2">
        <f t="shared" si="53"/>
        <v>0.48549199999999998</v>
      </c>
      <c r="AB396">
        <v>24.2746</v>
      </c>
      <c r="AE396">
        <v>1912.8333333333035</v>
      </c>
      <c r="AF396">
        <v>-0.69731954160160281</v>
      </c>
    </row>
    <row r="397" spans="4:32" x14ac:dyDescent="0.35">
      <c r="D397">
        <v>0.59498800000000007</v>
      </c>
      <c r="M397">
        <f t="shared" si="54"/>
        <v>396</v>
      </c>
      <c r="N397">
        <f t="shared" si="55"/>
        <v>1912.9166666666367</v>
      </c>
      <c r="O397">
        <f t="shared" si="50"/>
        <v>0</v>
      </c>
      <c r="P397">
        <f t="array" ref="P397">+SUM($G$2:$G$18*SIN(2*PI()*(N397)*$B$1/$F$2:$F$18+$H$2:$H$18))</f>
        <v>0.17714040600574493</v>
      </c>
      <c r="Q397">
        <f t="shared" si="51"/>
        <v>0</v>
      </c>
      <c r="R397">
        <f t="shared" si="52"/>
        <v>-5.9270007071588729E-4</v>
      </c>
      <c r="S397">
        <f t="array" ref="S397">+$B$2*SIN(R397*$B$3+$B$4)+0*R397+ SUM($J$2:$J$20*SIN(2*PI()*N397*$I$2:$I$20+$K$2:$K$20))</f>
        <v>-0.69736824405693787</v>
      </c>
      <c r="U397" s="3">
        <f t="shared" si="48"/>
        <v>1912.9166666666367</v>
      </c>
      <c r="V397" s="3">
        <f t="shared" si="49"/>
        <v>-0.65022199999999997</v>
      </c>
      <c r="Z397" s="1">
        <v>1912.9583</v>
      </c>
      <c r="AA397" s="2">
        <f t="shared" si="53"/>
        <v>0.50830200000000003</v>
      </c>
      <c r="AB397">
        <v>25.415099999999999</v>
      </c>
      <c r="AE397">
        <v>1912.9166666666367</v>
      </c>
      <c r="AF397">
        <v>-0.69736824405693787</v>
      </c>
    </row>
    <row r="398" spans="4:32" x14ac:dyDescent="0.35">
      <c r="D398">
        <v>0.48549199999999998</v>
      </c>
      <c r="M398">
        <f t="shared" si="54"/>
        <v>397</v>
      </c>
      <c r="N398">
        <f t="shared" si="55"/>
        <v>1912.99999999997</v>
      </c>
      <c r="O398">
        <f t="shared" si="50"/>
        <v>36.637715116165623</v>
      </c>
      <c r="P398">
        <f t="array" ref="P398">+SUM($G$2:$G$18*SIN(2*PI()*(N398)*$B$1/$F$2:$F$18+$H$2:$H$18))</f>
        <v>0.333899104882455</v>
      </c>
      <c r="Q398">
        <f t="shared" si="51"/>
        <v>12.233300282226093</v>
      </c>
      <c r="R398">
        <f t="shared" si="52"/>
        <v>1.8224751461616201E-2</v>
      </c>
      <c r="S398">
        <f t="array" ref="S398">+$B$2*SIN(R398*$B$3+$B$4)+0*R398+ SUM($J$2:$J$20*SIN(2*PI()*N398*$I$2:$I$20+$K$2:$K$20))</f>
        <v>0.75265673061346916</v>
      </c>
      <c r="U398" s="3">
        <f t="shared" si="48"/>
        <v>1912.99999999997</v>
      </c>
      <c r="V398" s="3">
        <f t="shared" si="49"/>
        <v>-0.35505600000000004</v>
      </c>
      <c r="Z398" s="1">
        <v>1913.0417</v>
      </c>
      <c r="AA398" s="2">
        <f t="shared" si="53"/>
        <v>0.62649200000000005</v>
      </c>
      <c r="AB398">
        <v>31.3246</v>
      </c>
      <c r="AE398">
        <v>1912.99999999997</v>
      </c>
      <c r="AF398">
        <v>0.75265673061346916</v>
      </c>
    </row>
    <row r="399" spans="4:32" x14ac:dyDescent="0.35">
      <c r="D399">
        <v>0.50830200000000003</v>
      </c>
      <c r="M399">
        <f t="shared" si="54"/>
        <v>398</v>
      </c>
      <c r="N399">
        <f t="shared" si="55"/>
        <v>1913.0833333333032</v>
      </c>
      <c r="O399">
        <f t="shared" si="50"/>
        <v>0</v>
      </c>
      <c r="P399">
        <f t="array" ref="P399">+SUM($G$2:$G$18*SIN(2*PI()*(N399)*$B$1/$F$2:$F$18+$H$2:$H$18))</f>
        <v>0.3250722185835524</v>
      </c>
      <c r="Q399">
        <f t="shared" si="51"/>
        <v>0</v>
      </c>
      <c r="R399">
        <f t="shared" si="52"/>
        <v>1.819671922544951E-2</v>
      </c>
      <c r="S399">
        <f t="array" ref="S399">+$B$2*SIN(R399*$B$3+$B$4)+0*R399+ SUM($J$2:$J$20*SIN(2*PI()*N399*$I$2:$I$20+$K$2:$K$20))</f>
        <v>0.75270244565716804</v>
      </c>
      <c r="U399" s="3">
        <f t="shared" si="48"/>
        <v>1913.0833333333032</v>
      </c>
      <c r="V399" s="3">
        <f t="shared" si="49"/>
        <v>-0.18604399999999999</v>
      </c>
      <c r="Z399" s="1">
        <v>1913.125</v>
      </c>
      <c r="AA399" s="2">
        <f t="shared" si="53"/>
        <v>0.89852999999999994</v>
      </c>
      <c r="AB399">
        <v>44.926499999999997</v>
      </c>
      <c r="AE399">
        <v>1913.0833333333032</v>
      </c>
      <c r="AF399">
        <v>0.75270244565716804</v>
      </c>
    </row>
    <row r="400" spans="4:32" x14ac:dyDescent="0.35">
      <c r="D400">
        <v>0.62649200000000005</v>
      </c>
      <c r="M400">
        <f t="shared" si="54"/>
        <v>399</v>
      </c>
      <c r="N400">
        <f t="shared" si="55"/>
        <v>1913.1666666666365</v>
      </c>
      <c r="O400">
        <f t="shared" si="50"/>
        <v>0</v>
      </c>
      <c r="P400">
        <f t="array" ref="P400">+SUM($G$2:$G$18*SIN(2*PI()*(N400)*$B$1/$F$2:$F$18+$H$2:$H$18))</f>
        <v>0.35786763083278073</v>
      </c>
      <c r="Q400">
        <f t="shared" si="51"/>
        <v>0</v>
      </c>
      <c r="R400">
        <f t="shared" si="52"/>
        <v>1.8168730106812633E-2</v>
      </c>
      <c r="S400">
        <f t="array" ref="S400">+$B$2*SIN(R400*$B$3+$B$4)+0*R400+ SUM($J$2:$J$20*SIN(2*PI()*N400*$I$2:$I$20+$K$2:$K$20))</f>
        <v>0.75272718636885494</v>
      </c>
      <c r="U400" s="3">
        <f t="shared" si="48"/>
        <v>1913.1666666666365</v>
      </c>
      <c r="V400" s="3">
        <f t="shared" si="49"/>
        <v>-8.6267999999999997E-2</v>
      </c>
      <c r="Z400" s="1">
        <v>1913.2083</v>
      </c>
      <c r="AA400" s="2">
        <f t="shared" si="53"/>
        <v>0.81979800000000003</v>
      </c>
      <c r="AB400">
        <v>40.989899999999999</v>
      </c>
      <c r="AE400">
        <v>1913.1666666666365</v>
      </c>
      <c r="AF400">
        <v>0.75272718636885494</v>
      </c>
    </row>
    <row r="401" spans="4:32" x14ac:dyDescent="0.35">
      <c r="D401">
        <v>0.89852999999999994</v>
      </c>
      <c r="M401">
        <f t="shared" si="54"/>
        <v>400</v>
      </c>
      <c r="N401">
        <f t="shared" si="55"/>
        <v>1913.2499999999698</v>
      </c>
      <c r="O401">
        <f t="shared" si="50"/>
        <v>0</v>
      </c>
      <c r="P401">
        <f t="array" ref="P401">+SUM($G$2:$G$18*SIN(2*PI()*(N401)*$B$1/$F$2:$F$18+$H$2:$H$18))</f>
        <v>0.19698853837122465</v>
      </c>
      <c r="Q401">
        <f t="shared" si="51"/>
        <v>0</v>
      </c>
      <c r="R401">
        <f t="shared" si="52"/>
        <v>1.8140784039384735E-2</v>
      </c>
      <c r="S401">
        <f t="array" ref="S401">+$B$2*SIN(R401*$B$3+$B$4)+0*R401+ SUM($J$2:$J$20*SIN(2*PI()*N401*$I$2:$I$20+$K$2:$K$20))</f>
        <v>0.75273104858176532</v>
      </c>
      <c r="U401" s="3">
        <f t="shared" si="48"/>
        <v>1913.2499999999698</v>
      </c>
      <c r="V401" s="3">
        <f t="shared" si="49"/>
        <v>0.111972</v>
      </c>
      <c r="Z401" s="1">
        <v>1913.2917</v>
      </c>
      <c r="AA401" s="2">
        <f t="shared" si="53"/>
        <v>0.44414000000000003</v>
      </c>
      <c r="AB401">
        <v>22.207000000000001</v>
      </c>
      <c r="AE401">
        <v>1913.2499999999698</v>
      </c>
      <c r="AF401">
        <v>0.75273104858176532</v>
      </c>
    </row>
    <row r="402" spans="4:32" x14ac:dyDescent="0.35">
      <c r="D402">
        <v>0.81979800000000003</v>
      </c>
      <c r="M402">
        <f t="shared" si="54"/>
        <v>401</v>
      </c>
      <c r="N402">
        <f t="shared" si="55"/>
        <v>1913.333333333303</v>
      </c>
      <c r="O402">
        <f t="shared" si="50"/>
        <v>0</v>
      </c>
      <c r="P402">
        <f t="array" ref="P402">+SUM($G$2:$G$18*SIN(2*PI()*(N402)*$B$1/$F$2:$F$18+$H$2:$H$18))</f>
        <v>-0.45112126327629293</v>
      </c>
      <c r="Q402">
        <f t="shared" si="51"/>
        <v>0</v>
      </c>
      <c r="R402">
        <f t="shared" si="52"/>
        <v>1.8112880956946988E-2</v>
      </c>
      <c r="S402">
        <f t="array" ref="S402">+$B$2*SIN(R402*$B$3+$B$4)+0*R402+ SUM($J$2:$J$20*SIN(2*PI()*N402*$I$2:$I$20+$K$2:$K$20))</f>
        <v>0.75271412836470175</v>
      </c>
      <c r="U402" s="3">
        <f t="shared" si="48"/>
        <v>1913.333333333303</v>
      </c>
      <c r="V402" s="3">
        <f t="shared" si="49"/>
        <v>-2.6712E-2</v>
      </c>
      <c r="Z402" s="1">
        <v>1913.375</v>
      </c>
      <c r="AA402" s="2">
        <f t="shared" si="53"/>
        <v>0.53309800000000007</v>
      </c>
      <c r="AB402">
        <v>26.654900000000001</v>
      </c>
      <c r="AE402">
        <v>1913.333333333303</v>
      </c>
      <c r="AF402">
        <v>0.75271412836470175</v>
      </c>
    </row>
    <row r="403" spans="4:32" x14ac:dyDescent="0.35">
      <c r="D403">
        <v>0.44414000000000003</v>
      </c>
      <c r="M403">
        <f t="shared" si="54"/>
        <v>402</v>
      </c>
      <c r="N403">
        <f t="shared" si="55"/>
        <v>1913.4166666666363</v>
      </c>
      <c r="O403">
        <f t="shared" si="50"/>
        <v>0</v>
      </c>
      <c r="P403">
        <f t="array" ref="P403">+SUM($G$2:$G$18*SIN(2*PI()*(N403)*$B$1/$F$2:$F$18+$H$2:$H$18))</f>
        <v>-0.83620346020812886</v>
      </c>
      <c r="Q403">
        <f t="shared" si="51"/>
        <v>0</v>
      </c>
      <c r="R403">
        <f t="shared" si="52"/>
        <v>1.8085020793382419E-2</v>
      </c>
      <c r="S403">
        <f t="array" ref="S403">+$B$2*SIN(R403*$B$3+$B$4)+0*R403+ SUM($J$2:$J$20*SIN(2*PI()*N403*$I$2:$I$20+$K$2:$K$20))</f>
        <v>0.75267652201430124</v>
      </c>
      <c r="U403" s="3">
        <f t="shared" si="48"/>
        <v>1913.4166666666363</v>
      </c>
      <c r="V403" s="3">
        <f t="shared" si="49"/>
        <v>9.1523999999999994E-2</v>
      </c>
      <c r="Z403" s="1">
        <v>1913.4583</v>
      </c>
      <c r="AA403" s="2">
        <f t="shared" si="53"/>
        <v>1.0897479999999999</v>
      </c>
      <c r="AB403">
        <v>54.487400000000001</v>
      </c>
      <c r="AE403">
        <v>1913.4166666666363</v>
      </c>
      <c r="AF403">
        <v>0.75267652201430124</v>
      </c>
    </row>
    <row r="404" spans="4:32" x14ac:dyDescent="0.35">
      <c r="D404">
        <v>0.53309800000000007</v>
      </c>
      <c r="M404">
        <f t="shared" si="54"/>
        <v>403</v>
      </c>
      <c r="N404">
        <f t="shared" si="55"/>
        <v>1913.4999999999695</v>
      </c>
      <c r="O404">
        <f t="shared" si="50"/>
        <v>0</v>
      </c>
      <c r="P404">
        <f t="array" ref="P404">+SUM($G$2:$G$18*SIN(2*PI()*(N404)*$B$1/$F$2:$F$18+$H$2:$H$18))</f>
        <v>-0.50086573621638619</v>
      </c>
      <c r="Q404">
        <f t="shared" si="51"/>
        <v>0</v>
      </c>
      <c r="R404">
        <f t="shared" si="52"/>
        <v>1.8057203482675751E-2</v>
      </c>
      <c r="S404">
        <f t="array" ref="S404">+$B$2*SIN(R404*$B$3+$B$4)+0*R404+ SUM($J$2:$J$20*SIN(2*PI()*N404*$I$2:$I$20+$K$2:$K$20))</f>
        <v>0.75261832604737167</v>
      </c>
      <c r="U404" s="3">
        <f t="shared" si="48"/>
        <v>1913.4999999999695</v>
      </c>
      <c r="V404" s="3">
        <f t="shared" si="49"/>
        <v>0.280528</v>
      </c>
      <c r="Z404" s="1">
        <v>1913.5417</v>
      </c>
      <c r="AA404" s="2">
        <f t="shared" si="53"/>
        <v>1.1663939999999999</v>
      </c>
      <c r="AB404">
        <v>58.319699999999997</v>
      </c>
      <c r="AE404">
        <v>1913.4999999999695</v>
      </c>
      <c r="AF404">
        <v>0.75261832604737167</v>
      </c>
    </row>
    <row r="405" spans="4:32" x14ac:dyDescent="0.35">
      <c r="D405">
        <v>1.0897479999999999</v>
      </c>
      <c r="M405">
        <f t="shared" si="54"/>
        <v>404</v>
      </c>
      <c r="N405">
        <f t="shared" si="55"/>
        <v>1913.5833333333028</v>
      </c>
      <c r="O405">
        <f t="shared" si="50"/>
        <v>0</v>
      </c>
      <c r="P405">
        <f t="array" ref="P405">+SUM($G$2:$G$18*SIN(2*PI()*(N405)*$B$1/$F$2:$F$18+$H$2:$H$18))</f>
        <v>-9.858448123391414E-3</v>
      </c>
      <c r="Q405">
        <f t="shared" si="51"/>
        <v>0</v>
      </c>
      <c r="R405">
        <f t="shared" si="52"/>
        <v>1.8029428958913251E-2</v>
      </c>
      <c r="S405">
        <f t="array" ref="S405">+$B$2*SIN(R405*$B$3+$B$4)+0*R405+ SUM($J$2:$J$20*SIN(2*PI()*N405*$I$2:$I$20+$K$2:$K$20))</f>
        <v>0.75253963719329797</v>
      </c>
      <c r="U405" s="3">
        <f t="shared" si="48"/>
        <v>1913.5833333333028</v>
      </c>
      <c r="V405" s="3">
        <f t="shared" si="49"/>
        <v>0.41876399999999997</v>
      </c>
      <c r="Z405" s="1">
        <v>1913.625</v>
      </c>
      <c r="AA405" s="2">
        <f t="shared" si="53"/>
        <v>1.2276560000000001</v>
      </c>
      <c r="AB405">
        <v>61.382800000000003</v>
      </c>
      <c r="AE405">
        <v>1913.5833333333028</v>
      </c>
      <c r="AF405">
        <v>0.75253963719329797</v>
      </c>
    </row>
    <row r="406" spans="4:32" x14ac:dyDescent="0.35">
      <c r="D406">
        <v>1.1663939999999999</v>
      </c>
      <c r="M406">
        <f t="shared" si="54"/>
        <v>405</v>
      </c>
      <c r="N406">
        <f t="shared" si="55"/>
        <v>1913.666666666636</v>
      </c>
      <c r="O406">
        <f t="shared" si="50"/>
        <v>0</v>
      </c>
      <c r="P406">
        <f t="array" ref="P406">+SUM($G$2:$G$18*SIN(2*PI()*(N406)*$B$1/$F$2:$F$18+$H$2:$H$18))</f>
        <v>0.22094825733763412</v>
      </c>
      <c r="Q406">
        <f t="shared" si="51"/>
        <v>0</v>
      </c>
      <c r="R406">
        <f t="shared" si="52"/>
        <v>1.8001697156282567E-2</v>
      </c>
      <c r="S406">
        <f t="array" ref="S406">+$B$2*SIN(R406*$B$3+$B$4)+0*R406+ SUM($J$2:$J$20*SIN(2*PI()*N406*$I$2:$I$20+$K$2:$K$20))</f>
        <v>0.75244055238651575</v>
      </c>
      <c r="U406" s="3">
        <f t="shared" si="48"/>
        <v>1913.666666666636</v>
      </c>
      <c r="V406" s="3">
        <f t="shared" si="49"/>
        <v>0.53392000000000006</v>
      </c>
      <c r="Z406" s="1">
        <v>1913.7083</v>
      </c>
      <c r="AA406" s="2">
        <f t="shared" si="53"/>
        <v>1.3550720000000001</v>
      </c>
      <c r="AB406">
        <v>67.753600000000006</v>
      </c>
      <c r="AE406">
        <v>1913.666666666636</v>
      </c>
      <c r="AF406">
        <v>0.75244055238651575</v>
      </c>
    </row>
    <row r="407" spans="4:32" x14ac:dyDescent="0.35">
      <c r="D407">
        <v>1.2276560000000001</v>
      </c>
      <c r="M407">
        <f t="shared" si="54"/>
        <v>406</v>
      </c>
      <c r="N407">
        <f t="shared" si="55"/>
        <v>1913.7499999999693</v>
      </c>
      <c r="O407">
        <f t="shared" si="50"/>
        <v>0</v>
      </c>
      <c r="P407">
        <f t="array" ref="P407">+SUM($G$2:$G$18*SIN(2*PI()*(N407)*$B$1/$F$2:$F$18+$H$2:$H$18))</f>
        <v>0.11148185651323674</v>
      </c>
      <c r="Q407">
        <f t="shared" si="51"/>
        <v>0</v>
      </c>
      <c r="R407">
        <f t="shared" si="52"/>
        <v>1.7974008009072579E-2</v>
      </c>
      <c r="S407">
        <f t="array" ref="S407">+$B$2*SIN(R407*$B$3+$B$4)+0*R407+ SUM($J$2:$J$20*SIN(2*PI()*N407*$I$2:$I$20+$K$2:$K$20))</f>
        <v>0.75232116875905364</v>
      </c>
      <c r="U407" s="3">
        <f t="shared" si="48"/>
        <v>1913.7499999999693</v>
      </c>
      <c r="V407" s="3">
        <f t="shared" si="49"/>
        <v>0.48907600000000001</v>
      </c>
      <c r="Z407" s="1">
        <v>1913.7917</v>
      </c>
      <c r="AA407" s="2">
        <f t="shared" si="53"/>
        <v>1.2670980000000001</v>
      </c>
      <c r="AB407">
        <v>63.354900000000001</v>
      </c>
      <c r="AE407">
        <v>1913.7499999999693</v>
      </c>
      <c r="AF407">
        <v>0.75232116875905364</v>
      </c>
    </row>
    <row r="408" spans="4:32" x14ac:dyDescent="0.35">
      <c r="D408">
        <v>1.3550720000000001</v>
      </c>
      <c r="M408">
        <f t="shared" si="54"/>
        <v>407</v>
      </c>
      <c r="N408">
        <f t="shared" si="55"/>
        <v>1913.8333333333026</v>
      </c>
      <c r="O408">
        <f t="shared" si="50"/>
        <v>0</v>
      </c>
      <c r="P408">
        <f t="array" ref="P408">+SUM($G$2:$G$18*SIN(2*PI()*(N408)*$B$1/$F$2:$F$18+$H$2:$H$18))</f>
        <v>-7.6252663266700799E-2</v>
      </c>
      <c r="Q408">
        <f t="shared" si="51"/>
        <v>0</v>
      </c>
      <c r="R408">
        <f t="shared" si="52"/>
        <v>1.7946361451673238E-2</v>
      </c>
      <c r="S408">
        <f t="array" ref="S408">+$B$2*SIN(R408*$B$3+$B$4)+0*R408+ SUM($J$2:$J$20*SIN(2*PI()*N408*$I$2:$I$20+$K$2:$K$20))</f>
        <v>0.75218158363314425</v>
      </c>
      <c r="U408" s="3">
        <f t="shared" si="48"/>
        <v>1913.8333333333026</v>
      </c>
      <c r="V408" s="3">
        <f t="shared" si="49"/>
        <v>0.28422999999999998</v>
      </c>
      <c r="Z408" s="1">
        <v>1913.875</v>
      </c>
      <c r="AA408" s="2">
        <f t="shared" si="53"/>
        <v>1.2945120000000001</v>
      </c>
      <c r="AB408">
        <v>64.7256</v>
      </c>
      <c r="AE408">
        <v>1913.8333333333026</v>
      </c>
      <c r="AF408">
        <v>0.75218158363314425</v>
      </c>
    </row>
    <row r="409" spans="4:32" x14ac:dyDescent="0.35">
      <c r="D409">
        <v>1.2670980000000001</v>
      </c>
      <c r="M409">
        <f t="shared" si="54"/>
        <v>408</v>
      </c>
      <c r="N409">
        <f t="shared" si="55"/>
        <v>1913.9166666666358</v>
      </c>
      <c r="O409">
        <f t="shared" si="50"/>
        <v>0</v>
      </c>
      <c r="P409">
        <f t="array" ref="P409">+SUM($G$2:$G$18*SIN(2*PI()*(N409)*$B$1/$F$2:$F$18+$H$2:$H$18))</f>
        <v>-1.3206615636821545E-2</v>
      </c>
      <c r="Q409">
        <f t="shared" si="51"/>
        <v>0</v>
      </c>
      <c r="R409">
        <f t="shared" si="52"/>
        <v>1.7918757418575414E-2</v>
      </c>
      <c r="S409">
        <f t="array" ref="S409">+$B$2*SIN(R409*$B$3+$B$4)+0*R409+ SUM($J$2:$J$20*SIN(2*PI()*N409*$I$2:$I$20+$K$2:$K$20))</f>
        <v>0.75202189451390244</v>
      </c>
      <c r="U409" s="3">
        <f t="shared" si="48"/>
        <v>1913.9166666666358</v>
      </c>
      <c r="V409" s="3">
        <f t="shared" si="49"/>
        <v>0.213228</v>
      </c>
      <c r="Z409" s="1">
        <v>1913.9583</v>
      </c>
      <c r="AA409" s="2">
        <f t="shared" si="53"/>
        <v>1.4480779999999998</v>
      </c>
      <c r="AB409">
        <v>72.403899999999993</v>
      </c>
      <c r="AE409">
        <v>1913.9166666666358</v>
      </c>
      <c r="AF409">
        <v>0.75202189451390244</v>
      </c>
    </row>
    <row r="410" spans="4:32" x14ac:dyDescent="0.35">
      <c r="D410">
        <v>1.2945120000000001</v>
      </c>
      <c r="M410">
        <f t="shared" si="54"/>
        <v>409</v>
      </c>
      <c r="N410">
        <f t="shared" si="55"/>
        <v>1913.9999999999691</v>
      </c>
      <c r="O410">
        <f t="shared" si="50"/>
        <v>36.637715116165623</v>
      </c>
      <c r="P410">
        <f t="array" ref="P410">+SUM($G$2:$G$18*SIN(2*PI()*(N410)*$B$1/$F$2:$F$18+$H$2:$H$18))</f>
        <v>-0.20391618594829303</v>
      </c>
      <c r="Q410">
        <f t="shared" si="51"/>
        <v>-7.471023128348615</v>
      </c>
      <c r="R410">
        <f t="shared" si="52"/>
        <v>6.399709379835852E-3</v>
      </c>
      <c r="S410">
        <f t="array" ref="S410">+$B$2*SIN(R410*$B$3+$B$4)+0*R410+ SUM($J$2:$J$20*SIN(2*PI()*N410*$I$2:$I$20+$K$2:$K$20))</f>
        <v>-0.44993204755110888</v>
      </c>
      <c r="U410" s="3">
        <f t="shared" si="48"/>
        <v>1913.9999999999691</v>
      </c>
      <c r="V410" s="3">
        <f t="shared" si="49"/>
        <v>0.17453399999999999</v>
      </c>
      <c r="Z410" s="1">
        <v>1914.0417</v>
      </c>
      <c r="AA410" s="2">
        <f t="shared" si="53"/>
        <v>1.480102</v>
      </c>
      <c r="AB410">
        <v>74.005099999999999</v>
      </c>
      <c r="AE410">
        <v>1913.9999999999691</v>
      </c>
      <c r="AF410">
        <v>-0.44993204755110888</v>
      </c>
    </row>
    <row r="411" spans="4:32" x14ac:dyDescent="0.35">
      <c r="D411">
        <v>1.4480779999999998</v>
      </c>
      <c r="M411">
        <f t="shared" si="54"/>
        <v>410</v>
      </c>
      <c r="N411">
        <f t="shared" si="55"/>
        <v>1914.0833333333023</v>
      </c>
      <c r="O411">
        <f t="shared" si="50"/>
        <v>0</v>
      </c>
      <c r="P411">
        <f t="array" ref="P411">+SUM($G$2:$G$18*SIN(2*PI()*(N411)*$B$1/$F$2:$F$18+$H$2:$H$18))</f>
        <v>-0.83311361767009207</v>
      </c>
      <c r="Q411">
        <f t="shared" si="51"/>
        <v>0</v>
      </c>
      <c r="R411">
        <f t="shared" si="52"/>
        <v>6.3898657248970415E-3</v>
      </c>
      <c r="S411">
        <f t="array" ref="S411">+$B$2*SIN(R411*$B$3+$B$4)+0*R411+ SUM($J$2:$J$20*SIN(2*PI()*N411*$I$2:$I$20+$K$2:$K$20))</f>
        <v>-0.45104930562394724</v>
      </c>
      <c r="U411" s="3">
        <f t="shared" si="48"/>
        <v>1914.0833333333023</v>
      </c>
      <c r="V411" s="3">
        <f t="shared" si="49"/>
        <v>-0.27493000000000001</v>
      </c>
      <c r="Z411" s="1">
        <v>1914.125</v>
      </c>
      <c r="AA411" s="2">
        <f t="shared" si="53"/>
        <v>1.3721260000000002</v>
      </c>
      <c r="AB411">
        <v>68.606300000000005</v>
      </c>
      <c r="AE411">
        <v>1914.0833333333023</v>
      </c>
      <c r="AF411">
        <v>-0.45104930562394724</v>
      </c>
    </row>
    <row r="412" spans="4:32" x14ac:dyDescent="0.35">
      <c r="D412">
        <v>1.480102</v>
      </c>
      <c r="M412">
        <f t="shared" si="54"/>
        <v>411</v>
      </c>
      <c r="N412">
        <f t="shared" si="55"/>
        <v>1914.1666666666356</v>
      </c>
      <c r="O412">
        <f t="shared" si="50"/>
        <v>0</v>
      </c>
      <c r="P412">
        <f t="array" ref="P412">+SUM($G$2:$G$18*SIN(2*PI()*(N412)*$B$1/$F$2:$F$18+$H$2:$H$18))</f>
        <v>-0.96259275244738651</v>
      </c>
      <c r="Q412">
        <f t="shared" si="51"/>
        <v>0</v>
      </c>
      <c r="R412">
        <f t="shared" si="52"/>
        <v>6.3800372108867949E-3</v>
      </c>
      <c r="S412">
        <f t="array" ref="S412">+$B$2*SIN(R412*$B$3+$B$4)+0*R412+ SUM($J$2:$J$20*SIN(2*PI()*N412*$I$2:$I$20+$K$2:$K$20))</f>
        <v>-0.45216330055372117</v>
      </c>
      <c r="U412" s="3">
        <f t="shared" si="48"/>
        <v>1914.1666666666356</v>
      </c>
      <c r="V412" s="3">
        <f t="shared" si="49"/>
        <v>-0.176704</v>
      </c>
      <c r="Z412" s="1">
        <v>1914.2083</v>
      </c>
      <c r="AA412" s="2">
        <f t="shared" si="53"/>
        <v>1.2210720000000002</v>
      </c>
      <c r="AB412">
        <v>61.053600000000003</v>
      </c>
      <c r="AE412">
        <v>1914.1666666666356</v>
      </c>
      <c r="AF412">
        <v>-0.45216330055372117</v>
      </c>
    </row>
    <row r="413" spans="4:32" x14ac:dyDescent="0.35">
      <c r="D413">
        <v>1.3721260000000002</v>
      </c>
      <c r="M413">
        <f t="shared" si="54"/>
        <v>412</v>
      </c>
      <c r="N413">
        <f t="shared" si="55"/>
        <v>1914.2499999999688</v>
      </c>
      <c r="O413">
        <f t="shared" si="50"/>
        <v>0</v>
      </c>
      <c r="P413">
        <f t="array" ref="P413">+SUM($G$2:$G$18*SIN(2*PI()*(N413)*$B$1/$F$2:$F$18+$H$2:$H$18))</f>
        <v>-0.37172895124318051</v>
      </c>
      <c r="Q413">
        <f t="shared" si="51"/>
        <v>0</v>
      </c>
      <c r="R413">
        <f t="shared" si="52"/>
        <v>6.3702238145162309E-3</v>
      </c>
      <c r="S413">
        <f t="array" ref="S413">+$B$2*SIN(R413*$B$3+$B$4)+0*R413+ SUM($J$2:$J$20*SIN(2*PI()*N413*$I$2:$I$20+$K$2:$K$20))</f>
        <v>-0.45327403830448509</v>
      </c>
      <c r="U413" s="3">
        <f t="shared" si="48"/>
        <v>1914.2499999999688</v>
      </c>
      <c r="V413" s="3">
        <f t="shared" si="49"/>
        <v>-0.26001600000000002</v>
      </c>
      <c r="Z413" s="1">
        <v>1914.2917</v>
      </c>
      <c r="AA413" s="2">
        <f t="shared" si="53"/>
        <v>1.4161699999999999</v>
      </c>
      <c r="AB413">
        <v>70.808499999999995</v>
      </c>
      <c r="AE413">
        <v>1914.2499999999688</v>
      </c>
      <c r="AF413">
        <v>-0.45327403830448509</v>
      </c>
    </row>
    <row r="414" spans="4:32" x14ac:dyDescent="0.35">
      <c r="D414">
        <v>1.2210720000000002</v>
      </c>
      <c r="M414">
        <f t="shared" si="54"/>
        <v>413</v>
      </c>
      <c r="N414">
        <f t="shared" si="55"/>
        <v>1914.3333333333021</v>
      </c>
      <c r="O414">
        <f t="shared" si="50"/>
        <v>0</v>
      </c>
      <c r="P414">
        <f t="array" ref="P414">+SUM($G$2:$G$18*SIN(2*PI()*(N414)*$B$1/$F$2:$F$18+$H$2:$H$18))</f>
        <v>0.18985733600564875</v>
      </c>
      <c r="Q414">
        <f t="shared" si="51"/>
        <v>0</v>
      </c>
      <c r="R414">
        <f t="shared" si="52"/>
        <v>6.3604255125322895E-3</v>
      </c>
      <c r="S414">
        <f t="array" ref="S414">+$B$2*SIN(R414*$B$3+$B$4)+0*R414+ SUM($J$2:$J$20*SIN(2*PI()*N414*$I$2:$I$20+$K$2:$K$20))</f>
        <v>-0.4543815248509927</v>
      </c>
      <c r="U414" s="3">
        <f t="shared" si="48"/>
        <v>1914.3333333333021</v>
      </c>
      <c r="V414" s="3">
        <f t="shared" si="49"/>
        <v>-0.118714</v>
      </c>
      <c r="Z414" s="1">
        <v>1914.375</v>
      </c>
      <c r="AA414" s="2">
        <f t="shared" si="53"/>
        <v>1.205114</v>
      </c>
      <c r="AB414">
        <v>60.255699999999997</v>
      </c>
      <c r="AE414">
        <v>1914.3333333333021</v>
      </c>
      <c r="AF414">
        <v>-0.4543815248509927</v>
      </c>
    </row>
    <row r="415" spans="4:32" x14ac:dyDescent="0.35">
      <c r="D415">
        <v>1.4161699999999999</v>
      </c>
      <c r="M415">
        <f t="shared" si="54"/>
        <v>414</v>
      </c>
      <c r="N415">
        <f t="shared" si="55"/>
        <v>1914.4166666666354</v>
      </c>
      <c r="O415">
        <f t="shared" si="50"/>
        <v>0</v>
      </c>
      <c r="P415">
        <f t="array" ref="P415">+SUM($G$2:$G$18*SIN(2*PI()*(N415)*$B$1/$F$2:$F$18+$H$2:$H$18))</f>
        <v>0.30276615720629907</v>
      </c>
      <c r="Q415">
        <f t="shared" si="51"/>
        <v>0</v>
      </c>
      <c r="R415">
        <f t="shared" si="52"/>
        <v>6.3506422817176762E-3</v>
      </c>
      <c r="S415">
        <f t="array" ref="S415">+$B$2*SIN(R415*$B$3+$B$4)+0*R415+ SUM($J$2:$J$20*SIN(2*PI()*N415*$I$2:$I$20+$K$2:$K$20))</f>
        <v>-0.45548576617849446</v>
      </c>
      <c r="U415" s="3">
        <f t="shared" si="48"/>
        <v>1914.4166666666354</v>
      </c>
      <c r="V415" s="3">
        <f t="shared" si="49"/>
        <v>-5.28E-2</v>
      </c>
      <c r="Z415" s="1">
        <v>1914.4583</v>
      </c>
      <c r="AA415" s="2">
        <f t="shared" si="53"/>
        <v>1.080212</v>
      </c>
      <c r="AB415">
        <v>54.010599999999997</v>
      </c>
      <c r="AE415">
        <v>1914.4166666666354</v>
      </c>
      <c r="AF415">
        <v>-0.45548576617849446</v>
      </c>
    </row>
    <row r="416" spans="4:32" x14ac:dyDescent="0.35">
      <c r="D416">
        <v>1.205114</v>
      </c>
      <c r="M416">
        <f t="shared" si="54"/>
        <v>415</v>
      </c>
      <c r="N416">
        <f t="shared" si="55"/>
        <v>1914.4999999999686</v>
      </c>
      <c r="O416">
        <f t="shared" si="50"/>
        <v>0</v>
      </c>
      <c r="P416">
        <f t="array" ref="P416">+SUM($G$2:$G$18*SIN(2*PI()*(N416)*$B$1/$F$2:$F$18+$H$2:$H$18))</f>
        <v>-9.8379346978323678E-3</v>
      </c>
      <c r="Q416">
        <f t="shared" si="51"/>
        <v>0</v>
      </c>
      <c r="R416">
        <f t="shared" si="52"/>
        <v>6.3408740988908094E-3</v>
      </c>
      <c r="S416">
        <f t="array" ref="S416">+$B$2*SIN(R416*$B$3+$B$4)+0*R416+ SUM($J$2:$J$20*SIN(2*PI()*N416*$I$2:$I$20+$K$2:$K$20))</f>
        <v>-0.45658676828253686</v>
      </c>
      <c r="U416" s="3">
        <f t="shared" si="48"/>
        <v>1914.4999999999686</v>
      </c>
      <c r="V416" s="3">
        <f t="shared" si="49"/>
        <v>8.6961999999999998E-2</v>
      </c>
      <c r="Z416" s="1">
        <v>1914.5417</v>
      </c>
      <c r="AA416" s="2">
        <f t="shared" si="53"/>
        <v>0.52146000000000003</v>
      </c>
      <c r="AB416">
        <v>26.073</v>
      </c>
      <c r="AE416">
        <v>1914.4999999999686</v>
      </c>
      <c r="AF416">
        <v>-0.45658676828253686</v>
      </c>
    </row>
    <row r="417" spans="4:32" x14ac:dyDescent="0.35">
      <c r="D417">
        <v>1.080212</v>
      </c>
      <c r="M417">
        <f t="shared" si="54"/>
        <v>416</v>
      </c>
      <c r="N417">
        <f t="shared" si="55"/>
        <v>1914.5833333333019</v>
      </c>
      <c r="O417">
        <f t="shared" si="50"/>
        <v>0</v>
      </c>
      <c r="P417">
        <f t="array" ref="P417">+SUM($G$2:$G$18*SIN(2*PI()*(N417)*$B$1/$F$2:$F$18+$H$2:$H$18))</f>
        <v>-0.25993294141481615</v>
      </c>
      <c r="Q417">
        <f t="shared" si="51"/>
        <v>0</v>
      </c>
      <c r="R417">
        <f t="shared" si="52"/>
        <v>6.331120940905763E-3</v>
      </c>
      <c r="S417">
        <f t="array" ref="S417">+$B$2*SIN(R417*$B$3+$B$4)+0*R417+ SUM($J$2:$J$20*SIN(2*PI()*N417*$I$2:$I$20+$K$2:$K$20))</f>
        <v>-0.45768453716876406</v>
      </c>
      <c r="U417" s="3">
        <f t="shared" si="48"/>
        <v>1914.5833333333019</v>
      </c>
      <c r="V417" s="3">
        <f t="shared" si="49"/>
        <v>-2.4048E-2</v>
      </c>
      <c r="Z417" s="1">
        <v>1914.625</v>
      </c>
      <c r="AA417" s="2">
        <f t="shared" si="53"/>
        <v>0.170402</v>
      </c>
      <c r="AB417">
        <v>8.5200999999999993</v>
      </c>
      <c r="AE417">
        <v>1914.5833333333019</v>
      </c>
      <c r="AF417">
        <v>-0.45768453716876406</v>
      </c>
    </row>
    <row r="418" spans="4:32" x14ac:dyDescent="0.35">
      <c r="D418">
        <v>0.52146000000000003</v>
      </c>
      <c r="M418">
        <f t="shared" si="54"/>
        <v>417</v>
      </c>
      <c r="N418">
        <f t="shared" si="55"/>
        <v>1914.6666666666351</v>
      </c>
      <c r="O418">
        <f t="shared" si="50"/>
        <v>0</v>
      </c>
      <c r="P418">
        <f t="array" ref="P418">+SUM($G$2:$G$18*SIN(2*PI()*(N418)*$B$1/$F$2:$F$18+$H$2:$H$18))</f>
        <v>-0.1818871387416896</v>
      </c>
      <c r="Q418">
        <f t="shared" si="51"/>
        <v>0</v>
      </c>
      <c r="R418">
        <f t="shared" si="52"/>
        <v>6.3213827846522125E-3</v>
      </c>
      <c r="S418">
        <f t="array" ref="S418">+$B$2*SIN(R418*$B$3+$B$4)+0*R418+ SUM($J$2:$J$20*SIN(2*PI()*N418*$I$2:$I$20+$K$2:$K$20))</f>
        <v>-0.45877907885271968</v>
      </c>
      <c r="U418" s="3">
        <f t="shared" si="48"/>
        <v>1914.6666666666351</v>
      </c>
      <c r="V418" s="3">
        <f t="shared" si="49"/>
        <v>0.12647800000000001</v>
      </c>
      <c r="Z418" s="1">
        <v>1914.7083</v>
      </c>
      <c r="AA418" s="2">
        <f t="shared" si="53"/>
        <v>-2.3736E-2</v>
      </c>
      <c r="AB418">
        <v>-1.1868000000000001</v>
      </c>
      <c r="AE418">
        <v>1914.6666666666351</v>
      </c>
      <c r="AF418">
        <v>-0.45877907885271968</v>
      </c>
    </row>
    <row r="419" spans="4:32" x14ac:dyDescent="0.35">
      <c r="D419">
        <v>0.170402</v>
      </c>
      <c r="M419">
        <f t="shared" si="54"/>
        <v>418</v>
      </c>
      <c r="N419">
        <f t="shared" si="55"/>
        <v>1914.7499999999684</v>
      </c>
      <c r="O419">
        <f t="shared" si="50"/>
        <v>0</v>
      </c>
      <c r="P419">
        <f t="array" ref="P419">+SUM($G$2:$G$18*SIN(2*PI()*(N419)*$B$1/$F$2:$F$18+$H$2:$H$18))</f>
        <v>-0.39761263485932385</v>
      </c>
      <c r="Q419">
        <f t="shared" si="51"/>
        <v>0</v>
      </c>
      <c r="R419">
        <f t="shared" si="52"/>
        <v>6.3116596070553806E-3</v>
      </c>
      <c r="S419">
        <f t="array" ref="S419">+$B$2*SIN(R419*$B$3+$B$4)+0*R419+ SUM($J$2:$J$20*SIN(2*PI()*N419*$I$2:$I$20+$K$2:$K$20))</f>
        <v>-0.45987039935965146</v>
      </c>
      <c r="U419" s="3">
        <f t="shared" si="48"/>
        <v>1914.7499999999684</v>
      </c>
      <c r="V419" s="3">
        <f t="shared" si="49"/>
        <v>7.5465999999999991E-2</v>
      </c>
      <c r="Z419" s="1">
        <v>1914.7917</v>
      </c>
      <c r="AA419" s="2">
        <f t="shared" si="53"/>
        <v>-0.16249199999999997</v>
      </c>
      <c r="AB419">
        <v>-8.1245999999999992</v>
      </c>
      <c r="AE419">
        <v>1914.7499999999684</v>
      </c>
      <c r="AF419">
        <v>-0.45987039935965146</v>
      </c>
    </row>
    <row r="420" spans="4:32" x14ac:dyDescent="0.35">
      <c r="D420">
        <v>-2.3736E-2</v>
      </c>
      <c r="M420">
        <f t="shared" si="54"/>
        <v>419</v>
      </c>
      <c r="N420">
        <f t="shared" si="55"/>
        <v>1914.8333333333017</v>
      </c>
      <c r="O420">
        <f t="shared" si="50"/>
        <v>0</v>
      </c>
      <c r="P420">
        <f t="array" ref="P420">+SUM($G$2:$G$18*SIN(2*PI()*(N420)*$B$1/$F$2:$F$18+$H$2:$H$18))</f>
        <v>-0.84779245476392995</v>
      </c>
      <c r="Q420">
        <f t="shared" si="51"/>
        <v>0</v>
      </c>
      <c r="R420">
        <f t="shared" si="52"/>
        <v>6.3019513850759825E-3</v>
      </c>
      <c r="S420">
        <f t="array" ref="S420">+$B$2*SIN(R420*$B$3+$B$4)+0*R420+ SUM($J$2:$J$20*SIN(2*PI()*N420*$I$2:$I$20+$K$2:$K$20))</f>
        <v>-0.46095850472431521</v>
      </c>
      <c r="U420" s="3">
        <f t="shared" si="48"/>
        <v>1914.8333333333017</v>
      </c>
      <c r="V420" s="3">
        <f t="shared" si="49"/>
        <v>0.24291599999999999</v>
      </c>
      <c r="Z420" s="1">
        <v>1914.875</v>
      </c>
      <c r="AA420" s="2">
        <f t="shared" si="53"/>
        <v>-0.15970800000000002</v>
      </c>
      <c r="AB420">
        <v>-7.9854000000000003</v>
      </c>
      <c r="AE420">
        <v>1914.8333333333017</v>
      </c>
      <c r="AF420">
        <v>-0.46095850472431521</v>
      </c>
    </row>
    <row r="421" spans="4:32" x14ac:dyDescent="0.35">
      <c r="D421">
        <v>-0.16249199999999997</v>
      </c>
      <c r="M421">
        <f t="shared" si="54"/>
        <v>420</v>
      </c>
      <c r="N421">
        <f t="shared" si="55"/>
        <v>1914.9166666666349</v>
      </c>
      <c r="O421">
        <f t="shared" si="50"/>
        <v>0</v>
      </c>
      <c r="P421">
        <f t="array" ref="P421">+SUM($G$2:$G$18*SIN(2*PI()*(N421)*$B$1/$F$2:$F$18+$H$2:$H$18))</f>
        <v>-0.63206390461538864</v>
      </c>
      <c r="Q421">
        <f t="shared" si="51"/>
        <v>0</v>
      </c>
      <c r="R421">
        <f t="shared" si="52"/>
        <v>6.2922580957101709E-3</v>
      </c>
      <c r="S421">
        <f t="array" ref="S421">+$B$2*SIN(R421*$B$3+$B$4)+0*R421+ SUM($J$2:$J$20*SIN(2*PI()*N421*$I$2:$I$20+$K$2:$K$20))</f>
        <v>-0.4620434009907835</v>
      </c>
      <c r="U421" s="3">
        <f t="shared" si="48"/>
        <v>1914.9166666666349</v>
      </c>
      <c r="V421" s="3">
        <f t="shared" si="49"/>
        <v>0.17497800000000002</v>
      </c>
      <c r="Z421" s="1">
        <v>1914.9583</v>
      </c>
      <c r="AA421" s="2">
        <f t="shared" si="53"/>
        <v>-0.20461600000000002</v>
      </c>
      <c r="AB421">
        <v>-10.2308</v>
      </c>
      <c r="AE421">
        <v>1914.9166666666349</v>
      </c>
      <c r="AF421">
        <v>-0.4620434009907835</v>
      </c>
    </row>
    <row r="422" spans="4:32" x14ac:dyDescent="0.35">
      <c r="D422">
        <v>-0.15970800000000002</v>
      </c>
      <c r="M422">
        <f t="shared" si="54"/>
        <v>421</v>
      </c>
      <c r="N422">
        <f t="shared" si="55"/>
        <v>1914.9999999999682</v>
      </c>
      <c r="O422">
        <f t="shared" si="50"/>
        <v>36.637715116165623</v>
      </c>
      <c r="P422">
        <f t="array" ref="P422">+SUM($G$2:$G$18*SIN(2*PI()*(N422)*$B$1/$F$2:$F$18+$H$2:$H$18))</f>
        <v>9.68799123155763E-2</v>
      </c>
      <c r="Q422">
        <f t="shared" si="51"/>
        <v>3.5494586278971898</v>
      </c>
      <c r="R422">
        <f t="shared" si="52"/>
        <v>1.1742147311776457E-2</v>
      </c>
      <c r="S422">
        <f t="array" ref="S422">+$B$2*SIN(R422*$B$3+$B$4)+0*R422+ SUM($J$2:$J$20*SIN(2*PI()*N422*$I$2:$I$20+$K$2:$K$20))</f>
        <v>0.26857592627474774</v>
      </c>
      <c r="U422" s="3">
        <f t="shared" si="48"/>
        <v>1914.9999999999682</v>
      </c>
      <c r="V422" s="3">
        <f t="shared" si="49"/>
        <v>0.102424</v>
      </c>
      <c r="Z422" s="1">
        <v>1915.0417</v>
      </c>
      <c r="AA422" s="2">
        <f t="shared" si="53"/>
        <v>-0.25106800000000001</v>
      </c>
      <c r="AB422">
        <v>-12.5534</v>
      </c>
      <c r="AE422">
        <v>1914.9999999999682</v>
      </c>
      <c r="AF422">
        <v>0.26857592627474774</v>
      </c>
    </row>
    <row r="423" spans="4:32" x14ac:dyDescent="0.35">
      <c r="D423">
        <v>-0.20461600000000002</v>
      </c>
      <c r="M423">
        <f t="shared" si="54"/>
        <v>422</v>
      </c>
      <c r="N423">
        <f t="shared" si="55"/>
        <v>1915.0833333333014</v>
      </c>
      <c r="O423">
        <f t="shared" si="50"/>
        <v>0</v>
      </c>
      <c r="P423">
        <f t="array" ref="P423">+SUM($G$2:$G$18*SIN(2*PI()*(N423)*$B$1/$F$2:$F$18+$H$2:$H$18))</f>
        <v>0.55738856070713327</v>
      </c>
      <c r="Q423">
        <f t="shared" si="51"/>
        <v>0</v>
      </c>
      <c r="R423">
        <f t="shared" si="52"/>
        <v>1.1724086234387225E-2</v>
      </c>
      <c r="S423">
        <f t="array" ref="S423">+$B$2*SIN(R423*$B$3+$B$4)+0*R423+ SUM($J$2:$J$20*SIN(2*PI()*N423*$I$2:$I$20+$K$2:$K$20))</f>
        <v>0.26618402615045789</v>
      </c>
      <c r="U423" s="3">
        <f t="shared" si="48"/>
        <v>1915.0833333333014</v>
      </c>
      <c r="V423" s="3">
        <f t="shared" si="49"/>
        <v>7.9100000000000004E-2</v>
      </c>
      <c r="Z423" s="1">
        <v>1915.125</v>
      </c>
      <c r="AA423" s="2">
        <f t="shared" si="53"/>
        <v>-0.12521000000000002</v>
      </c>
      <c r="AB423">
        <v>-6.2605000000000004</v>
      </c>
      <c r="AE423">
        <v>1915.0833333333014</v>
      </c>
      <c r="AF423">
        <v>0.26618402615045789</v>
      </c>
    </row>
    <row r="424" spans="4:32" x14ac:dyDescent="0.35">
      <c r="D424">
        <v>-0.25106800000000001</v>
      </c>
      <c r="M424">
        <f t="shared" si="54"/>
        <v>423</v>
      </c>
      <c r="N424">
        <f t="shared" si="55"/>
        <v>1915.1666666666347</v>
      </c>
      <c r="O424">
        <f t="shared" si="50"/>
        <v>0</v>
      </c>
      <c r="P424">
        <f t="array" ref="P424">+SUM($G$2:$G$18*SIN(2*PI()*(N424)*$B$1/$F$2:$F$18+$H$2:$H$18))</f>
        <v>0.47725017350739551</v>
      </c>
      <c r="Q424">
        <f t="shared" si="51"/>
        <v>0</v>
      </c>
      <c r="R424">
        <f t="shared" si="52"/>
        <v>1.1706052937480369E-2</v>
      </c>
      <c r="S424">
        <f t="array" ref="S424">+$B$2*SIN(R424*$B$3+$B$4)+0*R424+ SUM($J$2:$J$20*SIN(2*PI()*N424*$I$2:$I$20+$K$2:$K$20))</f>
        <v>0.2637927363464645</v>
      </c>
      <c r="U424" s="3">
        <f t="shared" si="48"/>
        <v>1915.1666666666347</v>
      </c>
      <c r="V424" s="3">
        <f t="shared" si="49"/>
        <v>0.152696</v>
      </c>
      <c r="Z424" s="1">
        <v>1915.2083</v>
      </c>
      <c r="AA424" s="2">
        <f t="shared" si="53"/>
        <v>-5.6277999999999995E-2</v>
      </c>
      <c r="AB424">
        <v>-2.8138999999999998</v>
      </c>
      <c r="AE424">
        <v>1915.1666666666347</v>
      </c>
      <c r="AF424">
        <v>0.2637927363464645</v>
      </c>
    </row>
    <row r="425" spans="4:32" x14ac:dyDescent="0.35">
      <c r="D425">
        <v>-0.12521000000000002</v>
      </c>
      <c r="M425">
        <f t="shared" si="54"/>
        <v>424</v>
      </c>
      <c r="N425">
        <f t="shared" si="55"/>
        <v>1915.2499999999679</v>
      </c>
      <c r="O425">
        <f t="shared" si="50"/>
        <v>0</v>
      </c>
      <c r="P425">
        <f t="array" ref="P425">+SUM($G$2:$G$18*SIN(2*PI()*(N425)*$B$1/$F$2:$F$18+$H$2:$H$18))</f>
        <v>1.0294007429370339E-2</v>
      </c>
      <c r="Q425">
        <f t="shared" si="51"/>
        <v>0</v>
      </c>
      <c r="R425">
        <f t="shared" si="52"/>
        <v>1.1688047378325593E-2</v>
      </c>
      <c r="S425">
        <f t="array" ref="S425">+$B$2*SIN(R425*$B$3+$B$4)+0*R425+ SUM($J$2:$J$20*SIN(2*PI()*N425*$I$2:$I$20+$K$2:$K$20))</f>
        <v>0.26140209284073535</v>
      </c>
      <c r="U425" s="3">
        <f t="shared" si="48"/>
        <v>1915.2499999999679</v>
      </c>
      <c r="V425" s="3">
        <f t="shared" si="49"/>
        <v>0.104756</v>
      </c>
      <c r="Z425" s="1">
        <v>1915.2917</v>
      </c>
      <c r="AA425" s="2">
        <f t="shared" si="53"/>
        <v>-0.16119399999999998</v>
      </c>
      <c r="AB425">
        <v>-8.0596999999999994</v>
      </c>
      <c r="AE425">
        <v>1915.2499999999679</v>
      </c>
      <c r="AF425">
        <v>0.26140209284073535</v>
      </c>
    </row>
    <row r="426" spans="4:32" x14ac:dyDescent="0.35">
      <c r="D426">
        <v>-5.6277999999999995E-2</v>
      </c>
      <c r="M426">
        <f t="shared" si="54"/>
        <v>425</v>
      </c>
      <c r="N426">
        <f t="shared" si="55"/>
        <v>1915.3333333333012</v>
      </c>
      <c r="O426">
        <f t="shared" si="50"/>
        <v>0</v>
      </c>
      <c r="P426">
        <f t="array" ref="P426">+SUM($G$2:$G$18*SIN(2*PI()*(N426)*$B$1/$F$2:$F$18+$H$2:$H$18))</f>
        <v>-0.23855612086065611</v>
      </c>
      <c r="Q426">
        <f t="shared" si="51"/>
        <v>0</v>
      </c>
      <c r="R426">
        <f t="shared" si="52"/>
        <v>1.1670069514258325E-2</v>
      </c>
      <c r="S426">
        <f t="array" ref="S426">+$B$2*SIN(R426*$B$3+$B$4)+0*R426+ SUM($J$2:$J$20*SIN(2*PI()*N426*$I$2:$I$20+$K$2:$K$20))</f>
        <v>0.25901213135053242</v>
      </c>
      <c r="U426" s="3">
        <f t="shared" si="48"/>
        <v>1915.3333333333012</v>
      </c>
      <c r="V426" s="3">
        <f t="shared" si="49"/>
        <v>-7.2417999999999996E-2</v>
      </c>
      <c r="Z426" s="1">
        <v>1915.375</v>
      </c>
      <c r="AA426" s="2">
        <f t="shared" si="53"/>
        <v>-0.52149400000000001</v>
      </c>
      <c r="AB426">
        <v>-26.0747</v>
      </c>
      <c r="AE426">
        <v>1915.3333333333012</v>
      </c>
      <c r="AF426">
        <v>0.25901213135053242</v>
      </c>
    </row>
    <row r="427" spans="4:32" x14ac:dyDescent="0.35">
      <c r="D427">
        <v>-0.16119399999999998</v>
      </c>
      <c r="M427">
        <f t="shared" si="54"/>
        <v>426</v>
      </c>
      <c r="N427">
        <f t="shared" si="55"/>
        <v>1915.4166666666345</v>
      </c>
      <c r="O427">
        <f t="shared" si="50"/>
        <v>0</v>
      </c>
      <c r="P427">
        <f t="array" ref="P427">+SUM($G$2:$G$18*SIN(2*PI()*(N427)*$B$1/$F$2:$F$18+$H$2:$H$18))</f>
        <v>-0.13496730428856504</v>
      </c>
      <c r="Q427">
        <f t="shared" si="51"/>
        <v>0</v>
      </c>
      <c r="R427">
        <f t="shared" si="52"/>
        <v>1.1652119302679616E-2</v>
      </c>
      <c r="S427">
        <f t="array" ref="S427">+$B$2*SIN(R427*$B$3+$B$4)+0*R427+ SUM($J$2:$J$20*SIN(2*PI()*N427*$I$2:$I$20+$K$2:$K$20))</f>
        <v>0.25662288733334215</v>
      </c>
      <c r="U427" s="3">
        <f t="shared" si="48"/>
        <v>1915.4166666666345</v>
      </c>
      <c r="V427" s="3">
        <f t="shared" si="49"/>
        <v>-0.16036400000000001</v>
      </c>
      <c r="Z427" s="1">
        <v>1915.4583</v>
      </c>
      <c r="AA427" s="2">
        <f t="shared" si="53"/>
        <v>-0.19871800000000001</v>
      </c>
      <c r="AB427">
        <v>-9.9359000000000002</v>
      </c>
      <c r="AE427">
        <v>1915.4166666666345</v>
      </c>
      <c r="AF427">
        <v>0.25662288733334215</v>
      </c>
    </row>
    <row r="428" spans="4:32" x14ac:dyDescent="0.35">
      <c r="D428">
        <v>-0.52149400000000001</v>
      </c>
      <c r="M428">
        <f t="shared" si="54"/>
        <v>427</v>
      </c>
      <c r="N428">
        <f t="shared" si="55"/>
        <v>1915.4999999999677</v>
      </c>
      <c r="O428">
        <f t="shared" si="50"/>
        <v>0</v>
      </c>
      <c r="P428">
        <f t="array" ref="P428">+SUM($G$2:$G$18*SIN(2*PI()*(N428)*$B$1/$F$2:$F$18+$H$2:$H$18))</f>
        <v>-0.31571524483998992</v>
      </c>
      <c r="Q428">
        <f t="shared" si="51"/>
        <v>0</v>
      </c>
      <c r="R428">
        <f t="shared" si="52"/>
        <v>1.1634196701056044E-2</v>
      </c>
      <c r="S428">
        <f t="array" ref="S428">+$B$2*SIN(R428*$B$3+$B$4)+0*R428+ SUM($J$2:$J$20*SIN(2*PI()*N428*$I$2:$I$20+$K$2:$K$20))</f>
        <v>0.25423439598780778</v>
      </c>
      <c r="U428" s="3">
        <f t="shared" si="48"/>
        <v>1915.4999999999677</v>
      </c>
      <c r="V428" s="3">
        <f t="shared" si="49"/>
        <v>-0.10522999999999999</v>
      </c>
      <c r="Z428" s="1">
        <v>1915.5417</v>
      </c>
      <c r="AA428" s="2">
        <f t="shared" si="53"/>
        <v>-8.9789999999999995E-2</v>
      </c>
      <c r="AB428">
        <v>-4.4894999999999996</v>
      </c>
      <c r="AE428">
        <v>1915.4999999999677</v>
      </c>
      <c r="AF428">
        <v>0.25423439598780778</v>
      </c>
    </row>
    <row r="429" spans="4:32" x14ac:dyDescent="0.35">
      <c r="D429">
        <v>-0.19871800000000001</v>
      </c>
      <c r="M429">
        <f t="shared" si="54"/>
        <v>428</v>
      </c>
      <c r="N429">
        <f t="shared" si="55"/>
        <v>1915.583333333301</v>
      </c>
      <c r="O429">
        <f t="shared" si="50"/>
        <v>0</v>
      </c>
      <c r="P429">
        <f t="array" ref="P429">+SUM($G$2:$G$18*SIN(2*PI()*(N429)*$B$1/$F$2:$F$18+$H$2:$H$18))</f>
        <v>-0.52481777799741058</v>
      </c>
      <c r="Q429">
        <f t="shared" si="51"/>
        <v>0</v>
      </c>
      <c r="R429">
        <f t="shared" si="52"/>
        <v>1.1616301666919605E-2</v>
      </c>
      <c r="S429">
        <f t="array" ref="S429">+$B$2*SIN(R429*$B$3+$B$4)+0*R429+ SUM($J$2:$J$20*SIN(2*PI()*N429*$I$2:$I$20+$K$2:$K$20))</f>
        <v>0.25184669225466311</v>
      </c>
      <c r="U429" s="3">
        <f t="shared" si="48"/>
        <v>1915.583333333301</v>
      </c>
      <c r="V429" s="3">
        <f t="shared" si="49"/>
        <v>-4.2408000000000001E-2</v>
      </c>
      <c r="Z429" s="1">
        <v>1915.625</v>
      </c>
      <c r="AA429" s="2">
        <f t="shared" si="53"/>
        <v>3.6060000000000002E-2</v>
      </c>
      <c r="AB429">
        <v>1.8029999999999999</v>
      </c>
      <c r="AE429">
        <v>1915.583333333301</v>
      </c>
      <c r="AF429">
        <v>0.25184669225466311</v>
      </c>
    </row>
    <row r="430" spans="4:32" x14ac:dyDescent="0.35">
      <c r="D430">
        <v>-8.9789999999999995E-2</v>
      </c>
      <c r="M430">
        <f t="shared" si="54"/>
        <v>429</v>
      </c>
      <c r="N430">
        <f t="shared" si="55"/>
        <v>1915.6666666666342</v>
      </c>
      <c r="O430">
        <f t="shared" si="50"/>
        <v>0</v>
      </c>
      <c r="P430">
        <f t="array" ref="P430">+SUM($G$2:$G$18*SIN(2*PI()*(N430)*$B$1/$F$2:$F$18+$H$2:$H$18))</f>
        <v>-6.7516425595137292E-2</v>
      </c>
      <c r="Q430">
        <f t="shared" si="51"/>
        <v>0</v>
      </c>
      <c r="R430">
        <f t="shared" si="52"/>
        <v>1.1598434157867621E-2</v>
      </c>
      <c r="S430">
        <f t="array" ref="S430">+$B$2*SIN(R430*$B$3+$B$4)+0*R430+ SUM($J$2:$J$20*SIN(2*PI()*N430*$I$2:$I$20+$K$2:$K$20))</f>
        <v>0.24945981081767035</v>
      </c>
      <c r="U430" s="3">
        <f t="shared" si="48"/>
        <v>1915.6666666666342</v>
      </c>
      <c r="V430" s="3">
        <f t="shared" si="49"/>
        <v>4.1199999999999999E-4</v>
      </c>
      <c r="Z430" s="1">
        <v>1915.7083</v>
      </c>
      <c r="AA430" s="2">
        <f t="shared" si="53"/>
        <v>6.4986000000000002E-2</v>
      </c>
      <c r="AB430">
        <v>3.2492999999999999</v>
      </c>
      <c r="AE430">
        <v>1915.6666666666342</v>
      </c>
      <c r="AF430">
        <v>0.24945981081767035</v>
      </c>
    </row>
    <row r="431" spans="4:32" x14ac:dyDescent="0.35">
      <c r="D431">
        <v>3.6060000000000002E-2</v>
      </c>
      <c r="M431">
        <f t="shared" si="54"/>
        <v>430</v>
      </c>
      <c r="N431">
        <f t="shared" si="55"/>
        <v>1915.7499999999675</v>
      </c>
      <c r="O431">
        <f t="shared" si="50"/>
        <v>0</v>
      </c>
      <c r="P431">
        <f t="array" ref="P431">+SUM($G$2:$G$18*SIN(2*PI()*(N431)*$B$1/$F$2:$F$18+$H$2:$H$18))</f>
        <v>0.62889068584452235</v>
      </c>
      <c r="Q431">
        <f t="shared" si="51"/>
        <v>0</v>
      </c>
      <c r="R431">
        <f t="shared" si="52"/>
        <v>1.158059413156263E-2</v>
      </c>
      <c r="S431">
        <f t="array" ref="S431">+$B$2*SIN(R431*$B$3+$B$4)+0*R431+ SUM($J$2:$J$20*SIN(2*PI()*N431*$I$2:$I$20+$K$2:$K$20))</f>
        <v>0.2470737861045601</v>
      </c>
      <c r="U431" s="3">
        <f t="shared" si="48"/>
        <v>1915.7499999999675</v>
      </c>
      <c r="V431" s="3">
        <f t="shared" si="49"/>
        <v>-3.8303999999999998E-2</v>
      </c>
      <c r="Z431" s="1">
        <v>1915.7917</v>
      </c>
      <c r="AA431" s="2">
        <f t="shared" si="53"/>
        <v>2.4677999999999999E-2</v>
      </c>
      <c r="AB431">
        <v>1.2339</v>
      </c>
      <c r="AE431">
        <v>1915.7499999999675</v>
      </c>
      <c r="AF431">
        <v>0.2470737861045601</v>
      </c>
    </row>
    <row r="432" spans="4:32" x14ac:dyDescent="0.35">
      <c r="D432">
        <v>6.4986000000000002E-2</v>
      </c>
      <c r="M432">
        <f t="shared" si="54"/>
        <v>431</v>
      </c>
      <c r="N432">
        <f t="shared" si="55"/>
        <v>1915.8333333333007</v>
      </c>
      <c r="O432">
        <f t="shared" si="50"/>
        <v>0</v>
      </c>
      <c r="P432">
        <f t="array" ref="P432">+SUM($G$2:$G$18*SIN(2*PI()*(N432)*$B$1/$F$2:$F$18+$H$2:$H$18))</f>
        <v>0.91153105902491083</v>
      </c>
      <c r="Q432">
        <f t="shared" si="51"/>
        <v>0</v>
      </c>
      <c r="R432">
        <f t="shared" si="52"/>
        <v>1.1562781545732296E-2</v>
      </c>
      <c r="S432">
        <f t="array" ref="S432">+$B$2*SIN(R432*$B$3+$B$4)+0*R432+ SUM($J$2:$J$20*SIN(2*PI()*N432*$I$2:$I$20+$K$2:$K$20))</f>
        <v>0.24468865228797262</v>
      </c>
      <c r="U432" s="3">
        <f t="shared" si="48"/>
        <v>1915.8333333333007</v>
      </c>
      <c r="V432" s="3">
        <f t="shared" si="49"/>
        <v>0.14605399999999999</v>
      </c>
      <c r="Z432" s="1">
        <v>1915.875</v>
      </c>
      <c r="AA432" s="2">
        <f t="shared" si="53"/>
        <v>4.8987999999999997E-2</v>
      </c>
      <c r="AB432">
        <v>2.4493999999999998</v>
      </c>
      <c r="AE432">
        <v>1915.8333333333007</v>
      </c>
      <c r="AF432">
        <v>0.24468865228797262</v>
      </c>
    </row>
    <row r="433" spans="4:32" x14ac:dyDescent="0.35">
      <c r="D433">
        <v>2.4677999999999999E-2</v>
      </c>
      <c r="M433">
        <f t="shared" si="54"/>
        <v>432</v>
      </c>
      <c r="N433">
        <f t="shared" si="55"/>
        <v>1915.916666666634</v>
      </c>
      <c r="O433">
        <f t="shared" si="50"/>
        <v>0</v>
      </c>
      <c r="P433">
        <f t="array" ref="P433">+SUM($G$2:$G$18*SIN(2*PI()*(N433)*$B$1/$F$2:$F$18+$H$2:$H$18))</f>
        <v>0.62584601246402427</v>
      </c>
      <c r="Q433">
        <f t="shared" si="51"/>
        <v>0</v>
      </c>
      <c r="R433">
        <f t="shared" si="52"/>
        <v>1.15449963581693E-2</v>
      </c>
      <c r="S433">
        <f t="array" ref="S433">+$B$2*SIN(R433*$B$3+$B$4)+0*R433+ SUM($J$2:$J$20*SIN(2*PI()*N433*$I$2:$I$20+$K$2:$K$20))</f>
        <v>0.24230444328640283</v>
      </c>
      <c r="U433" s="3">
        <f t="shared" si="48"/>
        <v>1915.916666666634</v>
      </c>
      <c r="V433" s="3">
        <f t="shared" si="49"/>
        <v>-0.12189800000000001</v>
      </c>
      <c r="Z433" s="1">
        <v>1915.9583</v>
      </c>
      <c r="AA433" s="2">
        <f t="shared" si="53"/>
        <v>0.11021800000000001</v>
      </c>
      <c r="AB433">
        <v>5.5109000000000004</v>
      </c>
      <c r="AE433">
        <v>1915.916666666634</v>
      </c>
      <c r="AF433">
        <v>0.24230444328640283</v>
      </c>
    </row>
    <row r="434" spans="4:32" x14ac:dyDescent="0.35">
      <c r="D434">
        <v>4.8987999999999997E-2</v>
      </c>
      <c r="M434">
        <f t="shared" si="54"/>
        <v>433</v>
      </c>
      <c r="N434">
        <f t="shared" si="55"/>
        <v>1915.9999999999673</v>
      </c>
      <c r="O434">
        <f t="shared" si="50"/>
        <v>36.637715116165623</v>
      </c>
      <c r="P434">
        <f t="array" ref="P434">+SUM($G$2:$G$18*SIN(2*PI()*(N434)*$B$1/$F$2:$F$18+$H$2:$H$18))</f>
        <v>1.3082010068871892E-2</v>
      </c>
      <c r="Q434">
        <f t="shared" si="51"/>
        <v>0.47929495805013861</v>
      </c>
      <c r="R434">
        <f t="shared" si="52"/>
        <v>1.2264461719369178E-2</v>
      </c>
      <c r="S434">
        <f t="array" ref="S434">+$B$2*SIN(R434*$B$3+$B$4)+0*R434+ SUM($J$2:$J$20*SIN(2*PI()*N434*$I$2:$I$20+$K$2:$K$20))</f>
        <v>0.3362953461468518</v>
      </c>
      <c r="U434" s="3">
        <f t="shared" si="48"/>
        <v>1915.9999999999673</v>
      </c>
      <c r="V434" s="3">
        <f t="shared" si="49"/>
        <v>-0.10677199999999999</v>
      </c>
      <c r="Z434" s="1">
        <v>1916.0417</v>
      </c>
      <c r="AA434" s="2">
        <f t="shared" si="53"/>
        <v>0.12529199999999999</v>
      </c>
      <c r="AB434">
        <v>6.2645999999999997</v>
      </c>
      <c r="AE434">
        <v>1915.9999999999673</v>
      </c>
      <c r="AF434">
        <v>0.3362953461468518</v>
      </c>
    </row>
    <row r="435" spans="4:32" x14ac:dyDescent="0.35">
      <c r="D435">
        <v>0.11021800000000001</v>
      </c>
      <c r="M435">
        <f t="shared" si="54"/>
        <v>434</v>
      </c>
      <c r="N435">
        <f t="shared" si="55"/>
        <v>1916.0833333333005</v>
      </c>
      <c r="O435">
        <f t="shared" si="50"/>
        <v>0</v>
      </c>
      <c r="P435">
        <f t="array" ref="P435">+SUM($G$2:$G$18*SIN(2*PI()*(N435)*$B$1/$F$2:$F$18+$H$2:$H$18))</f>
        <v>-0.21317754646879736</v>
      </c>
      <c r="Q435">
        <f t="shared" si="51"/>
        <v>0</v>
      </c>
      <c r="R435">
        <f t="shared" si="52"/>
        <v>1.224559724881117E-2</v>
      </c>
      <c r="S435">
        <f t="array" ref="S435">+$B$2*SIN(R435*$B$3+$B$4)+0*R435+ SUM($J$2:$J$20*SIN(2*PI()*N435*$I$2:$I$20+$K$2:$K$20))</f>
        <v>0.33390219701578872</v>
      </c>
      <c r="U435" s="3">
        <f t="shared" si="48"/>
        <v>1916.0833333333005</v>
      </c>
      <c r="V435" s="3">
        <f t="shared" si="49"/>
        <v>2.2198000000000002E-2</v>
      </c>
      <c r="Z435" s="1">
        <v>1916.125</v>
      </c>
      <c r="AA435" s="2">
        <f t="shared" si="53"/>
        <v>0.329598</v>
      </c>
      <c r="AB435">
        <v>16.479900000000001</v>
      </c>
      <c r="AE435">
        <v>1916.0833333333005</v>
      </c>
      <c r="AF435">
        <v>0.33390219701578872</v>
      </c>
    </row>
    <row r="436" spans="4:32" x14ac:dyDescent="0.35">
      <c r="D436">
        <v>0.12529199999999999</v>
      </c>
      <c r="M436">
        <f t="shared" si="54"/>
        <v>435</v>
      </c>
      <c r="N436">
        <f t="shared" si="55"/>
        <v>1916.1666666666338</v>
      </c>
      <c r="O436">
        <f t="shared" si="50"/>
        <v>0</v>
      </c>
      <c r="P436">
        <f t="array" ref="P436">+SUM($G$2:$G$18*SIN(2*PI()*(N436)*$B$1/$F$2:$F$18+$H$2:$H$18))</f>
        <v>-2.9147921906622076E-2</v>
      </c>
      <c r="Q436">
        <f t="shared" si="51"/>
        <v>0</v>
      </c>
      <c r="R436">
        <f t="shared" si="52"/>
        <v>1.2226761794467455E-2</v>
      </c>
      <c r="S436">
        <f t="array" ref="S436">+$B$2*SIN(R436*$B$3+$B$4)+0*R436+ SUM($J$2:$J$20*SIN(2*PI()*N436*$I$2:$I$20+$K$2:$K$20))</f>
        <v>0.33150852934664904</v>
      </c>
      <c r="U436" s="3">
        <f t="shared" si="48"/>
        <v>1916.1666666666338</v>
      </c>
      <c r="V436" s="3">
        <f t="shared" si="49"/>
        <v>0.23885799999999999</v>
      </c>
      <c r="Z436" s="1">
        <v>1916.2083</v>
      </c>
      <c r="AA436" s="2">
        <f t="shared" si="53"/>
        <v>0.25236199999999998</v>
      </c>
      <c r="AB436">
        <v>12.6181</v>
      </c>
      <c r="AE436">
        <v>1916.1666666666338</v>
      </c>
      <c r="AF436">
        <v>0.33150852934664904</v>
      </c>
    </row>
    <row r="437" spans="4:32" x14ac:dyDescent="0.35">
      <c r="D437">
        <v>0.329598</v>
      </c>
      <c r="M437">
        <f t="shared" si="54"/>
        <v>436</v>
      </c>
      <c r="N437">
        <f t="shared" si="55"/>
        <v>1916.249999999967</v>
      </c>
      <c r="O437">
        <f t="shared" si="50"/>
        <v>0</v>
      </c>
      <c r="P437">
        <f t="array" ref="P437">+SUM($G$2:$G$18*SIN(2*PI()*(N437)*$B$1/$F$2:$F$18+$H$2:$H$18))</f>
        <v>-9.4149558749189122E-2</v>
      </c>
      <c r="Q437">
        <f t="shared" si="51"/>
        <v>0</v>
      </c>
      <c r="R437">
        <f t="shared" si="52"/>
        <v>1.2207955311707005E-2</v>
      </c>
      <c r="S437">
        <f t="array" ref="S437">+$B$2*SIN(R437*$B$3+$B$4)+0*R437+ SUM($J$2:$J$20*SIN(2*PI()*N437*$I$2:$I$20+$K$2:$K$20))</f>
        <v>0.32911438685890004</v>
      </c>
      <c r="U437" s="3">
        <f t="shared" si="48"/>
        <v>1916.249999999967</v>
      </c>
      <c r="V437" s="3">
        <f t="shared" si="49"/>
        <v>0.30013400000000001</v>
      </c>
      <c r="Z437" s="1">
        <v>1916.2917</v>
      </c>
      <c r="AA437" s="2">
        <f t="shared" si="53"/>
        <v>7.5125999999999998E-2</v>
      </c>
      <c r="AB437">
        <v>3.7563</v>
      </c>
      <c r="AE437">
        <v>1916.249999999967</v>
      </c>
      <c r="AF437">
        <v>0.32911438685890004</v>
      </c>
    </row>
    <row r="438" spans="4:32" x14ac:dyDescent="0.35">
      <c r="D438">
        <v>0.25236199999999998</v>
      </c>
      <c r="M438">
        <f t="shared" si="54"/>
        <v>437</v>
      </c>
      <c r="N438">
        <f t="shared" si="55"/>
        <v>1916.3333333333003</v>
      </c>
      <c r="O438">
        <f t="shared" si="50"/>
        <v>0</v>
      </c>
      <c r="P438">
        <f t="array" ref="P438">+SUM($G$2:$G$18*SIN(2*PI()*(N438)*$B$1/$F$2:$F$18+$H$2:$H$18))</f>
        <v>-0.12247899753365343</v>
      </c>
      <c r="Q438">
        <f t="shared" si="51"/>
        <v>0</v>
      </c>
      <c r="R438">
        <f t="shared" si="52"/>
        <v>1.2189177755967442E-2</v>
      </c>
      <c r="S438">
        <f t="array" ref="S438">+$B$2*SIN(R438*$B$3+$B$4)+0*R438+ SUM($J$2:$J$20*SIN(2*PI()*N438*$I$2:$I$20+$K$2:$K$20))</f>
        <v>0.32671981298650288</v>
      </c>
      <c r="U438" s="3">
        <f t="shared" si="48"/>
        <v>1916.3333333333003</v>
      </c>
      <c r="V438" s="3">
        <f t="shared" si="49"/>
        <v>0.35987000000000002</v>
      </c>
      <c r="Z438" s="1">
        <v>1916.375</v>
      </c>
      <c r="AA438" s="2">
        <f t="shared" si="53"/>
        <v>-6.7259999999999993E-3</v>
      </c>
      <c r="AB438">
        <v>-0.33629999999999999</v>
      </c>
      <c r="AE438">
        <v>1916.3333333333003</v>
      </c>
      <c r="AF438">
        <v>0.32671981298650288</v>
      </c>
    </row>
    <row r="439" spans="4:32" x14ac:dyDescent="0.35">
      <c r="D439">
        <v>7.5125999999999998E-2</v>
      </c>
      <c r="M439">
        <f t="shared" si="54"/>
        <v>438</v>
      </c>
      <c r="N439">
        <f t="shared" si="55"/>
        <v>1916.4166666666335</v>
      </c>
      <c r="O439">
        <f t="shared" si="50"/>
        <v>0</v>
      </c>
      <c r="P439">
        <f t="array" ref="P439">+SUM($G$2:$G$18*SIN(2*PI()*(N439)*$B$1/$F$2:$F$18+$H$2:$H$18))</f>
        <v>0.35297405677038562</v>
      </c>
      <c r="Q439">
        <f t="shared" si="51"/>
        <v>0</v>
      </c>
      <c r="R439">
        <f t="shared" si="52"/>
        <v>1.2170429082754933E-2</v>
      </c>
      <c r="S439">
        <f t="array" ref="S439">+$B$2*SIN(R439*$B$3+$B$4)+0*R439+ SUM($J$2:$J$20*SIN(2*PI()*N439*$I$2:$I$20+$K$2:$K$20))</f>
        <v>0.3243248508787282</v>
      </c>
      <c r="U439" s="3">
        <f t="shared" si="48"/>
        <v>1916.4166666666335</v>
      </c>
      <c r="V439" s="3">
        <f t="shared" si="49"/>
        <v>0.59498800000000007</v>
      </c>
      <c r="Z439" s="1">
        <v>1916.4583</v>
      </c>
      <c r="AA439" s="2">
        <f t="shared" si="53"/>
        <v>8.9882000000000004E-2</v>
      </c>
      <c r="AB439">
        <v>4.4941000000000004</v>
      </c>
      <c r="AE439">
        <v>1916.4166666666335</v>
      </c>
      <c r="AF439">
        <v>0.3243248508787282</v>
      </c>
    </row>
    <row r="440" spans="4:32" x14ac:dyDescent="0.35">
      <c r="D440">
        <v>-6.7259999999999993E-3</v>
      </c>
      <c r="M440">
        <f t="shared" si="54"/>
        <v>439</v>
      </c>
      <c r="N440">
        <f t="shared" si="55"/>
        <v>1916.4999999999668</v>
      </c>
      <c r="O440">
        <f t="shared" si="50"/>
        <v>0</v>
      </c>
      <c r="P440">
        <f t="array" ref="P440">+SUM($G$2:$G$18*SIN(2*PI()*(N440)*$B$1/$F$2:$F$18+$H$2:$H$18))</f>
        <v>0.89198920223349498</v>
      </c>
      <c r="Q440">
        <f t="shared" si="51"/>
        <v>0</v>
      </c>
      <c r="R440">
        <f t="shared" si="52"/>
        <v>1.2151709247644079E-2</v>
      </c>
      <c r="S440">
        <f t="array" ref="S440">+$B$2*SIN(R440*$B$3+$B$4)+0*R440+ SUM($J$2:$J$20*SIN(2*PI()*N440*$I$2:$I$20+$K$2:$K$20))</f>
        <v>0.32192954340097757</v>
      </c>
      <c r="U440" s="3">
        <f t="shared" si="48"/>
        <v>1916.4999999999668</v>
      </c>
      <c r="V440" s="3">
        <f t="shared" si="49"/>
        <v>0.48549199999999998</v>
      </c>
      <c r="Z440" s="1">
        <v>1916.5417</v>
      </c>
      <c r="AA440" s="2">
        <f t="shared" si="53"/>
        <v>0.13264200000000001</v>
      </c>
      <c r="AB440">
        <v>6.6321000000000003</v>
      </c>
      <c r="AE440">
        <v>1916.4999999999668</v>
      </c>
      <c r="AF440">
        <v>0.32192954340097757</v>
      </c>
    </row>
    <row r="441" spans="4:32" x14ac:dyDescent="0.35">
      <c r="D441">
        <v>8.9882000000000004E-2</v>
      </c>
      <c r="M441">
        <f t="shared" si="54"/>
        <v>440</v>
      </c>
      <c r="N441">
        <f t="shared" si="55"/>
        <v>1916.5833333333001</v>
      </c>
      <c r="O441">
        <f t="shared" si="50"/>
        <v>0</v>
      </c>
      <c r="P441">
        <f t="array" ref="P441">+SUM($G$2:$G$18*SIN(2*PI()*(N441)*$B$1/$F$2:$F$18+$H$2:$H$18))</f>
        <v>1.0371166366954865</v>
      </c>
      <c r="Q441">
        <f t="shared" si="51"/>
        <v>0</v>
      </c>
      <c r="R441">
        <f t="shared" si="52"/>
        <v>1.2133018206277817E-2</v>
      </c>
      <c r="S441">
        <f t="array" ref="S441">+$B$2*SIN(R441*$B$3+$B$4)+0*R441+ SUM($J$2:$J$20*SIN(2*PI()*N441*$I$2:$I$20+$K$2:$K$20))</f>
        <v>0.31953393313561007</v>
      </c>
      <c r="U441" s="3">
        <f t="shared" si="48"/>
        <v>1916.5833333333001</v>
      </c>
      <c r="V441" s="3">
        <f t="shared" si="49"/>
        <v>0.50830200000000003</v>
      </c>
      <c r="Z441" s="1">
        <v>1916.625</v>
      </c>
      <c r="AA441" s="2">
        <f t="shared" si="53"/>
        <v>-0.18767600000000001</v>
      </c>
      <c r="AB441">
        <v>-9.3838000000000008</v>
      </c>
      <c r="AE441">
        <v>1916.5833333333001</v>
      </c>
      <c r="AF441">
        <v>0.31953393313561007</v>
      </c>
    </row>
    <row r="442" spans="4:32" x14ac:dyDescent="0.35">
      <c r="D442">
        <v>0.13264200000000001</v>
      </c>
      <c r="M442">
        <f t="shared" si="54"/>
        <v>441</v>
      </c>
      <c r="N442">
        <f t="shared" si="55"/>
        <v>1916.6666666666333</v>
      </c>
      <c r="O442">
        <f t="shared" si="50"/>
        <v>0</v>
      </c>
      <c r="P442">
        <f t="array" ref="P442">+SUM($G$2:$G$18*SIN(2*PI()*(N442)*$B$1/$F$2:$F$18+$H$2:$H$18))</f>
        <v>0.58306013077775187</v>
      </c>
      <c r="Q442">
        <f t="shared" si="51"/>
        <v>0</v>
      </c>
      <c r="R442">
        <f t="shared" si="52"/>
        <v>1.211435591436731E-2</v>
      </c>
      <c r="S442">
        <f t="array" ref="S442">+$B$2*SIN(R442*$B$3+$B$4)+0*R442+ SUM($J$2:$J$20*SIN(2*PI()*N442*$I$2:$I$20+$K$2:$K$20))</f>
        <v>0.31713806238277442</v>
      </c>
      <c r="U442" s="3">
        <f t="shared" si="48"/>
        <v>1916.6666666666333</v>
      </c>
      <c r="V442" s="3">
        <f t="shared" si="49"/>
        <v>0.62649200000000005</v>
      </c>
      <c r="Z442" s="1">
        <v>1916.7083</v>
      </c>
      <c r="AA442" s="2">
        <f t="shared" si="53"/>
        <v>-0.46183999999999997</v>
      </c>
      <c r="AB442">
        <v>-23.091999999999999</v>
      </c>
      <c r="AE442">
        <v>1916.6666666666333</v>
      </c>
      <c r="AF442">
        <v>0.31713806238277442</v>
      </c>
    </row>
    <row r="443" spans="4:32" x14ac:dyDescent="0.35">
      <c r="D443">
        <v>-0.18767600000000001</v>
      </c>
      <c r="M443">
        <f t="shared" si="54"/>
        <v>442</v>
      </c>
      <c r="N443">
        <f t="shared" si="55"/>
        <v>1916.7499999999666</v>
      </c>
      <c r="O443">
        <f t="shared" si="50"/>
        <v>0</v>
      </c>
      <c r="P443">
        <f t="array" ref="P443">+SUM($G$2:$G$18*SIN(2*PI()*(N443)*$B$1/$F$2:$F$18+$H$2:$H$18))</f>
        <v>-0.17788359436777401</v>
      </c>
      <c r="Q443">
        <f t="shared" si="51"/>
        <v>0</v>
      </c>
      <c r="R443">
        <f t="shared" si="52"/>
        <v>1.2095722327691842E-2</v>
      </c>
      <c r="S443">
        <f t="array" ref="S443">+$B$2*SIN(R443*$B$3+$B$4)+0*R443+ SUM($J$2:$J$20*SIN(2*PI()*N443*$I$2:$I$20+$K$2:$K$20))</f>
        <v>0.31474197316124536</v>
      </c>
      <c r="U443" s="3">
        <f t="shared" ref="U443:U506" si="56">+N443</f>
        <v>1916.7499999999666</v>
      </c>
      <c r="V443" s="3">
        <f t="shared" ref="V443:V506" si="57">+D401</f>
        <v>0.89852999999999994</v>
      </c>
      <c r="Z443" s="1">
        <v>1916.7917</v>
      </c>
      <c r="AA443" s="2">
        <f t="shared" si="53"/>
        <v>-0.41908400000000001</v>
      </c>
      <c r="AB443">
        <v>-20.9542</v>
      </c>
      <c r="AE443">
        <v>1916.7499999999666</v>
      </c>
      <c r="AF443">
        <v>0.31474197316124536</v>
      </c>
    </row>
    <row r="444" spans="4:32" x14ac:dyDescent="0.35">
      <c r="D444">
        <v>-0.46183999999999997</v>
      </c>
      <c r="M444">
        <f t="shared" si="54"/>
        <v>443</v>
      </c>
      <c r="N444">
        <f t="shared" si="55"/>
        <v>1916.8333333332998</v>
      </c>
      <c r="O444">
        <f t="shared" si="50"/>
        <v>0</v>
      </c>
      <c r="P444">
        <f t="array" ref="P444">+SUM($G$2:$G$18*SIN(2*PI()*(N444)*$B$1/$F$2:$F$18+$H$2:$H$18))</f>
        <v>-0.35857649726165214</v>
      </c>
      <c r="Q444">
        <f t="shared" si="51"/>
        <v>0</v>
      </c>
      <c r="R444">
        <f t="shared" si="52"/>
        <v>1.2077117402098717E-2</v>
      </c>
      <c r="S444">
        <f t="array" ref="S444">+$B$2*SIN(R444*$B$3+$B$4)+0*R444+ SUM($J$2:$J$20*SIN(2*PI()*N444*$I$2:$I$20+$K$2:$K$20))</f>
        <v>0.31234570720926624</v>
      </c>
      <c r="U444" s="3">
        <f t="shared" si="56"/>
        <v>1916.8333333332998</v>
      </c>
      <c r="V444" s="3">
        <f t="shared" si="57"/>
        <v>0.81979800000000003</v>
      </c>
      <c r="Z444" s="1">
        <v>1916.875</v>
      </c>
      <c r="AA444" s="2">
        <f t="shared" si="53"/>
        <v>-0.40555799999999997</v>
      </c>
      <c r="AB444">
        <v>-20.277899999999999</v>
      </c>
      <c r="AE444">
        <v>1916.8333333332998</v>
      </c>
      <c r="AF444">
        <v>0.31234570720926624</v>
      </c>
    </row>
    <row r="445" spans="4:32" x14ac:dyDescent="0.35">
      <c r="D445">
        <v>-0.41908400000000001</v>
      </c>
      <c r="M445">
        <f t="shared" si="54"/>
        <v>444</v>
      </c>
      <c r="N445">
        <f t="shared" si="55"/>
        <v>1916.9166666666331</v>
      </c>
      <c r="O445">
        <f t="shared" si="50"/>
        <v>0</v>
      </c>
      <c r="P445">
        <f t="array" ref="P445">+SUM($G$2:$G$18*SIN(2*PI()*(N445)*$B$1/$F$2:$F$18+$H$2:$H$18))</f>
        <v>-1.359718247699393E-2</v>
      </c>
      <c r="Q445">
        <f t="shared" si="51"/>
        <v>0</v>
      </c>
      <c r="R445">
        <f t="shared" si="52"/>
        <v>1.2058541093503152E-2</v>
      </c>
      <c r="S445">
        <f t="array" ref="S445">+$B$2*SIN(R445*$B$3+$B$4)+0*R445+ SUM($J$2:$J$20*SIN(2*PI()*N445*$I$2:$I$20+$K$2:$K$20))</f>
        <v>0.30994930598539427</v>
      </c>
      <c r="U445" s="3">
        <f t="shared" si="56"/>
        <v>1916.9166666666331</v>
      </c>
      <c r="V445" s="3">
        <f t="shared" si="57"/>
        <v>0.44414000000000003</v>
      </c>
      <c r="Z445" s="1">
        <v>1916.9583</v>
      </c>
      <c r="AA445" s="2">
        <f t="shared" si="53"/>
        <v>-0.45972600000000002</v>
      </c>
      <c r="AB445">
        <v>-22.9863</v>
      </c>
      <c r="AE445">
        <v>1916.9166666666331</v>
      </c>
      <c r="AF445">
        <v>0.30994930598539427</v>
      </c>
    </row>
    <row r="446" spans="4:32" x14ac:dyDescent="0.35">
      <c r="D446">
        <v>-0.40555799999999997</v>
      </c>
      <c r="M446">
        <f t="shared" si="54"/>
        <v>445</v>
      </c>
      <c r="N446">
        <f t="shared" si="55"/>
        <v>1916.9999999999663</v>
      </c>
      <c r="O446">
        <f t="shared" si="50"/>
        <v>36.637715116165623</v>
      </c>
      <c r="P446">
        <f t="array" ref="P446">+SUM($G$2:$G$18*SIN(2*PI()*(N446)*$B$1/$F$2:$F$18+$H$2:$H$18))</f>
        <v>8.8688083527229539E-2</v>
      </c>
      <c r="Q446">
        <f t="shared" si="51"/>
        <v>3.249328738469337</v>
      </c>
      <c r="R446">
        <f t="shared" si="52"/>
        <v>1.7037918886355662E-2</v>
      </c>
      <c r="S446">
        <f t="array" ref="S446">+$B$2*SIN(R446*$B$3+$B$4)+0*R446+ SUM($J$2:$J$20*SIN(2*PI()*N446*$I$2:$I$20+$K$2:$K$20))</f>
        <v>0.73631634389140588</v>
      </c>
      <c r="U446" s="3">
        <f t="shared" si="56"/>
        <v>1916.9999999999663</v>
      </c>
      <c r="V446" s="3">
        <f t="shared" si="57"/>
        <v>0.53309800000000007</v>
      </c>
      <c r="Z446" s="1">
        <v>1917.0417</v>
      </c>
      <c r="AA446" s="2">
        <f t="shared" si="53"/>
        <v>-0.401588</v>
      </c>
      <c r="AB446">
        <v>-20.0794</v>
      </c>
      <c r="AE446">
        <v>1916.9999999999663</v>
      </c>
      <c r="AF446">
        <v>0.73631634389140588</v>
      </c>
    </row>
    <row r="447" spans="4:32" x14ac:dyDescent="0.35">
      <c r="D447">
        <v>-0.45972600000000002</v>
      </c>
      <c r="M447">
        <f t="shared" si="54"/>
        <v>446</v>
      </c>
      <c r="N447">
        <f t="shared" si="55"/>
        <v>1917.0833333332996</v>
      </c>
      <c r="O447">
        <f t="shared" si="50"/>
        <v>0</v>
      </c>
      <c r="P447">
        <f t="array" ref="P447">+SUM($G$2:$G$18*SIN(2*PI()*(N447)*$B$1/$F$2:$F$18+$H$2:$H$18))</f>
        <v>0.10557919536196124</v>
      </c>
      <c r="Q447">
        <f t="shared" si="51"/>
        <v>0</v>
      </c>
      <c r="R447">
        <f t="shared" si="52"/>
        <v>1.7011712165950332E-2</v>
      </c>
      <c r="S447">
        <f t="array" ref="S447">+$B$2*SIN(R447*$B$3+$B$4)+0*R447+ SUM($J$2:$J$20*SIN(2*PI()*N447*$I$2:$I$20+$K$2:$K$20))</f>
        <v>0.73553623012586289</v>
      </c>
      <c r="U447" s="3">
        <f t="shared" si="56"/>
        <v>1917.0833333332996</v>
      </c>
      <c r="V447" s="3">
        <f t="shared" si="57"/>
        <v>1.0897479999999999</v>
      </c>
      <c r="Z447" s="1">
        <v>1917.125</v>
      </c>
      <c r="AA447" s="2">
        <f t="shared" si="53"/>
        <v>-0.58960400000000002</v>
      </c>
      <c r="AB447">
        <v>-29.4802</v>
      </c>
      <c r="AE447">
        <v>1917.0833333332996</v>
      </c>
      <c r="AF447">
        <v>0.73553623012586289</v>
      </c>
    </row>
    <row r="448" spans="4:32" x14ac:dyDescent="0.35">
      <c r="D448">
        <v>-0.401588</v>
      </c>
      <c r="M448">
        <f t="shared" si="54"/>
        <v>447</v>
      </c>
      <c r="N448">
        <f t="shared" si="55"/>
        <v>1917.1666666666329</v>
      </c>
      <c r="O448">
        <f t="shared" si="50"/>
        <v>0</v>
      </c>
      <c r="P448">
        <f t="array" ref="P448">+SUM($G$2:$G$18*SIN(2*PI()*(N448)*$B$1/$F$2:$F$18+$H$2:$H$18))</f>
        <v>0.39207590921861291</v>
      </c>
      <c r="Q448">
        <f t="shared" si="51"/>
        <v>0</v>
      </c>
      <c r="R448">
        <f t="shared" si="52"/>
        <v>1.6985545755174303E-2</v>
      </c>
      <c r="S448">
        <f t="array" ref="S448">+$B$2*SIN(R448*$B$3+$B$4)+0*R448+ SUM($J$2:$J$20*SIN(2*PI()*N448*$I$2:$I$20+$K$2:$K$20))</f>
        <v>0.73473946289457848</v>
      </c>
      <c r="U448" s="3">
        <f t="shared" si="56"/>
        <v>1917.1666666666329</v>
      </c>
      <c r="V448" s="3">
        <f t="shared" si="57"/>
        <v>1.1663939999999999</v>
      </c>
      <c r="Z448" s="1">
        <v>1917.2083</v>
      </c>
      <c r="AA448" s="2">
        <f t="shared" si="53"/>
        <v>-0.81454400000000005</v>
      </c>
      <c r="AB448">
        <v>-40.727200000000003</v>
      </c>
      <c r="AE448">
        <v>1917.1666666666329</v>
      </c>
      <c r="AF448">
        <v>0.73473946289457848</v>
      </c>
    </row>
    <row r="449" spans="4:32" x14ac:dyDescent="0.35">
      <c r="D449">
        <v>-0.58960400000000002</v>
      </c>
      <c r="M449">
        <f t="shared" si="54"/>
        <v>448</v>
      </c>
      <c r="N449">
        <f t="shared" si="55"/>
        <v>1917.2499999999661</v>
      </c>
      <c r="O449">
        <f t="shared" si="50"/>
        <v>0</v>
      </c>
      <c r="P449">
        <f t="array" ref="P449">+SUM($G$2:$G$18*SIN(2*PI()*(N449)*$B$1/$F$2:$F$18+$H$2:$H$18))</f>
        <v>0.75558342705833215</v>
      </c>
      <c r="Q449">
        <f t="shared" si="51"/>
        <v>0</v>
      </c>
      <c r="R449">
        <f t="shared" si="52"/>
        <v>1.6959419592025685E-2</v>
      </c>
      <c r="S449">
        <f t="array" ref="S449">+$B$2*SIN(R449*$B$3+$B$4)+0*R449+ SUM($J$2:$J$20*SIN(2*PI()*N449*$I$2:$I$20+$K$2:$K$20))</f>
        <v>0.73392614197260475</v>
      </c>
      <c r="U449" s="3">
        <f t="shared" si="56"/>
        <v>1917.2499999999661</v>
      </c>
      <c r="V449" s="3">
        <f t="shared" si="57"/>
        <v>1.2276560000000001</v>
      </c>
      <c r="Z449" s="1">
        <v>1917.2917</v>
      </c>
      <c r="AA449" s="2">
        <f t="shared" si="53"/>
        <v>-0.933334</v>
      </c>
      <c r="AB449">
        <v>-46.666699999999999</v>
      </c>
      <c r="AE449">
        <v>1917.2499999999661</v>
      </c>
      <c r="AF449">
        <v>0.73392614197260475</v>
      </c>
    </row>
    <row r="450" spans="4:32" x14ac:dyDescent="0.35">
      <c r="D450">
        <v>-0.81454400000000005</v>
      </c>
      <c r="M450">
        <f t="shared" si="54"/>
        <v>449</v>
      </c>
      <c r="N450">
        <f t="shared" si="55"/>
        <v>1917.3333333332994</v>
      </c>
      <c r="O450">
        <f t="shared" ref="O450:O513" si="58">+IF(MOD(M450,$B$5)=1, $B$6, 0)</f>
        <v>0</v>
      </c>
      <c r="P450">
        <f t="array" ref="P450">+SUM($G$2:$G$18*SIN(2*PI()*(N450)*$B$1/$F$2:$F$18+$H$2:$H$18))</f>
        <v>0.87204285494352018</v>
      </c>
      <c r="Q450">
        <f t="shared" si="51"/>
        <v>0</v>
      </c>
      <c r="R450">
        <f t="shared" si="52"/>
        <v>1.6933333614597958E-2</v>
      </c>
      <c r="S450">
        <f t="array" ref="S450">+$B$2*SIN(R450*$B$3+$B$4)+0*R450+ SUM($J$2:$J$20*SIN(2*PI()*N450*$I$2:$I$20+$K$2:$K$20))</f>
        <v>0.73309636709363635</v>
      </c>
      <c r="U450" s="3">
        <f t="shared" si="56"/>
        <v>1917.3333333332994</v>
      </c>
      <c r="V450" s="3">
        <f t="shared" si="57"/>
        <v>1.3550720000000001</v>
      </c>
      <c r="Z450" s="1">
        <v>1917.375</v>
      </c>
      <c r="AA450" s="2">
        <f t="shared" si="53"/>
        <v>-0.91981399999999991</v>
      </c>
      <c r="AB450">
        <v>-45.990699999999997</v>
      </c>
      <c r="AE450">
        <v>1917.3333333332994</v>
      </c>
      <c r="AF450">
        <v>0.73309636709363635</v>
      </c>
    </row>
    <row r="451" spans="4:32" x14ac:dyDescent="0.35">
      <c r="D451">
        <v>-0.933334</v>
      </c>
      <c r="M451">
        <f t="shared" si="54"/>
        <v>450</v>
      </c>
      <c r="N451">
        <f t="shared" si="55"/>
        <v>1917.4166666666326</v>
      </c>
      <c r="O451">
        <f t="shared" si="58"/>
        <v>0</v>
      </c>
      <c r="P451">
        <f t="array" ref="P451">+SUM($G$2:$G$18*SIN(2*PI()*(N451)*$B$1/$F$2:$F$18+$H$2:$H$18))</f>
        <v>0.31353699940696023</v>
      </c>
      <c r="Q451">
        <f t="shared" ref="Q451:Q514" si="59">+O451*P451</f>
        <v>0</v>
      </c>
      <c r="R451">
        <f t="shared" ref="R451:R514" si="60">+(1-$B$7)*R450+($B$7)*Q451</f>
        <v>1.6907287761079817E-2</v>
      </c>
      <c r="S451">
        <f t="array" ref="S451">+$B$2*SIN(R451*$B$3+$B$4)+0*R451+ SUM($J$2:$J$20*SIN(2*PI()*N451*$I$2:$I$20+$K$2:$K$20))</f>
        <v>0.73225023794505972</v>
      </c>
      <c r="U451" s="3">
        <f t="shared" si="56"/>
        <v>1917.4166666666326</v>
      </c>
      <c r="V451" s="3">
        <f t="shared" si="57"/>
        <v>1.2670980000000001</v>
      </c>
      <c r="Z451" s="1">
        <v>1917.4583</v>
      </c>
      <c r="AA451" s="2">
        <f t="shared" ref="AA451:AA514" si="61">+AB451/50</f>
        <v>-0.49706600000000001</v>
      </c>
      <c r="AB451">
        <v>-24.853300000000001</v>
      </c>
      <c r="AE451">
        <v>1917.4166666666326</v>
      </c>
      <c r="AF451">
        <v>0.73225023794505972</v>
      </c>
    </row>
    <row r="452" spans="4:32" x14ac:dyDescent="0.35">
      <c r="D452">
        <v>-0.91981399999999991</v>
      </c>
      <c r="M452">
        <f t="shared" ref="M452:M515" si="62">+M451+1</f>
        <v>451</v>
      </c>
      <c r="N452">
        <f t="shared" ref="N452:N515" si="63">+N451+1/12</f>
        <v>1917.4999999999659</v>
      </c>
      <c r="O452">
        <f t="shared" si="58"/>
        <v>0</v>
      </c>
      <c r="P452">
        <f t="array" ref="P452">+SUM($G$2:$G$18*SIN(2*PI()*(N452)*$B$1/$F$2:$F$18+$H$2:$H$18))</f>
        <v>-0.55672028106600568</v>
      </c>
      <c r="Q452">
        <f t="shared" si="59"/>
        <v>0</v>
      </c>
      <c r="R452">
        <f t="shared" si="60"/>
        <v>1.6881281969755038E-2</v>
      </c>
      <c r="S452">
        <f t="array" ref="S452">+$B$2*SIN(R452*$B$3+$B$4)+0*R452+ SUM($J$2:$J$20*SIN(2*PI()*N452*$I$2:$I$20+$K$2:$K$20))</f>
        <v>0.73138785416305585</v>
      </c>
      <c r="U452" s="3">
        <f t="shared" si="56"/>
        <v>1917.4999999999659</v>
      </c>
      <c r="V452" s="3">
        <f t="shared" si="57"/>
        <v>1.2945120000000001</v>
      </c>
      <c r="Z452" s="1">
        <v>1917.5417</v>
      </c>
      <c r="AA452" s="2">
        <f t="shared" si="61"/>
        <v>-0.41585800000000001</v>
      </c>
      <c r="AB452">
        <v>-20.792899999999999</v>
      </c>
      <c r="AE452">
        <v>1917.4999999999659</v>
      </c>
      <c r="AF452">
        <v>0.73138785416305585</v>
      </c>
    </row>
    <row r="453" spans="4:32" x14ac:dyDescent="0.35">
      <c r="D453">
        <v>-0.49706600000000001</v>
      </c>
      <c r="M453">
        <f t="shared" si="62"/>
        <v>452</v>
      </c>
      <c r="N453">
        <f t="shared" si="63"/>
        <v>1917.5833333332992</v>
      </c>
      <c r="O453">
        <f t="shared" si="58"/>
        <v>0</v>
      </c>
      <c r="P453">
        <f t="array" ref="P453">+SUM($G$2:$G$18*SIN(2*PI()*(N453)*$B$1/$F$2:$F$18+$H$2:$H$18))</f>
        <v>-0.6402014734762862</v>
      </c>
      <c r="Q453">
        <f t="shared" si="59"/>
        <v>0</v>
      </c>
      <c r="R453">
        <f t="shared" si="60"/>
        <v>1.6855316179002319E-2</v>
      </c>
      <c r="S453">
        <f t="array" ref="S453">+$B$2*SIN(R453*$B$3+$B$4)+0*R453+ SUM($J$2:$J$20*SIN(2*PI()*N453*$I$2:$I$20+$K$2:$K$20))</f>
        <v>0.73050931532776298</v>
      </c>
      <c r="U453" s="3">
        <f t="shared" si="56"/>
        <v>1917.5833333332992</v>
      </c>
      <c r="V453" s="3">
        <f t="shared" si="57"/>
        <v>1.4480779999999998</v>
      </c>
      <c r="Z453" s="1">
        <v>1917.625</v>
      </c>
      <c r="AA453" s="2">
        <f t="shared" si="61"/>
        <v>-0.55465000000000009</v>
      </c>
      <c r="AB453">
        <v>-27.732500000000002</v>
      </c>
      <c r="AE453">
        <v>1917.5833333332992</v>
      </c>
      <c r="AF453">
        <v>0.73050931532776298</v>
      </c>
    </row>
    <row r="454" spans="4:32" x14ac:dyDescent="0.35">
      <c r="D454">
        <v>-0.41585800000000001</v>
      </c>
      <c r="M454">
        <f t="shared" si="62"/>
        <v>453</v>
      </c>
      <c r="N454">
        <f t="shared" si="63"/>
        <v>1917.6666666666324</v>
      </c>
      <c r="O454">
        <f t="shared" si="58"/>
        <v>0</v>
      </c>
      <c r="P454">
        <f t="array" ref="P454">+SUM($G$2:$G$18*SIN(2*PI()*(N454)*$B$1/$F$2:$F$18+$H$2:$H$18))</f>
        <v>-8.5698426806142855E-2</v>
      </c>
      <c r="Q454">
        <f t="shared" si="59"/>
        <v>0</v>
      </c>
      <c r="R454">
        <f t="shared" si="60"/>
        <v>1.6829390327295142E-2</v>
      </c>
      <c r="S454">
        <f t="array" ref="S454">+$B$2*SIN(R454*$B$3+$B$4)+0*R454+ SUM($J$2:$J$20*SIN(2*PI()*N454*$I$2:$I$20+$K$2:$K$20))</f>
        <v>0.72961472095849367</v>
      </c>
      <c r="U454" s="3">
        <f t="shared" si="56"/>
        <v>1917.6666666666324</v>
      </c>
      <c r="V454" s="3">
        <f t="shared" si="57"/>
        <v>1.480102</v>
      </c>
      <c r="Z454" s="1">
        <v>1917.7083</v>
      </c>
      <c r="AA454" s="2">
        <f t="shared" si="61"/>
        <v>-0.43036600000000003</v>
      </c>
      <c r="AB454">
        <v>-21.5183</v>
      </c>
      <c r="AE454">
        <v>1917.6666666666324</v>
      </c>
      <c r="AF454">
        <v>0.72961472095849367</v>
      </c>
    </row>
    <row r="455" spans="4:32" x14ac:dyDescent="0.35">
      <c r="D455">
        <v>-0.55465000000000009</v>
      </c>
      <c r="M455">
        <f t="shared" si="62"/>
        <v>454</v>
      </c>
      <c r="N455">
        <f t="shared" si="63"/>
        <v>1917.7499999999657</v>
      </c>
      <c r="O455">
        <f t="shared" si="58"/>
        <v>0</v>
      </c>
      <c r="P455">
        <f t="array" ref="P455">+SUM($G$2:$G$18*SIN(2*PI()*(N455)*$B$1/$F$2:$F$18+$H$2:$H$18))</f>
        <v>0.16582403158664985</v>
      </c>
      <c r="Q455">
        <f t="shared" si="59"/>
        <v>0</v>
      </c>
      <c r="R455">
        <f t="shared" si="60"/>
        <v>1.6803504353201628E-2</v>
      </c>
      <c r="S455">
        <f t="array" ref="S455">+$B$2*SIN(R455*$B$3+$B$4)+0*R455+ SUM($J$2:$J$20*SIN(2*PI()*N455*$I$2:$I$20+$K$2:$K$20))</f>
        <v>0.72870417050900882</v>
      </c>
      <c r="U455" s="3">
        <f t="shared" si="56"/>
        <v>1917.7499999999657</v>
      </c>
      <c r="V455" s="3">
        <f t="shared" si="57"/>
        <v>1.3721260000000002</v>
      </c>
      <c r="Z455" s="1">
        <v>1917.7917</v>
      </c>
      <c r="AA455" s="2">
        <f t="shared" si="61"/>
        <v>-0.39070199999999999</v>
      </c>
      <c r="AB455">
        <v>-19.5351</v>
      </c>
      <c r="AE455">
        <v>1917.7499999999657</v>
      </c>
      <c r="AF455">
        <v>0.72870417050900882</v>
      </c>
    </row>
    <row r="456" spans="4:32" x14ac:dyDescent="0.35">
      <c r="D456">
        <v>-0.43036600000000003</v>
      </c>
      <c r="M456">
        <f t="shared" si="62"/>
        <v>455</v>
      </c>
      <c r="N456">
        <f t="shared" si="63"/>
        <v>1917.8333333332989</v>
      </c>
      <c r="O456">
        <f t="shared" si="58"/>
        <v>0</v>
      </c>
      <c r="P456">
        <f t="array" ref="P456">+SUM($G$2:$G$18*SIN(2*PI()*(N456)*$B$1/$F$2:$F$18+$H$2:$H$18))</f>
        <v>0.10102020751114758</v>
      </c>
      <c r="Q456">
        <f t="shared" si="59"/>
        <v>0</v>
      </c>
      <c r="R456">
        <f t="shared" si="60"/>
        <v>1.6777658195384387E-2</v>
      </c>
      <c r="S456">
        <f t="array" ref="S456">+$B$2*SIN(R456*$B$3+$B$4)+0*R456+ SUM($J$2:$J$20*SIN(2*PI()*N456*$I$2:$I$20+$K$2:$K$20))</f>
        <v>0.72777776336284672</v>
      </c>
      <c r="U456" s="3">
        <f t="shared" si="56"/>
        <v>1917.8333333332989</v>
      </c>
      <c r="V456" s="3">
        <f t="shared" si="57"/>
        <v>1.2210720000000002</v>
      </c>
      <c r="Z456" s="1">
        <v>1917.875</v>
      </c>
      <c r="AA456" s="2">
        <f t="shared" si="61"/>
        <v>-0.58795799999999998</v>
      </c>
      <c r="AB456">
        <v>-29.3979</v>
      </c>
      <c r="AE456">
        <v>1917.8333333332989</v>
      </c>
      <c r="AF456">
        <v>0.72777776336284672</v>
      </c>
    </row>
    <row r="457" spans="4:32" x14ac:dyDescent="0.35">
      <c r="D457">
        <v>-0.39070199999999999</v>
      </c>
      <c r="M457">
        <f t="shared" si="62"/>
        <v>456</v>
      </c>
      <c r="N457">
        <f t="shared" si="63"/>
        <v>1917.9166666666322</v>
      </c>
      <c r="O457">
        <f t="shared" si="58"/>
        <v>0</v>
      </c>
      <c r="P457">
        <f t="array" ref="P457">+SUM($G$2:$G$18*SIN(2*PI()*(N457)*$B$1/$F$2:$F$18+$H$2:$H$18))</f>
        <v>0.1183841559390915</v>
      </c>
      <c r="Q457">
        <f t="shared" si="59"/>
        <v>0</v>
      </c>
      <c r="R457">
        <f t="shared" si="60"/>
        <v>1.6751851792600372E-2</v>
      </c>
      <c r="S457">
        <f t="array" ref="S457">+$B$2*SIN(R457*$B$3+$B$4)+0*R457+ SUM($J$2:$J$20*SIN(2*PI()*N457*$I$2:$I$20+$K$2:$K$20))</f>
        <v>0.72683559882870885</v>
      </c>
      <c r="U457" s="3">
        <f t="shared" si="56"/>
        <v>1917.9166666666322</v>
      </c>
      <c r="V457" s="3">
        <f t="shared" si="57"/>
        <v>1.4161699999999999</v>
      </c>
      <c r="Z457" s="1">
        <v>1917.9583</v>
      </c>
      <c r="AA457" s="2">
        <f t="shared" si="61"/>
        <v>-0.45906199999999997</v>
      </c>
      <c r="AB457">
        <v>-22.953099999999999</v>
      </c>
      <c r="AE457">
        <v>1917.9166666666322</v>
      </c>
      <c r="AF457">
        <v>0.72683559882870885</v>
      </c>
    </row>
    <row r="458" spans="4:32" x14ac:dyDescent="0.35">
      <c r="D458">
        <v>-0.58795799999999998</v>
      </c>
      <c r="M458">
        <f t="shared" si="62"/>
        <v>457</v>
      </c>
      <c r="N458">
        <f t="shared" si="63"/>
        <v>1917.9999999999654</v>
      </c>
      <c r="O458">
        <f t="shared" si="58"/>
        <v>36.637715116165623</v>
      </c>
      <c r="P458">
        <f t="array" ref="P458">+SUM($G$2:$G$18*SIN(2*PI()*(N458)*$B$1/$F$2:$F$18+$H$2:$H$18))</f>
        <v>0.37822031745649137</v>
      </c>
      <c r="Q458">
        <f t="shared" si="59"/>
        <v>13.857128242116655</v>
      </c>
      <c r="R458">
        <f t="shared" si="60"/>
        <v>3.8040301208581838E-2</v>
      </c>
      <c r="S458">
        <f t="array" ref="S458">+$B$2*SIN(R458*$B$3+$B$4)+0*R458+ SUM($J$2:$J$20*SIN(2*PI()*N458*$I$2:$I$20+$K$2:$K$20))</f>
        <v>-0.62037089512476107</v>
      </c>
      <c r="U458" s="3">
        <f t="shared" si="56"/>
        <v>1917.9999999999654</v>
      </c>
      <c r="V458" s="3">
        <f t="shared" si="57"/>
        <v>1.205114</v>
      </c>
      <c r="Z458" s="1">
        <v>1918.0417</v>
      </c>
      <c r="AA458" s="2">
        <f t="shared" si="61"/>
        <v>-0.21940000000000001</v>
      </c>
      <c r="AB458">
        <v>-10.97</v>
      </c>
      <c r="AE458">
        <v>1917.9999999999654</v>
      </c>
      <c r="AF458">
        <v>-0.62037089512476107</v>
      </c>
    </row>
    <row r="459" spans="4:32" x14ac:dyDescent="0.35">
      <c r="D459">
        <v>-0.45906199999999997</v>
      </c>
      <c r="M459">
        <f t="shared" si="62"/>
        <v>458</v>
      </c>
      <c r="N459">
        <f t="shared" si="63"/>
        <v>1918.0833333332987</v>
      </c>
      <c r="O459">
        <f t="shared" si="58"/>
        <v>0</v>
      </c>
      <c r="P459">
        <f t="array" ref="P459">+SUM($G$2:$G$18*SIN(2*PI()*(N459)*$B$1/$F$2:$F$18+$H$2:$H$18))</f>
        <v>0.5536492657081864</v>
      </c>
      <c r="Q459">
        <f t="shared" si="59"/>
        <v>0</v>
      </c>
      <c r="R459">
        <f t="shared" si="60"/>
        <v>3.7981789864293992E-2</v>
      </c>
      <c r="S459">
        <f t="array" ref="S459">+$B$2*SIN(R459*$B$3+$B$4)+0*R459+ SUM($J$2:$J$20*SIN(2*PI()*N459*$I$2:$I$20+$K$2:$K$20))</f>
        <v>-0.62502800575989714</v>
      </c>
      <c r="U459" s="3">
        <f t="shared" si="56"/>
        <v>1918.0833333332987</v>
      </c>
      <c r="V459" s="3">
        <f t="shared" si="57"/>
        <v>1.080212</v>
      </c>
      <c r="Z459" s="1">
        <v>1918.125</v>
      </c>
      <c r="AA459" s="2">
        <f t="shared" si="61"/>
        <v>-0.139738</v>
      </c>
      <c r="AB459">
        <v>-6.9869000000000003</v>
      </c>
      <c r="AE459">
        <v>1918.0833333332987</v>
      </c>
      <c r="AF459">
        <v>-0.62502800575989714</v>
      </c>
    </row>
    <row r="460" spans="4:32" x14ac:dyDescent="0.35">
      <c r="D460">
        <v>-0.21940000000000001</v>
      </c>
      <c r="M460">
        <f t="shared" si="62"/>
        <v>459</v>
      </c>
      <c r="N460">
        <f t="shared" si="63"/>
        <v>1918.166666666632</v>
      </c>
      <c r="O460">
        <f t="shared" si="58"/>
        <v>0</v>
      </c>
      <c r="P460">
        <f t="array" ref="P460">+SUM($G$2:$G$18*SIN(2*PI()*(N460)*$B$1/$F$2:$F$18+$H$2:$H$18))</f>
        <v>-4.2297243513027771E-2</v>
      </c>
      <c r="Q460">
        <f t="shared" si="59"/>
        <v>0</v>
      </c>
      <c r="R460">
        <f t="shared" si="60"/>
        <v>3.7923368518699686E-2</v>
      </c>
      <c r="S460">
        <f t="array" ref="S460">+$B$2*SIN(R460*$B$3+$B$4)+0*R460+ SUM($J$2:$J$20*SIN(2*PI()*N460*$I$2:$I$20+$K$2:$K$20))</f>
        <v>-0.62960232807784999</v>
      </c>
      <c r="U460" s="3">
        <f t="shared" si="56"/>
        <v>1918.166666666632</v>
      </c>
      <c r="V460" s="3">
        <f t="shared" si="57"/>
        <v>0.52146000000000003</v>
      </c>
      <c r="Z460" s="1">
        <v>1918.2083</v>
      </c>
      <c r="AA460" s="2">
        <f t="shared" si="61"/>
        <v>-3.5459999999999998E-2</v>
      </c>
      <c r="AB460">
        <v>-1.7729999999999999</v>
      </c>
      <c r="AE460">
        <v>1918.166666666632</v>
      </c>
      <c r="AF460">
        <v>-0.62960232807784999</v>
      </c>
    </row>
    <row r="461" spans="4:32" x14ac:dyDescent="0.35">
      <c r="D461">
        <v>-0.139738</v>
      </c>
      <c r="M461">
        <f t="shared" si="62"/>
        <v>460</v>
      </c>
      <c r="N461">
        <f t="shared" si="63"/>
        <v>1918.2499999999652</v>
      </c>
      <c r="O461">
        <f t="shared" si="58"/>
        <v>0</v>
      </c>
      <c r="P461">
        <f t="array" ref="P461">+SUM($G$2:$G$18*SIN(2*PI()*(N461)*$B$1/$F$2:$F$18+$H$2:$H$18))</f>
        <v>-0.9147193236150637</v>
      </c>
      <c r="Q461">
        <f t="shared" si="59"/>
        <v>0</v>
      </c>
      <c r="R461">
        <f t="shared" si="60"/>
        <v>3.7865037033368236E-2</v>
      </c>
      <c r="S461">
        <f t="array" ref="S461">+$B$2*SIN(R461*$B$3+$B$4)+0*R461+ SUM($J$2:$J$20*SIN(2*PI()*N461*$I$2:$I$20+$K$2:$K$20))</f>
        <v>-0.63409367010704942</v>
      </c>
      <c r="U461" s="3">
        <f t="shared" si="56"/>
        <v>1918.2499999999652</v>
      </c>
      <c r="V461" s="3">
        <f t="shared" si="57"/>
        <v>0.170402</v>
      </c>
      <c r="Z461" s="1">
        <v>1918.2917</v>
      </c>
      <c r="AA461" s="2">
        <f t="shared" si="61"/>
        <v>0.114968</v>
      </c>
      <c r="AB461">
        <v>5.7484000000000002</v>
      </c>
      <c r="AE461">
        <v>1918.2499999999652</v>
      </c>
      <c r="AF461">
        <v>-0.63409367010704942</v>
      </c>
    </row>
    <row r="462" spans="4:32" x14ac:dyDescent="0.35">
      <c r="D462">
        <v>-3.5459999999999998E-2</v>
      </c>
      <c r="M462">
        <f t="shared" si="62"/>
        <v>461</v>
      </c>
      <c r="N462">
        <f t="shared" si="63"/>
        <v>1918.3333333332985</v>
      </c>
      <c r="O462">
        <f t="shared" si="58"/>
        <v>0</v>
      </c>
      <c r="P462">
        <f t="array" ref="P462">+SUM($G$2:$G$18*SIN(2*PI()*(N462)*$B$1/$F$2:$F$18+$H$2:$H$18))</f>
        <v>-0.83973420023886236</v>
      </c>
      <c r="Q462">
        <f t="shared" si="59"/>
        <v>0</v>
      </c>
      <c r="R462">
        <f t="shared" si="60"/>
        <v>3.7806795270081898E-2</v>
      </c>
      <c r="S462">
        <f t="array" ref="S462">+$B$2*SIN(R462*$B$3+$B$4)+0*R462+ SUM($J$2:$J$20*SIN(2*PI()*N462*$I$2:$I$20+$K$2:$K$20))</f>
        <v>-0.6385018528273948</v>
      </c>
      <c r="U462" s="3">
        <f t="shared" si="56"/>
        <v>1918.3333333332985</v>
      </c>
      <c r="V462" s="3">
        <f t="shared" si="57"/>
        <v>-2.3736E-2</v>
      </c>
      <c r="Z462" s="1">
        <v>1918.375</v>
      </c>
      <c r="AA462" s="2">
        <f t="shared" si="61"/>
        <v>1.0012E-2</v>
      </c>
      <c r="AB462">
        <v>0.50060000000000004</v>
      </c>
      <c r="AE462">
        <v>1918.3333333332985</v>
      </c>
      <c r="AF462">
        <v>-0.6385018528273948</v>
      </c>
    </row>
    <row r="463" spans="4:32" x14ac:dyDescent="0.35">
      <c r="D463">
        <v>0.114968</v>
      </c>
      <c r="M463">
        <f t="shared" si="62"/>
        <v>462</v>
      </c>
      <c r="N463">
        <f t="shared" si="63"/>
        <v>1918.4166666666317</v>
      </c>
      <c r="O463">
        <f t="shared" si="58"/>
        <v>0</v>
      </c>
      <c r="P463">
        <f t="array" ref="P463">+SUM($G$2:$G$18*SIN(2*PI()*(N463)*$B$1/$F$2:$F$18+$H$2:$H$18))</f>
        <v>-0.12032116093473502</v>
      </c>
      <c r="Q463">
        <f t="shared" si="59"/>
        <v>0</v>
      </c>
      <c r="R463">
        <f t="shared" si="60"/>
        <v>3.7748643090835518E-2</v>
      </c>
      <c r="S463">
        <f t="array" ref="S463">+$B$2*SIN(R463*$B$3+$B$4)+0*R463+ SUM($J$2:$J$20*SIN(2*PI()*N463*$I$2:$I$20+$K$2:$K$20))</f>
        <v>-0.64282671006633252</v>
      </c>
      <c r="U463" s="3">
        <f t="shared" si="56"/>
        <v>1918.4166666666317</v>
      </c>
      <c r="V463" s="3">
        <f t="shared" si="57"/>
        <v>-0.16249199999999997</v>
      </c>
      <c r="Z463" s="1">
        <v>1918.4583</v>
      </c>
      <c r="AA463" s="2">
        <f t="shared" si="61"/>
        <v>-0.11033</v>
      </c>
      <c r="AB463">
        <v>-5.5164999999999997</v>
      </c>
      <c r="AE463">
        <v>1918.4166666666317</v>
      </c>
      <c r="AF463">
        <v>-0.64282671006633252</v>
      </c>
    </row>
    <row r="464" spans="4:32" x14ac:dyDescent="0.35">
      <c r="D464">
        <v>1.0012E-2</v>
      </c>
      <c r="M464">
        <f t="shared" si="62"/>
        <v>463</v>
      </c>
      <c r="N464">
        <f t="shared" si="63"/>
        <v>1918.499999999965</v>
      </c>
      <c r="O464">
        <f t="shared" si="58"/>
        <v>0</v>
      </c>
      <c r="P464">
        <f t="array" ref="P464">+SUM($G$2:$G$18*SIN(2*PI()*(N464)*$B$1/$F$2:$F$18+$H$2:$H$18))</f>
        <v>0.1879179337658213</v>
      </c>
      <c r="Q464">
        <f t="shared" si="59"/>
        <v>0</v>
      </c>
      <c r="R464">
        <f t="shared" si="60"/>
        <v>3.769058035783622E-2</v>
      </c>
      <c r="S464">
        <f t="array" ref="S464">+$B$2*SIN(R464*$B$3+$B$4)+0*R464+ SUM($J$2:$J$20*SIN(2*PI()*N464*$I$2:$I$20+$K$2:$K$20))</f>
        <v>-0.64706808839391883</v>
      </c>
      <c r="U464" s="3">
        <f t="shared" si="56"/>
        <v>1918.499999999965</v>
      </c>
      <c r="V464" s="3">
        <f t="shared" si="57"/>
        <v>-0.15970800000000002</v>
      </c>
      <c r="Z464" s="1">
        <v>1918.5417</v>
      </c>
      <c r="AA464" s="2">
        <f t="shared" si="61"/>
        <v>-0.604522</v>
      </c>
      <c r="AB464">
        <v>-30.226099999999999</v>
      </c>
      <c r="AE464">
        <v>1918.499999999965</v>
      </c>
      <c r="AF464">
        <v>-0.64706808839391883</v>
      </c>
    </row>
    <row r="465" spans="4:32" x14ac:dyDescent="0.35">
      <c r="D465">
        <v>-0.11033</v>
      </c>
      <c r="M465">
        <f t="shared" si="62"/>
        <v>464</v>
      </c>
      <c r="N465">
        <f t="shared" si="63"/>
        <v>1918.5833333332982</v>
      </c>
      <c r="O465">
        <f t="shared" si="58"/>
        <v>0</v>
      </c>
      <c r="P465">
        <f t="array" ref="P465">+SUM($G$2:$G$18*SIN(2*PI()*(N465)*$B$1/$F$2:$F$18+$H$2:$H$18))</f>
        <v>-7.237188071856554E-3</v>
      </c>
      <c r="Q465">
        <f t="shared" si="59"/>
        <v>0</v>
      </c>
      <c r="R465">
        <f t="shared" si="60"/>
        <v>3.7632606933503072E-2</v>
      </c>
      <c r="S465">
        <f t="array" ref="S465">+$B$2*SIN(R465*$B$3+$B$4)+0*R465+ SUM($J$2:$J$20*SIN(2*PI()*N465*$I$2:$I$20+$K$2:$K$20))</f>
        <v>-0.65122584701689934</v>
      </c>
      <c r="U465" s="3">
        <f t="shared" si="56"/>
        <v>1918.5833333332982</v>
      </c>
      <c r="V465" s="3">
        <f t="shared" si="57"/>
        <v>-0.20461600000000002</v>
      </c>
      <c r="Z465" s="1">
        <v>1918.625</v>
      </c>
      <c r="AA465" s="2">
        <f t="shared" si="61"/>
        <v>-0.78178799999999993</v>
      </c>
      <c r="AB465">
        <v>-39.089399999999998</v>
      </c>
      <c r="AE465">
        <v>1918.5833333332982</v>
      </c>
      <c r="AF465">
        <v>-0.65122584701689934</v>
      </c>
    </row>
    <row r="466" spans="4:32" x14ac:dyDescent="0.35">
      <c r="D466">
        <v>-0.604522</v>
      </c>
      <c r="M466">
        <f t="shared" si="62"/>
        <v>465</v>
      </c>
      <c r="N466">
        <f t="shared" si="63"/>
        <v>1918.6666666666315</v>
      </c>
      <c r="O466">
        <f t="shared" si="58"/>
        <v>0</v>
      </c>
      <c r="P466">
        <f t="array" ref="P466">+SUM($G$2:$G$18*SIN(2*PI()*(N466)*$B$1/$F$2:$F$18+$H$2:$H$18))</f>
        <v>-0.18905768486588478</v>
      </c>
      <c r="Q466">
        <f t="shared" si="59"/>
        <v>0</v>
      </c>
      <c r="R466">
        <f t="shared" si="60"/>
        <v>3.7574722680466757E-2</v>
      </c>
      <c r="S466">
        <f t="array" ref="S466">+$B$2*SIN(R466*$B$3+$B$4)+0*R466+ SUM($J$2:$J$20*SIN(2*PI()*N466*$I$2:$I$20+$K$2:$K$20))</f>
        <v>-0.65529985767184906</v>
      </c>
      <c r="U466" s="3">
        <f t="shared" si="56"/>
        <v>1918.6666666666315</v>
      </c>
      <c r="V466" s="3">
        <f t="shared" si="57"/>
        <v>-0.25106800000000001</v>
      </c>
      <c r="Z466" s="1">
        <v>1918.7083</v>
      </c>
      <c r="AA466" s="2">
        <f t="shared" si="61"/>
        <v>-0.97905600000000004</v>
      </c>
      <c r="AB466">
        <v>-48.952800000000003</v>
      </c>
      <c r="AE466">
        <v>1918.6666666666315</v>
      </c>
      <c r="AF466">
        <v>-0.65529985767184906</v>
      </c>
    </row>
    <row r="467" spans="4:32" x14ac:dyDescent="0.35">
      <c r="D467">
        <v>-0.78178799999999993</v>
      </c>
      <c r="M467">
        <f t="shared" si="62"/>
        <v>466</v>
      </c>
      <c r="N467">
        <f t="shared" si="63"/>
        <v>1918.7499999999648</v>
      </c>
      <c r="O467">
        <f t="shared" si="58"/>
        <v>0</v>
      </c>
      <c r="P467">
        <f t="array" ref="P467">+SUM($G$2:$G$18*SIN(2*PI()*(N467)*$B$1/$F$2:$F$18+$H$2:$H$18))</f>
        <v>5.3032582037152345E-2</v>
      </c>
      <c r="Q467">
        <f t="shared" si="59"/>
        <v>0</v>
      </c>
      <c r="R467">
        <f t="shared" si="60"/>
        <v>3.7516927461569254E-2</v>
      </c>
      <c r="S467">
        <f t="array" ref="S467">+$B$2*SIN(R467*$B$3+$B$4)+0*R467+ SUM($J$2:$J$20*SIN(2*PI()*N467*$I$2:$I$20+$K$2:$K$20))</f>
        <v>-0.65929000451740227</v>
      </c>
      <c r="U467" s="3">
        <f t="shared" si="56"/>
        <v>1918.7499999999648</v>
      </c>
      <c r="V467" s="3">
        <f t="shared" si="57"/>
        <v>-0.12521000000000002</v>
      </c>
      <c r="Z467" s="1">
        <v>1918.7917</v>
      </c>
      <c r="AA467" s="2">
        <f t="shared" si="61"/>
        <v>-0.98863600000000007</v>
      </c>
      <c r="AB467">
        <v>-49.431800000000003</v>
      </c>
      <c r="AE467">
        <v>1918.7499999999648</v>
      </c>
      <c r="AF467">
        <v>-0.65929000451740227</v>
      </c>
    </row>
    <row r="468" spans="4:32" x14ac:dyDescent="0.35">
      <c r="D468">
        <v>-0.97905600000000004</v>
      </c>
      <c r="M468">
        <f t="shared" si="62"/>
        <v>467</v>
      </c>
      <c r="N468">
        <f t="shared" si="63"/>
        <v>1918.833333333298</v>
      </c>
      <c r="O468">
        <f t="shared" si="58"/>
        <v>0</v>
      </c>
      <c r="P468">
        <f t="array" ref="P468">+SUM($G$2:$G$18*SIN(2*PI()*(N468)*$B$1/$F$2:$F$18+$H$2:$H$18))</f>
        <v>0.28297623696516833</v>
      </c>
      <c r="Q468">
        <f t="shared" si="59"/>
        <v>0</v>
      </c>
      <c r="R468">
        <f t="shared" si="60"/>
        <v>3.7459221139863511E-2</v>
      </c>
      <c r="S468">
        <f t="array" ref="S468">+$B$2*SIN(R468*$B$3+$B$4)+0*R468+ SUM($J$2:$J$20*SIN(2*PI()*N468*$I$2:$I$20+$K$2:$K$20))</f>
        <v>-0.66319618402560687</v>
      </c>
      <c r="U468" s="3">
        <f t="shared" si="56"/>
        <v>1918.833333333298</v>
      </c>
      <c r="V468" s="3">
        <f t="shared" si="57"/>
        <v>-5.6277999999999995E-2</v>
      </c>
      <c r="Z468" s="1">
        <v>1918.875</v>
      </c>
      <c r="AA468" s="2">
        <f t="shared" si="61"/>
        <v>-1.0505200000000001</v>
      </c>
      <c r="AB468">
        <v>-52.526000000000003</v>
      </c>
      <c r="AE468">
        <v>1918.833333333298</v>
      </c>
      <c r="AF468">
        <v>-0.66319618402560687</v>
      </c>
    </row>
    <row r="469" spans="4:32" x14ac:dyDescent="0.35">
      <c r="D469">
        <v>-0.98863600000000007</v>
      </c>
      <c r="M469">
        <f t="shared" si="62"/>
        <v>468</v>
      </c>
      <c r="N469">
        <f t="shared" si="63"/>
        <v>1918.9166666666313</v>
      </c>
      <c r="O469">
        <f t="shared" si="58"/>
        <v>0</v>
      </c>
      <c r="P469">
        <f t="array" ref="P469">+SUM($G$2:$G$18*SIN(2*PI()*(N469)*$B$1/$F$2:$F$18+$H$2:$H$18))</f>
        <v>-0.2948008111159513</v>
      </c>
      <c r="Q469">
        <f t="shared" si="59"/>
        <v>0</v>
      </c>
      <c r="R469">
        <f t="shared" si="60"/>
        <v>3.7401603578613114E-2</v>
      </c>
      <c r="S469">
        <f t="array" ref="S469">+$B$2*SIN(R469*$B$3+$B$4)+0*R469+ SUM($J$2:$J$20*SIN(2*PI()*N469*$I$2:$I$20+$K$2:$K$20))</f>
        <v>-0.66701830487244884</v>
      </c>
      <c r="U469" s="3">
        <f t="shared" si="56"/>
        <v>1918.9166666666313</v>
      </c>
      <c r="V469" s="3">
        <f t="shared" si="57"/>
        <v>-0.16119399999999998</v>
      </c>
      <c r="Z469" s="1">
        <v>1918.9583</v>
      </c>
      <c r="AA469" s="2">
        <f t="shared" si="61"/>
        <v>-0.69548399999999999</v>
      </c>
      <c r="AB469">
        <v>-34.7742</v>
      </c>
      <c r="AE469">
        <v>1918.9166666666313</v>
      </c>
      <c r="AF469">
        <v>-0.66701830487244884</v>
      </c>
    </row>
    <row r="470" spans="4:32" x14ac:dyDescent="0.35">
      <c r="D470">
        <v>-1.0505200000000001</v>
      </c>
      <c r="M470">
        <f t="shared" si="62"/>
        <v>469</v>
      </c>
      <c r="N470">
        <f t="shared" si="63"/>
        <v>1918.9999999999645</v>
      </c>
      <c r="O470">
        <f t="shared" si="58"/>
        <v>36.637715116165623</v>
      </c>
      <c r="P470">
        <f t="array" ref="P470">+SUM($G$2:$G$18*SIN(2*PI()*(N470)*$B$1/$F$2:$F$18+$H$2:$H$18))</f>
        <v>-1.0170236075892896</v>
      </c>
      <c r="Q470">
        <f t="shared" si="59"/>
        <v>-37.261421201271411</v>
      </c>
      <c r="R470">
        <f t="shared" si="60"/>
        <v>-1.9969242427556405E-2</v>
      </c>
      <c r="S470">
        <f t="array" ref="S470">+$B$2*SIN(R470*$B$3+$B$4)+0*R470+ SUM($J$2:$J$20*SIN(2*PI()*N470*$I$2:$I$20+$K$2:$K$20))</f>
        <v>0.4730570134163139</v>
      </c>
      <c r="U470" s="3">
        <f t="shared" si="56"/>
        <v>1918.9999999999645</v>
      </c>
      <c r="V470" s="3">
        <f t="shared" si="57"/>
        <v>-0.52149400000000001</v>
      </c>
      <c r="Z470" s="1">
        <v>1919.0417</v>
      </c>
      <c r="AA470" s="2">
        <f t="shared" si="61"/>
        <v>-0.61737399999999998</v>
      </c>
      <c r="AB470">
        <v>-30.8687</v>
      </c>
      <c r="AE470">
        <v>1918.9999999999645</v>
      </c>
      <c r="AF470">
        <v>0.4730570134163139</v>
      </c>
    </row>
    <row r="471" spans="4:32" x14ac:dyDescent="0.35">
      <c r="D471">
        <v>-0.69548399999999999</v>
      </c>
      <c r="M471">
        <f t="shared" si="62"/>
        <v>470</v>
      </c>
      <c r="N471">
        <f t="shared" si="63"/>
        <v>1919.0833333332978</v>
      </c>
      <c r="O471">
        <f t="shared" si="58"/>
        <v>0</v>
      </c>
      <c r="P471">
        <f t="array" ref="P471">+SUM($G$2:$G$18*SIN(2*PI()*(N471)*$B$1/$F$2:$F$18+$H$2:$H$18))</f>
        <v>-0.76140733993688892</v>
      </c>
      <c r="Q471">
        <f t="shared" si="59"/>
        <v>0</v>
      </c>
      <c r="R471">
        <f t="shared" si="60"/>
        <v>-1.9938526918432557E-2</v>
      </c>
      <c r="S471">
        <f t="array" ref="S471">+$B$2*SIN(R471*$B$3+$B$4)+0*R471+ SUM($J$2:$J$20*SIN(2*PI()*N471*$I$2:$I$20+$K$2:$K$20))</f>
        <v>0.47643394231658731</v>
      </c>
      <c r="U471" s="3">
        <f t="shared" si="56"/>
        <v>1919.0833333332978</v>
      </c>
      <c r="V471" s="3">
        <f t="shared" si="57"/>
        <v>-0.19871800000000001</v>
      </c>
      <c r="Z471" s="1">
        <v>1919.125</v>
      </c>
      <c r="AA471" s="2">
        <f t="shared" si="61"/>
        <v>-0.49310999999999999</v>
      </c>
      <c r="AB471">
        <v>-24.6555</v>
      </c>
      <c r="AE471">
        <v>1919.0833333332978</v>
      </c>
      <c r="AF471">
        <v>0.47643394231658731</v>
      </c>
    </row>
    <row r="472" spans="4:32" x14ac:dyDescent="0.35">
      <c r="D472">
        <v>-0.61737399999999998</v>
      </c>
      <c r="M472">
        <f t="shared" si="62"/>
        <v>471</v>
      </c>
      <c r="N472">
        <f t="shared" si="63"/>
        <v>1919.166666666631</v>
      </c>
      <c r="O472">
        <f t="shared" si="58"/>
        <v>0</v>
      </c>
      <c r="P472">
        <f t="array" ref="P472">+SUM($G$2:$G$18*SIN(2*PI()*(N472)*$B$1/$F$2:$F$18+$H$2:$H$18))</f>
        <v>-2.8232966872764442E-2</v>
      </c>
      <c r="Q472">
        <f t="shared" si="59"/>
        <v>0</v>
      </c>
      <c r="R472">
        <f t="shared" si="60"/>
        <v>-1.9907858654090487E-2</v>
      </c>
      <c r="S472">
        <f t="array" ref="S472">+$B$2*SIN(R472*$B$3+$B$4)+0*R472+ SUM($J$2:$J$20*SIN(2*PI()*N472*$I$2:$I$20+$K$2:$K$20))</f>
        <v>0.47978979129064842</v>
      </c>
      <c r="U472" s="3">
        <f t="shared" si="56"/>
        <v>1919.166666666631</v>
      </c>
      <c r="V472" s="3">
        <f t="shared" si="57"/>
        <v>-8.9789999999999995E-2</v>
      </c>
      <c r="Z472" s="1">
        <v>1919.2083</v>
      </c>
      <c r="AA472" s="2">
        <f t="shared" si="61"/>
        <v>-0.56115400000000004</v>
      </c>
      <c r="AB472">
        <v>-28.057700000000001</v>
      </c>
      <c r="AE472">
        <v>1919.166666666631</v>
      </c>
      <c r="AF472">
        <v>0.47978979129064842</v>
      </c>
    </row>
    <row r="473" spans="4:32" x14ac:dyDescent="0.35">
      <c r="D473">
        <v>-0.49310999999999999</v>
      </c>
      <c r="M473">
        <f t="shared" si="62"/>
        <v>472</v>
      </c>
      <c r="N473">
        <f t="shared" si="63"/>
        <v>1919.2499999999643</v>
      </c>
      <c r="O473">
        <f t="shared" si="58"/>
        <v>0</v>
      </c>
      <c r="P473">
        <f t="array" ref="P473">+SUM($G$2:$G$18*SIN(2*PI()*(N473)*$B$1/$F$2:$F$18+$H$2:$H$18))</f>
        <v>0.21098286197338434</v>
      </c>
      <c r="Q473">
        <f t="shared" si="59"/>
        <v>0</v>
      </c>
      <c r="R473">
        <f t="shared" si="60"/>
        <v>-1.987723756186106E-2</v>
      </c>
      <c r="S473">
        <f t="array" ref="S473">+$B$2*SIN(R473*$B$3+$B$4)+0*R473+ SUM($J$2:$J$20*SIN(2*PI()*N473*$I$2:$I$20+$K$2:$K$20))</f>
        <v>0.48312453004280798</v>
      </c>
      <c r="U473" s="3">
        <f t="shared" si="56"/>
        <v>1919.2499999999643</v>
      </c>
      <c r="V473" s="3">
        <f t="shared" si="57"/>
        <v>3.6060000000000002E-2</v>
      </c>
      <c r="Z473" s="1">
        <v>1919.2917</v>
      </c>
      <c r="AA473" s="2">
        <f t="shared" si="61"/>
        <v>-0.33073999999999998</v>
      </c>
      <c r="AB473">
        <v>-16.536999999999999</v>
      </c>
      <c r="AE473">
        <v>1919.2499999999643</v>
      </c>
      <c r="AF473">
        <v>0.48312453004280798</v>
      </c>
    </row>
    <row r="474" spans="4:32" x14ac:dyDescent="0.35">
      <c r="D474">
        <v>-0.56115400000000004</v>
      </c>
      <c r="M474">
        <f t="shared" si="62"/>
        <v>473</v>
      </c>
      <c r="N474">
        <f t="shared" si="63"/>
        <v>1919.3333333332976</v>
      </c>
      <c r="O474">
        <f t="shared" si="58"/>
        <v>0</v>
      </c>
      <c r="P474">
        <f t="array" ref="P474">+SUM($G$2:$G$18*SIN(2*PI()*(N474)*$B$1/$F$2:$F$18+$H$2:$H$18))</f>
        <v>-6.5275110079769577E-2</v>
      </c>
      <c r="Q474">
        <f t="shared" si="59"/>
        <v>0</v>
      </c>
      <c r="R474">
        <f t="shared" si="60"/>
        <v>-1.984666356918692E-2</v>
      </c>
      <c r="S474">
        <f t="array" ref="S474">+$B$2*SIN(R474*$B$3+$B$4)+0*R474+ SUM($J$2:$J$20*SIN(2*PI()*N474*$I$2:$I$20+$K$2:$K$20))</f>
        <v>0.48643812955922727</v>
      </c>
      <c r="U474" s="3">
        <f t="shared" si="56"/>
        <v>1919.3333333332976</v>
      </c>
      <c r="V474" s="3">
        <f t="shared" si="57"/>
        <v>6.4986000000000002E-2</v>
      </c>
      <c r="Z474" s="1">
        <v>1919.375</v>
      </c>
      <c r="AA474" s="2">
        <f t="shared" si="61"/>
        <v>-0.66340199999999994</v>
      </c>
      <c r="AB474">
        <v>-33.170099999999998</v>
      </c>
      <c r="AE474">
        <v>1919.3333333332976</v>
      </c>
      <c r="AF474">
        <v>0.48643812955922727</v>
      </c>
    </row>
    <row r="475" spans="4:32" x14ac:dyDescent="0.35">
      <c r="D475">
        <v>-0.33073999999999998</v>
      </c>
      <c r="M475">
        <f t="shared" si="62"/>
        <v>474</v>
      </c>
      <c r="N475">
        <f t="shared" si="63"/>
        <v>1919.4166666666308</v>
      </c>
      <c r="O475">
        <f t="shared" si="58"/>
        <v>0</v>
      </c>
      <c r="P475">
        <f t="array" ref="P475">+SUM($G$2:$G$18*SIN(2*PI()*(N475)*$B$1/$F$2:$F$18+$H$2:$H$18))</f>
        <v>-0.29016716669850545</v>
      </c>
      <c r="Q475">
        <f t="shared" si="59"/>
        <v>0</v>
      </c>
      <c r="R475">
        <f t="shared" si="60"/>
        <v>-1.9816136603622313E-2</v>
      </c>
      <c r="S475">
        <f t="array" ref="S475">+$B$2*SIN(R475*$B$3+$B$4)+0*R475+ SUM($J$2:$J$20*SIN(2*PI()*N475*$I$2:$I$20+$K$2:$K$20))</f>
        <v>0.48973056209775251</v>
      </c>
      <c r="U475" s="3">
        <f t="shared" si="56"/>
        <v>1919.4166666666308</v>
      </c>
      <c r="V475" s="3">
        <f t="shared" si="57"/>
        <v>2.4677999999999999E-2</v>
      </c>
      <c r="Z475" s="1">
        <v>1919.4583</v>
      </c>
      <c r="AA475" s="2">
        <f t="shared" si="61"/>
        <v>-0.59145000000000003</v>
      </c>
      <c r="AB475">
        <v>-29.572500000000002</v>
      </c>
      <c r="AE475">
        <v>1919.4166666666308</v>
      </c>
      <c r="AF475">
        <v>0.48973056209775251</v>
      </c>
    </row>
    <row r="476" spans="4:32" x14ac:dyDescent="0.35">
      <c r="D476">
        <v>-0.66340199999999994</v>
      </c>
      <c r="M476">
        <f t="shared" si="62"/>
        <v>475</v>
      </c>
      <c r="N476">
        <f t="shared" si="63"/>
        <v>1919.4999999999641</v>
      </c>
      <c r="O476">
        <f t="shared" si="58"/>
        <v>0</v>
      </c>
      <c r="P476">
        <f t="array" ref="P476">+SUM($G$2:$G$18*SIN(2*PI()*(N476)*$B$1/$F$2:$F$18+$H$2:$H$18))</f>
        <v>-3.9363802544253867E-2</v>
      </c>
      <c r="Q476">
        <f t="shared" si="59"/>
        <v>0</v>
      </c>
      <c r="R476">
        <f t="shared" si="60"/>
        <v>-1.9785656592832917E-2</v>
      </c>
      <c r="S476">
        <f t="array" ref="S476">+$B$2*SIN(R476*$B$3+$B$4)+0*R476+ SUM($J$2:$J$20*SIN(2*PI()*N476*$I$2:$I$20+$K$2:$K$20))</f>
        <v>0.49300180117776338</v>
      </c>
      <c r="U476" s="3">
        <f t="shared" si="56"/>
        <v>1919.4999999999641</v>
      </c>
      <c r="V476" s="3">
        <f t="shared" si="57"/>
        <v>4.8987999999999997E-2</v>
      </c>
      <c r="Z476" s="1">
        <v>1919.5417</v>
      </c>
      <c r="AA476" s="2">
        <f t="shared" si="61"/>
        <v>-0.59026999999999996</v>
      </c>
      <c r="AB476">
        <v>-29.513500000000001</v>
      </c>
      <c r="AE476">
        <v>1919.4999999999641</v>
      </c>
      <c r="AF476">
        <v>0.49300180117776338</v>
      </c>
    </row>
    <row r="477" spans="4:32" x14ac:dyDescent="0.35">
      <c r="D477">
        <v>-0.59145000000000003</v>
      </c>
      <c r="M477">
        <f t="shared" si="62"/>
        <v>476</v>
      </c>
      <c r="N477">
        <f t="shared" si="63"/>
        <v>1919.5833333332973</v>
      </c>
      <c r="O477">
        <f t="shared" si="58"/>
        <v>0</v>
      </c>
      <c r="P477">
        <f t="array" ref="P477">+SUM($G$2:$G$18*SIN(2*PI()*(N477)*$B$1/$F$2:$F$18+$H$2:$H$18))</f>
        <v>0.14631346333055345</v>
      </c>
      <c r="Q477">
        <f t="shared" si="59"/>
        <v>0</v>
      </c>
      <c r="R477">
        <f t="shared" si="60"/>
        <v>-1.975522346459567E-2</v>
      </c>
      <c r="S477">
        <f t="array" ref="S477">+$B$2*SIN(R477*$B$3+$B$4)+0*R477+ SUM($J$2:$J$20*SIN(2*PI()*N477*$I$2:$I$20+$K$2:$K$20))</f>
        <v>0.49625182157003439</v>
      </c>
      <c r="U477" s="3">
        <f t="shared" si="56"/>
        <v>1919.5833333332973</v>
      </c>
      <c r="V477" s="3">
        <f t="shared" si="57"/>
        <v>0.11021800000000001</v>
      </c>
      <c r="Z477" s="1">
        <v>1919.625</v>
      </c>
      <c r="AA477" s="2">
        <f t="shared" si="61"/>
        <v>-0.50447399999999998</v>
      </c>
      <c r="AB477">
        <v>-25.223700000000001</v>
      </c>
      <c r="AE477">
        <v>1919.5833333332973</v>
      </c>
      <c r="AF477">
        <v>0.49625182157003439</v>
      </c>
    </row>
    <row r="478" spans="4:32" x14ac:dyDescent="0.35">
      <c r="D478">
        <v>-0.59026999999999996</v>
      </c>
      <c r="M478">
        <f t="shared" si="62"/>
        <v>477</v>
      </c>
      <c r="N478">
        <f t="shared" si="63"/>
        <v>1919.6666666666306</v>
      </c>
      <c r="O478">
        <f t="shared" si="58"/>
        <v>0</v>
      </c>
      <c r="P478">
        <f t="array" ref="P478">+SUM($G$2:$G$18*SIN(2*PI()*(N478)*$B$1/$F$2:$F$18+$H$2:$H$18))</f>
        <v>-0.36951340127054511</v>
      </c>
      <c r="Q478">
        <f t="shared" si="59"/>
        <v>0</v>
      </c>
      <c r="R478">
        <f t="shared" si="60"/>
        <v>-1.97248371467986E-2</v>
      </c>
      <c r="S478">
        <f t="array" ref="S478">+$B$2*SIN(R478*$B$3+$B$4)+0*R478+ SUM($J$2:$J$20*SIN(2*PI()*N478*$I$2:$I$20+$K$2:$K$20))</f>
        <v>0.49948059928661331</v>
      </c>
      <c r="U478" s="3">
        <f t="shared" si="56"/>
        <v>1919.6666666666306</v>
      </c>
      <c r="V478" s="3">
        <f t="shared" si="57"/>
        <v>0.12529199999999999</v>
      </c>
      <c r="Z478" s="1">
        <v>1919.7083</v>
      </c>
      <c r="AA478" s="2">
        <f t="shared" si="61"/>
        <v>-0.36175400000000002</v>
      </c>
      <c r="AB478">
        <v>-18.087700000000002</v>
      </c>
      <c r="AE478">
        <v>1919.6666666666306</v>
      </c>
      <c r="AF478">
        <v>0.49948059928661331</v>
      </c>
    </row>
    <row r="479" spans="4:32" x14ac:dyDescent="0.35">
      <c r="D479">
        <v>-0.50447399999999998</v>
      </c>
      <c r="M479">
        <f t="shared" si="62"/>
        <v>478</v>
      </c>
      <c r="N479">
        <f t="shared" si="63"/>
        <v>1919.7499999999638</v>
      </c>
      <c r="O479">
        <f t="shared" si="58"/>
        <v>0</v>
      </c>
      <c r="P479">
        <f t="array" ref="P479">+SUM($G$2:$G$18*SIN(2*PI()*(N479)*$B$1/$F$2:$F$18+$H$2:$H$18))</f>
        <v>-0.80378827414465415</v>
      </c>
      <c r="Q479">
        <f t="shared" si="59"/>
        <v>0</v>
      </c>
      <c r="R479">
        <f t="shared" si="60"/>
        <v>-1.9694497567440652E-2</v>
      </c>
      <c r="S479">
        <f t="array" ref="S479">+$B$2*SIN(R479*$B$3+$B$4)+0*R479+ SUM($J$2:$J$20*SIN(2*PI()*N479*$I$2:$I$20+$K$2:$K$20))</f>
        <v>0.50268811157071147</v>
      </c>
      <c r="U479" s="3">
        <f t="shared" si="56"/>
        <v>1919.7499999999638</v>
      </c>
      <c r="V479" s="3">
        <f t="shared" si="57"/>
        <v>0.329598</v>
      </c>
      <c r="Z479" s="1">
        <v>1919.7917</v>
      </c>
      <c r="AA479" s="2">
        <f t="shared" si="61"/>
        <v>-0.21596399999999999</v>
      </c>
      <c r="AB479">
        <v>-10.7982</v>
      </c>
      <c r="AE479">
        <v>1919.7499999999638</v>
      </c>
      <c r="AF479">
        <v>0.50268811157071147</v>
      </c>
    </row>
    <row r="480" spans="4:32" x14ac:dyDescent="0.35">
      <c r="D480">
        <v>-0.36175400000000002</v>
      </c>
      <c r="M480">
        <f t="shared" si="62"/>
        <v>479</v>
      </c>
      <c r="N480">
        <f t="shared" si="63"/>
        <v>1919.8333333332971</v>
      </c>
      <c r="O480">
        <f t="shared" si="58"/>
        <v>0</v>
      </c>
      <c r="P480">
        <f t="array" ref="P480">+SUM($G$2:$G$18*SIN(2*PI()*(N480)*$B$1/$F$2:$F$18+$H$2:$H$18))</f>
        <v>-0.41720923555585537</v>
      </c>
      <c r="Q480">
        <f t="shared" si="59"/>
        <v>0</v>
      </c>
      <c r="R480">
        <f t="shared" si="60"/>
        <v>-1.9664204654631524E-2</v>
      </c>
      <c r="S480">
        <f t="array" ref="S480">+$B$2*SIN(R480*$B$3+$B$4)+0*R480+ SUM($J$2:$J$20*SIN(2*PI()*N480*$I$2:$I$20+$K$2:$K$20))</f>
        <v>0.50587433688661454</v>
      </c>
      <c r="U480" s="3">
        <f t="shared" si="56"/>
        <v>1919.8333333332971</v>
      </c>
      <c r="V480" s="3">
        <f t="shared" si="57"/>
        <v>0.25236199999999998</v>
      </c>
      <c r="Z480" s="1">
        <v>1919.875</v>
      </c>
      <c r="AA480" s="2">
        <f t="shared" si="61"/>
        <v>-5.4786000000000001E-2</v>
      </c>
      <c r="AB480">
        <v>-2.7393000000000001</v>
      </c>
      <c r="AE480">
        <v>1919.8333333332971</v>
      </c>
      <c r="AF480">
        <v>0.50587433688661454</v>
      </c>
    </row>
    <row r="481" spans="4:32" x14ac:dyDescent="0.35">
      <c r="D481">
        <v>-0.21596399999999999</v>
      </c>
      <c r="M481">
        <f t="shared" si="62"/>
        <v>480</v>
      </c>
      <c r="N481">
        <f t="shared" si="63"/>
        <v>1919.9166666666304</v>
      </c>
      <c r="O481">
        <f t="shared" si="58"/>
        <v>0</v>
      </c>
      <c r="P481">
        <f t="array" ref="P481">+SUM($G$2:$G$18*SIN(2*PI()*(N481)*$B$1/$F$2:$F$18+$H$2:$H$18))</f>
        <v>0.13289420670982827</v>
      </c>
      <c r="Q481">
        <f t="shared" si="59"/>
        <v>0</v>
      </c>
      <c r="R481">
        <f t="shared" si="60"/>
        <v>-1.9633958336591484E-2</v>
      </c>
      <c r="S481">
        <f t="array" ref="S481">+$B$2*SIN(R481*$B$3+$B$4)+0*R481+ SUM($J$2:$J$20*SIN(2*PI()*N481*$I$2:$I$20+$K$2:$K$20))</f>
        <v>0.50903925490960789</v>
      </c>
      <c r="U481" s="3">
        <f t="shared" si="56"/>
        <v>1919.9166666666304</v>
      </c>
      <c r="V481" s="3">
        <f t="shared" si="57"/>
        <v>7.5125999999999998E-2</v>
      </c>
      <c r="Z481" s="1">
        <v>1919.9583</v>
      </c>
      <c r="AA481" s="2">
        <f t="shared" si="61"/>
        <v>0.19408400000000001</v>
      </c>
      <c r="AB481">
        <v>9.7042000000000002</v>
      </c>
      <c r="AE481">
        <v>1919.9166666666304</v>
      </c>
      <c r="AF481">
        <v>0.50903925490960789</v>
      </c>
    </row>
    <row r="482" spans="4:32" x14ac:dyDescent="0.35">
      <c r="D482">
        <v>-5.4786000000000001E-2</v>
      </c>
      <c r="M482">
        <f t="shared" si="62"/>
        <v>481</v>
      </c>
      <c r="N482">
        <f t="shared" si="63"/>
        <v>1919.9999999999636</v>
      </c>
      <c r="O482">
        <f t="shared" si="58"/>
        <v>36.637715116165623</v>
      </c>
      <c r="P482">
        <f t="array" ref="P482">+SUM($G$2:$G$18*SIN(2*PI()*(N482)*$B$1/$F$2:$F$18+$H$2:$H$18))</f>
        <v>0.21316667943534867</v>
      </c>
      <c r="Q482">
        <f t="shared" si="59"/>
        <v>7.8099400734113056</v>
      </c>
      <c r="R482">
        <f t="shared" si="60"/>
        <v>-7.5909700519611288E-3</v>
      </c>
      <c r="S482">
        <f t="array" ref="S482">+$B$2*SIN(R482*$B$3+$B$4)+0*R482+ SUM($J$2:$J$20*SIN(2*PI()*N482*$I$2:$I$20+$K$2:$K$20))</f>
        <v>9.9288799836987157E-2</v>
      </c>
      <c r="U482" s="3">
        <f t="shared" si="56"/>
        <v>1919.9999999999636</v>
      </c>
      <c r="V482" s="3">
        <f t="shared" si="57"/>
        <v>-6.7259999999999993E-3</v>
      </c>
      <c r="Z482" s="1">
        <v>1920.0417</v>
      </c>
      <c r="AA482" s="2">
        <f t="shared" si="61"/>
        <v>0.158334</v>
      </c>
      <c r="AB482">
        <v>7.9166999999999996</v>
      </c>
      <c r="AE482">
        <v>1919.9999999999636</v>
      </c>
      <c r="AF482">
        <v>9.9288799836987157E-2</v>
      </c>
    </row>
    <row r="483" spans="4:32" x14ac:dyDescent="0.35">
      <c r="D483">
        <v>0.19408400000000001</v>
      </c>
      <c r="M483">
        <f t="shared" si="62"/>
        <v>482</v>
      </c>
      <c r="N483">
        <f t="shared" si="63"/>
        <v>1920.0833333332969</v>
      </c>
      <c r="O483">
        <f t="shared" si="58"/>
        <v>0</v>
      </c>
      <c r="P483">
        <f t="array" ref="P483">+SUM($G$2:$G$18*SIN(2*PI()*(N483)*$B$1/$F$2:$F$18+$H$2:$H$18))</f>
        <v>-3.2448874484818757E-2</v>
      </c>
      <c r="Q483">
        <f t="shared" si="59"/>
        <v>0</v>
      </c>
      <c r="R483">
        <f t="shared" si="60"/>
        <v>-7.5792940702239285E-3</v>
      </c>
      <c r="S483">
        <f t="array" ref="S483">+$B$2*SIN(R483*$B$3+$B$4)+0*R483+ SUM($J$2:$J$20*SIN(2*PI()*N483*$I$2:$I$20+$K$2:$K$20))</f>
        <v>9.7648841148707297E-2</v>
      </c>
      <c r="U483" s="3">
        <f t="shared" si="56"/>
        <v>1920.0833333332969</v>
      </c>
      <c r="V483" s="3">
        <f t="shared" si="57"/>
        <v>8.9882000000000004E-2</v>
      </c>
      <c r="Z483" s="1">
        <v>1920.125</v>
      </c>
      <c r="AA483" s="2">
        <f t="shared" si="61"/>
        <v>0.26258400000000004</v>
      </c>
      <c r="AB483">
        <v>13.129200000000001</v>
      </c>
      <c r="AE483">
        <v>1920.0833333332969</v>
      </c>
      <c r="AF483">
        <v>9.7648841148707297E-2</v>
      </c>
    </row>
    <row r="484" spans="4:32" x14ac:dyDescent="0.35">
      <c r="D484">
        <v>0.158334</v>
      </c>
      <c r="M484">
        <f t="shared" si="62"/>
        <v>483</v>
      </c>
      <c r="N484">
        <f t="shared" si="63"/>
        <v>1920.1666666666301</v>
      </c>
      <c r="O484">
        <f t="shared" si="58"/>
        <v>0</v>
      </c>
      <c r="P484">
        <f t="array" ref="P484">+SUM($G$2:$G$18*SIN(2*PI()*(N484)*$B$1/$F$2:$F$18+$H$2:$H$18))</f>
        <v>-0.1574436900685173</v>
      </c>
      <c r="Q484">
        <f t="shared" si="59"/>
        <v>0</v>
      </c>
      <c r="R484">
        <f t="shared" si="60"/>
        <v>-7.5676360477921392E-3</v>
      </c>
      <c r="S484">
        <f t="array" ref="S484">+$B$2*SIN(R484*$B$3+$B$4)+0*R484+ SUM($J$2:$J$20*SIN(2*PI()*N484*$I$2:$I$20+$K$2:$K$20))</f>
        <v>9.6010934459088398E-2</v>
      </c>
      <c r="U484" s="3">
        <f t="shared" si="56"/>
        <v>1920.1666666666301</v>
      </c>
      <c r="V484" s="3">
        <f t="shared" si="57"/>
        <v>0.13264200000000001</v>
      </c>
      <c r="Z484" s="1">
        <v>1920.2083</v>
      </c>
      <c r="AA484" s="2">
        <f t="shared" si="61"/>
        <v>7.145E-2</v>
      </c>
      <c r="AB484">
        <v>3.5724999999999998</v>
      </c>
      <c r="AE484">
        <v>1920.1666666666301</v>
      </c>
      <c r="AF484">
        <v>9.6010934459088398E-2</v>
      </c>
    </row>
    <row r="485" spans="4:32" x14ac:dyDescent="0.35">
      <c r="D485">
        <v>0.26258400000000004</v>
      </c>
      <c r="M485">
        <f t="shared" si="62"/>
        <v>484</v>
      </c>
      <c r="N485">
        <f t="shared" si="63"/>
        <v>1920.2499999999634</v>
      </c>
      <c r="O485">
        <f t="shared" si="58"/>
        <v>0</v>
      </c>
      <c r="P485">
        <f t="array" ref="P485">+SUM($G$2:$G$18*SIN(2*PI()*(N485)*$B$1/$F$2:$F$18+$H$2:$H$18))</f>
        <v>5.2526270838378519E-2</v>
      </c>
      <c r="Q485">
        <f t="shared" si="59"/>
        <v>0</v>
      </c>
      <c r="R485">
        <f t="shared" si="60"/>
        <v>-7.5559959570418176E-3</v>
      </c>
      <c r="S485">
        <f t="array" ref="S485">+$B$2*SIN(R485*$B$3+$B$4)+0*R485+ SUM($J$2:$J$20*SIN(2*PI()*N485*$I$2:$I$20+$K$2:$K$20))</f>
        <v>9.4375085925505781E-2</v>
      </c>
      <c r="U485" s="3">
        <f t="shared" si="56"/>
        <v>1920.2499999999634</v>
      </c>
      <c r="V485" s="3">
        <f t="shared" si="57"/>
        <v>-0.18767600000000001</v>
      </c>
      <c r="Z485" s="1">
        <v>1920.2917</v>
      </c>
      <c r="AA485" s="2">
        <f t="shared" si="61"/>
        <v>-0.19507200000000002</v>
      </c>
      <c r="AB485">
        <v>-9.7536000000000005</v>
      </c>
      <c r="AE485">
        <v>1920.2499999999634</v>
      </c>
      <c r="AF485">
        <v>9.4375085925505781E-2</v>
      </c>
    </row>
    <row r="486" spans="4:32" x14ac:dyDescent="0.35">
      <c r="D486">
        <v>7.145E-2</v>
      </c>
      <c r="M486">
        <f t="shared" si="62"/>
        <v>485</v>
      </c>
      <c r="N486">
        <f t="shared" si="63"/>
        <v>1920.3333333332967</v>
      </c>
      <c r="O486">
        <f t="shared" si="58"/>
        <v>0</v>
      </c>
      <c r="P486">
        <f t="array" ref="P486">+SUM($G$2:$G$18*SIN(2*PI()*(N486)*$B$1/$F$2:$F$18+$H$2:$H$18))</f>
        <v>6.9150239023480387E-2</v>
      </c>
      <c r="Q486">
        <f t="shared" si="59"/>
        <v>0</v>
      </c>
      <c r="R486">
        <f t="shared" si="60"/>
        <v>-7.5443737703915111E-3</v>
      </c>
      <c r="S486">
        <f t="array" ref="S486">+$B$2*SIN(R486*$B$3+$B$4)+0*R486+ SUM($J$2:$J$20*SIN(2*PI()*N486*$I$2:$I$20+$K$2:$K$20))</f>
        <v>9.2741301633194009E-2</v>
      </c>
      <c r="U486" s="3">
        <f t="shared" si="56"/>
        <v>1920.3333333332967</v>
      </c>
      <c r="V486" s="3">
        <f t="shared" si="57"/>
        <v>-0.46183999999999997</v>
      </c>
      <c r="Z486" s="1">
        <v>1920.375</v>
      </c>
      <c r="AA486" s="2">
        <f t="shared" si="61"/>
        <v>-0.82467200000000007</v>
      </c>
      <c r="AB486">
        <v>-41.233600000000003</v>
      </c>
      <c r="AE486">
        <v>1920.3333333332967</v>
      </c>
      <c r="AF486">
        <v>9.2741301633194009E-2</v>
      </c>
    </row>
    <row r="487" spans="4:32" x14ac:dyDescent="0.35">
      <c r="D487">
        <v>-0.19507200000000002</v>
      </c>
      <c r="M487">
        <f t="shared" si="62"/>
        <v>486</v>
      </c>
      <c r="N487">
        <f t="shared" si="63"/>
        <v>1920.4166666666299</v>
      </c>
      <c r="O487">
        <f t="shared" si="58"/>
        <v>0</v>
      </c>
      <c r="P487">
        <f t="array" ref="P487">+SUM($G$2:$G$18*SIN(2*PI()*(N487)*$B$1/$F$2:$F$18+$H$2:$H$18))</f>
        <v>-0.34543147777894967</v>
      </c>
      <c r="Q487">
        <f t="shared" si="59"/>
        <v>0</v>
      </c>
      <c r="R487">
        <f t="shared" si="60"/>
        <v>-7.5327694603021904E-3</v>
      </c>
      <c r="S487">
        <f t="array" ref="S487">+$B$2*SIN(R487*$B$3+$B$4)+0*R487+ SUM($J$2:$J$20*SIN(2*PI()*N487*$I$2:$I$20+$K$2:$K$20))</f>
        <v>9.1109587595659222E-2</v>
      </c>
      <c r="U487" s="3">
        <f t="shared" si="56"/>
        <v>1920.4166666666299</v>
      </c>
      <c r="V487" s="3">
        <f t="shared" si="57"/>
        <v>-0.41908400000000001</v>
      </c>
      <c r="Z487" s="1">
        <v>1920.4583</v>
      </c>
      <c r="AA487" s="2">
        <f t="shared" si="61"/>
        <v>-0.96042400000000006</v>
      </c>
      <c r="AB487">
        <v>-48.0212</v>
      </c>
      <c r="AE487">
        <v>1920.4166666666299</v>
      </c>
      <c r="AF487">
        <v>9.1109587595659222E-2</v>
      </c>
    </row>
    <row r="488" spans="4:32" x14ac:dyDescent="0.35">
      <c r="D488">
        <v>-0.82467200000000007</v>
      </c>
      <c r="M488">
        <f t="shared" si="62"/>
        <v>487</v>
      </c>
      <c r="N488">
        <f t="shared" si="63"/>
        <v>1920.4999999999632</v>
      </c>
      <c r="O488">
        <f t="shared" si="58"/>
        <v>0</v>
      </c>
      <c r="P488">
        <f t="array" ref="P488">+SUM($G$2:$G$18*SIN(2*PI()*(N488)*$B$1/$F$2:$F$18+$H$2:$H$18))</f>
        <v>-0.42807280412449711</v>
      </c>
      <c r="Q488">
        <f t="shared" si="59"/>
        <v>0</v>
      </c>
      <c r="R488">
        <f t="shared" si="60"/>
        <v>-7.5211829992771857E-3</v>
      </c>
      <c r="S488">
        <f t="array" ref="S488">+$B$2*SIN(R488*$B$3+$B$4)+0*R488+ SUM($J$2:$J$20*SIN(2*PI()*N488*$I$2:$I$20+$K$2:$K$20))</f>
        <v>8.9479949755084137E-2</v>
      </c>
      <c r="U488" s="3">
        <f t="shared" si="56"/>
        <v>1920.4999999999632</v>
      </c>
      <c r="V488" s="3">
        <f t="shared" si="57"/>
        <v>-0.40555799999999997</v>
      </c>
      <c r="Z488" s="1">
        <v>1920.5417</v>
      </c>
      <c r="AA488" s="2">
        <f t="shared" si="61"/>
        <v>-0.980796</v>
      </c>
      <c r="AB488">
        <v>-49.0398</v>
      </c>
      <c r="AE488">
        <v>1920.4999999999632</v>
      </c>
      <c r="AF488">
        <v>8.9479949755084137E-2</v>
      </c>
    </row>
    <row r="489" spans="4:32" x14ac:dyDescent="0.35">
      <c r="D489">
        <v>-0.96042400000000006</v>
      </c>
      <c r="M489">
        <f t="shared" si="62"/>
        <v>488</v>
      </c>
      <c r="N489">
        <f t="shared" si="63"/>
        <v>1920.5833333332964</v>
      </c>
      <c r="O489">
        <f t="shared" si="58"/>
        <v>0</v>
      </c>
      <c r="P489">
        <f t="array" ref="P489">+SUM($G$2:$G$18*SIN(2*PI()*(N489)*$B$1/$F$2:$F$18+$H$2:$H$18))</f>
        <v>-1.552263276999255E-2</v>
      </c>
      <c r="Q489">
        <f t="shared" si="59"/>
        <v>0</v>
      </c>
      <c r="R489">
        <f t="shared" si="60"/>
        <v>-7.5096143598621197E-3</v>
      </c>
      <c r="S489">
        <f t="array" ref="S489">+$B$2*SIN(R489*$B$3+$B$4)+0*R489+ SUM($J$2:$J$20*SIN(2*PI()*N489*$I$2:$I$20+$K$2:$K$20))</f>
        <v>8.7852393982737129E-2</v>
      </c>
      <c r="U489" s="3">
        <f t="shared" si="56"/>
        <v>1920.5833333332964</v>
      </c>
      <c r="V489" s="3">
        <f t="shared" si="57"/>
        <v>-0.45972600000000002</v>
      </c>
      <c r="Z489" s="1">
        <v>1920.625</v>
      </c>
      <c r="AA489" s="2">
        <f t="shared" si="61"/>
        <v>-0.82732200000000011</v>
      </c>
      <c r="AB489">
        <v>-41.366100000000003</v>
      </c>
      <c r="AE489">
        <v>1920.5833333332964</v>
      </c>
      <c r="AF489">
        <v>8.7852393982737129E-2</v>
      </c>
    </row>
    <row r="490" spans="4:32" x14ac:dyDescent="0.35">
      <c r="D490">
        <v>-0.980796</v>
      </c>
      <c r="M490">
        <f t="shared" si="62"/>
        <v>489</v>
      </c>
      <c r="N490">
        <f t="shared" si="63"/>
        <v>1920.6666666666297</v>
      </c>
      <c r="O490">
        <f t="shared" si="58"/>
        <v>0</v>
      </c>
      <c r="P490">
        <f t="array" ref="P490">+SUM($G$2:$G$18*SIN(2*PI()*(N490)*$B$1/$F$2:$F$18+$H$2:$H$18))</f>
        <v>0.21576918343494006</v>
      </c>
      <c r="Q490">
        <f t="shared" si="59"/>
        <v>0</v>
      </c>
      <c r="R490">
        <f t="shared" si="60"/>
        <v>-7.4980635146448451E-3</v>
      </c>
      <c r="S490">
        <f t="array" ref="S490">+$B$2*SIN(R490*$B$3+$B$4)+0*R490+ SUM($J$2:$J$20*SIN(2*PI()*N490*$I$2:$I$20+$K$2:$K$20))</f>
        <v>8.6226926079374863E-2</v>
      </c>
      <c r="U490" s="3">
        <f t="shared" si="56"/>
        <v>1920.6666666666297</v>
      </c>
      <c r="V490" s="3">
        <f t="shared" si="57"/>
        <v>-0.401588</v>
      </c>
      <c r="Z490" s="1">
        <v>1920.7083</v>
      </c>
      <c r="AA490" s="2">
        <f t="shared" si="61"/>
        <v>-0.90307800000000005</v>
      </c>
      <c r="AB490">
        <v>-45.1539</v>
      </c>
      <c r="AE490">
        <v>1920.6666666666297</v>
      </c>
      <c r="AF490">
        <v>8.6226926079374863E-2</v>
      </c>
    </row>
    <row r="491" spans="4:32" x14ac:dyDescent="0.35">
      <c r="D491">
        <v>-0.82732200000000011</v>
      </c>
      <c r="M491">
        <f t="shared" si="62"/>
        <v>490</v>
      </c>
      <c r="N491">
        <f t="shared" si="63"/>
        <v>1920.7499999999629</v>
      </c>
      <c r="O491">
        <f t="shared" si="58"/>
        <v>0</v>
      </c>
      <c r="P491">
        <f t="array" ref="P491">+SUM($G$2:$G$18*SIN(2*PI()*(N491)*$B$1/$F$2:$F$18+$H$2:$H$18))</f>
        <v>0.13652151761633596</v>
      </c>
      <c r="Q491">
        <f t="shared" si="59"/>
        <v>0</v>
      </c>
      <c r="R491">
        <f t="shared" si="60"/>
        <v>-7.4865304362553781E-3</v>
      </c>
      <c r="S491">
        <f t="array" ref="S491">+$B$2*SIN(R491*$B$3+$B$4)+0*R491+ SUM($J$2:$J$20*SIN(2*PI()*N491*$I$2:$I$20+$K$2:$K$20))</f>
        <v>8.4603551775649211E-2</v>
      </c>
      <c r="U491" s="3">
        <f t="shared" si="56"/>
        <v>1920.7499999999629</v>
      </c>
      <c r="V491" s="3">
        <f t="shared" si="57"/>
        <v>-0.58960400000000002</v>
      </c>
      <c r="Z491" s="1">
        <v>1920.7917</v>
      </c>
      <c r="AA491" s="2">
        <f t="shared" si="61"/>
        <v>-0.84653</v>
      </c>
      <c r="AB491">
        <v>-42.326500000000003</v>
      </c>
      <c r="AE491">
        <v>1920.7499999999629</v>
      </c>
      <c r="AF491">
        <v>8.4603551775649211E-2</v>
      </c>
    </row>
    <row r="492" spans="4:32" x14ac:dyDescent="0.35">
      <c r="D492">
        <v>-0.90307800000000005</v>
      </c>
      <c r="M492">
        <f t="shared" si="62"/>
        <v>491</v>
      </c>
      <c r="N492">
        <f t="shared" si="63"/>
        <v>1920.8333333332962</v>
      </c>
      <c r="O492">
        <f t="shared" si="58"/>
        <v>0</v>
      </c>
      <c r="P492">
        <f t="array" ref="P492">+SUM($G$2:$G$18*SIN(2*PI()*(N492)*$B$1/$F$2:$F$18+$H$2:$H$18))</f>
        <v>2.7399798468668107E-2</v>
      </c>
      <c r="Q492">
        <f t="shared" si="59"/>
        <v>0</v>
      </c>
      <c r="R492">
        <f t="shared" si="60"/>
        <v>-7.4750150973658339E-3</v>
      </c>
      <c r="S492">
        <f t="array" ref="S492">+$B$2*SIN(R492*$B$3+$B$4)+0*R492+ SUM($J$2:$J$20*SIN(2*PI()*N492*$I$2:$I$20+$K$2:$K$20))</f>
        <v>8.2982276732506577E-2</v>
      </c>
      <c r="U492" s="3">
        <f t="shared" si="56"/>
        <v>1920.8333333332962</v>
      </c>
      <c r="V492" s="3">
        <f t="shared" si="57"/>
        <v>-0.81454400000000005</v>
      </c>
      <c r="Z492" s="1">
        <v>1920.875</v>
      </c>
      <c r="AA492" s="2">
        <f t="shared" si="61"/>
        <v>-0.8853660000000001</v>
      </c>
      <c r="AB492">
        <v>-44.268300000000004</v>
      </c>
      <c r="AE492">
        <v>1920.8333333332962</v>
      </c>
      <c r="AF492">
        <v>8.2982276732506577E-2</v>
      </c>
    </row>
    <row r="493" spans="4:32" x14ac:dyDescent="0.35">
      <c r="D493">
        <v>-0.84653</v>
      </c>
      <c r="M493">
        <f t="shared" si="62"/>
        <v>492</v>
      </c>
      <c r="N493">
        <f t="shared" si="63"/>
        <v>1920.9166666666295</v>
      </c>
      <c r="O493">
        <f t="shared" si="58"/>
        <v>0</v>
      </c>
      <c r="P493">
        <f t="array" ref="P493">+SUM($G$2:$G$18*SIN(2*PI()*(N493)*$B$1/$F$2:$F$18+$H$2:$H$18))</f>
        <v>5.9356960110505508E-2</v>
      </c>
      <c r="Q493">
        <f t="shared" si="59"/>
        <v>0</v>
      </c>
      <c r="R493">
        <f t="shared" si="60"/>
        <v>-7.4635174706903619E-3</v>
      </c>
      <c r="S493">
        <f t="array" ref="S493">+$B$2*SIN(R493*$B$3+$B$4)+0*R493+ SUM($J$2:$J$20*SIN(2*PI()*N493*$I$2:$I$20+$K$2:$K$20))</f>
        <v>8.1363106541589583E-2</v>
      </c>
      <c r="U493" s="3">
        <f t="shared" si="56"/>
        <v>1920.9166666666295</v>
      </c>
      <c r="V493" s="3">
        <f t="shared" si="57"/>
        <v>-0.933334</v>
      </c>
      <c r="Z493" s="1">
        <v>1920.9583</v>
      </c>
      <c r="AA493" s="2">
        <f t="shared" si="61"/>
        <v>-0.8272799999999999</v>
      </c>
      <c r="AB493">
        <v>-41.363999999999997</v>
      </c>
      <c r="AE493">
        <v>1920.9166666666295</v>
      </c>
      <c r="AF493">
        <v>8.1363106541589583E-2</v>
      </c>
    </row>
    <row r="494" spans="4:32" x14ac:dyDescent="0.35">
      <c r="D494">
        <v>-0.8853660000000001</v>
      </c>
      <c r="M494">
        <f t="shared" si="62"/>
        <v>493</v>
      </c>
      <c r="N494">
        <f t="shared" si="63"/>
        <v>1920.9999999999627</v>
      </c>
      <c r="O494">
        <f t="shared" si="58"/>
        <v>36.637715116165623</v>
      </c>
      <c r="P494">
        <f t="array" ref="P494">+SUM($G$2:$G$18*SIN(2*PI()*(N494)*$B$1/$F$2:$F$18+$H$2:$H$18))</f>
        <v>0.1495534449965254</v>
      </c>
      <c r="Q494">
        <f t="shared" si="59"/>
        <v>5.4792965124238426</v>
      </c>
      <c r="R494">
        <f t="shared" si="60"/>
        <v>9.758927057335956E-4</v>
      </c>
      <c r="S494">
        <f t="array" ref="S494">+$B$2*SIN(R494*$B$3+$B$4)+0*R494+ SUM($J$2:$J$20*SIN(2*PI()*N494*$I$2:$I$20+$K$2:$K$20))</f>
        <v>-0.74963802116553802</v>
      </c>
      <c r="U494" s="3">
        <f t="shared" si="56"/>
        <v>1920.9999999999627</v>
      </c>
      <c r="V494" s="3">
        <f t="shared" si="57"/>
        <v>-0.91981399999999991</v>
      </c>
      <c r="Z494" s="1">
        <v>1921.0417</v>
      </c>
      <c r="AA494" s="2">
        <f t="shared" si="61"/>
        <v>-0.73227399999999998</v>
      </c>
      <c r="AB494">
        <v>-36.613700000000001</v>
      </c>
      <c r="AE494">
        <v>1920.9999999999627</v>
      </c>
      <c r="AF494">
        <v>-0.74963802116553802</v>
      </c>
    </row>
    <row r="495" spans="4:32" x14ac:dyDescent="0.35">
      <c r="D495">
        <v>-0.8272799999999999</v>
      </c>
      <c r="M495">
        <f t="shared" si="62"/>
        <v>494</v>
      </c>
      <c r="N495">
        <f t="shared" si="63"/>
        <v>1921.083333333296</v>
      </c>
      <c r="O495">
        <f t="shared" si="58"/>
        <v>0</v>
      </c>
      <c r="P495">
        <f t="array" ref="P495">+SUM($G$2:$G$18*SIN(2*PI()*(N495)*$B$1/$F$2:$F$18+$H$2:$H$18))</f>
        <v>-6.4922932218918247E-2</v>
      </c>
      <c r="Q495">
        <f t="shared" si="59"/>
        <v>0</v>
      </c>
      <c r="R495">
        <f t="shared" si="60"/>
        <v>9.7439164521937729E-4</v>
      </c>
      <c r="S495">
        <f t="array" ref="S495">+$B$2*SIN(R495*$B$3+$B$4)+0*R495+ SUM($J$2:$J$20*SIN(2*PI()*N495*$I$2:$I$20+$K$2:$K$20))</f>
        <v>-0.74961872939239782</v>
      </c>
      <c r="U495" s="3">
        <f t="shared" si="56"/>
        <v>1921.083333333296</v>
      </c>
      <c r="V495" s="3">
        <f t="shared" si="57"/>
        <v>-0.49706600000000001</v>
      </c>
      <c r="Z495" s="1">
        <v>1921.125</v>
      </c>
      <c r="AA495" s="2">
        <f t="shared" si="61"/>
        <v>-0.654192</v>
      </c>
      <c r="AB495">
        <v>-32.709600000000002</v>
      </c>
      <c r="AE495">
        <v>1921.083333333296</v>
      </c>
      <c r="AF495">
        <v>-0.74961872939239782</v>
      </c>
    </row>
    <row r="496" spans="4:32" x14ac:dyDescent="0.35">
      <c r="D496">
        <v>-0.73227399999999998</v>
      </c>
      <c r="M496">
        <f t="shared" si="62"/>
        <v>495</v>
      </c>
      <c r="N496">
        <f t="shared" si="63"/>
        <v>1921.1666666666292</v>
      </c>
      <c r="O496">
        <f t="shared" si="58"/>
        <v>0</v>
      </c>
      <c r="P496">
        <f t="array" ref="P496">+SUM($G$2:$G$18*SIN(2*PI()*(N496)*$B$1/$F$2:$F$18+$H$2:$H$18))</f>
        <v>-0.34224721648235007</v>
      </c>
      <c r="Q496">
        <f t="shared" si="59"/>
        <v>0</v>
      </c>
      <c r="R496">
        <f t="shared" si="60"/>
        <v>9.7289289354777467E-4</v>
      </c>
      <c r="S496">
        <f t="array" ref="S496">+$B$2*SIN(R496*$B$3+$B$4)+0*R496+ SUM($J$2:$J$20*SIN(2*PI()*N496*$I$2:$I$20+$K$2:$K$20))</f>
        <v>-0.74959940759898724</v>
      </c>
      <c r="U496" s="3">
        <f t="shared" si="56"/>
        <v>1921.1666666666292</v>
      </c>
      <c r="V496" s="3">
        <f t="shared" si="57"/>
        <v>-0.41585800000000001</v>
      </c>
      <c r="Z496" s="1">
        <v>1921.2083</v>
      </c>
      <c r="AA496" s="2">
        <f t="shared" si="61"/>
        <v>-0.74534000000000011</v>
      </c>
      <c r="AB496">
        <v>-37.267000000000003</v>
      </c>
      <c r="AE496">
        <v>1921.1666666666292</v>
      </c>
      <c r="AF496">
        <v>-0.74959940759898724</v>
      </c>
    </row>
    <row r="497" spans="4:32" x14ac:dyDescent="0.35">
      <c r="D497">
        <v>-0.654192</v>
      </c>
      <c r="M497">
        <f t="shared" si="62"/>
        <v>496</v>
      </c>
      <c r="N497">
        <f t="shared" si="63"/>
        <v>1921.2499999999625</v>
      </c>
      <c r="O497">
        <f t="shared" si="58"/>
        <v>0</v>
      </c>
      <c r="P497">
        <f t="array" ref="P497">+SUM($G$2:$G$18*SIN(2*PI()*(N497)*$B$1/$F$2:$F$18+$H$2:$H$18))</f>
        <v>-0.1090371136703859</v>
      </c>
      <c r="Q497">
        <f t="shared" si="59"/>
        <v>0</v>
      </c>
      <c r="R497">
        <f t="shared" si="60"/>
        <v>9.7139644716746248E-4</v>
      </c>
      <c r="S497">
        <f t="array" ref="S497">+$B$2*SIN(R497*$B$3+$B$4)+0*R497+ SUM($J$2:$J$20*SIN(2*PI()*N497*$I$2:$I$20+$K$2:$K$20))</f>
        <v>-0.74958005601650934</v>
      </c>
      <c r="U497" s="3">
        <f t="shared" si="56"/>
        <v>1921.2499999999625</v>
      </c>
      <c r="V497" s="3">
        <f t="shared" si="57"/>
        <v>-0.55465000000000009</v>
      </c>
      <c r="Z497" s="1">
        <v>1921.2917</v>
      </c>
      <c r="AA497" s="2">
        <f t="shared" si="61"/>
        <v>-0.64264399999999999</v>
      </c>
      <c r="AB497">
        <v>-32.132199999999997</v>
      </c>
      <c r="AE497">
        <v>1921.2499999999625</v>
      </c>
      <c r="AF497">
        <v>-0.74958005601650934</v>
      </c>
    </row>
    <row r="498" spans="4:32" x14ac:dyDescent="0.35">
      <c r="D498">
        <v>-0.74534000000000011</v>
      </c>
      <c r="M498">
        <f t="shared" si="62"/>
        <v>497</v>
      </c>
      <c r="N498">
        <f t="shared" si="63"/>
        <v>1921.3333333332957</v>
      </c>
      <c r="O498">
        <f t="shared" si="58"/>
        <v>0</v>
      </c>
      <c r="P498">
        <f t="array" ref="P498">+SUM($G$2:$G$18*SIN(2*PI()*(N498)*$B$1/$F$2:$F$18+$H$2:$H$18))</f>
        <v>0.22693934627961915</v>
      </c>
      <c r="Q498">
        <f t="shared" si="59"/>
        <v>0</v>
      </c>
      <c r="R498">
        <f t="shared" si="60"/>
        <v>9.6990230253257768E-4</v>
      </c>
      <c r="S498">
        <f t="array" ref="S498">+$B$2*SIN(R498*$B$3+$B$4)+0*R498+ SUM($J$2:$J$20*SIN(2*PI()*N498*$I$2:$I$20+$K$2:$K$20))</f>
        <v>-0.74956067487524003</v>
      </c>
      <c r="U498" s="3">
        <f t="shared" si="56"/>
        <v>1921.3333333332957</v>
      </c>
      <c r="V498" s="3">
        <f t="shared" si="57"/>
        <v>-0.43036600000000003</v>
      </c>
      <c r="Z498" s="1">
        <v>1921.375</v>
      </c>
      <c r="AA498" s="2">
        <f t="shared" si="61"/>
        <v>-0.28148800000000002</v>
      </c>
      <c r="AB498">
        <v>-14.074400000000001</v>
      </c>
      <c r="AE498">
        <v>1921.3333333332957</v>
      </c>
      <c r="AF498">
        <v>-0.74956067487524003</v>
      </c>
    </row>
    <row r="499" spans="4:32" x14ac:dyDescent="0.35">
      <c r="D499">
        <v>-0.64264399999999999</v>
      </c>
      <c r="M499">
        <f t="shared" si="62"/>
        <v>498</v>
      </c>
      <c r="N499">
        <f t="shared" si="63"/>
        <v>1921.416666666629</v>
      </c>
      <c r="O499">
        <f t="shared" si="58"/>
        <v>0</v>
      </c>
      <c r="P499">
        <f t="array" ref="P499">+SUM($G$2:$G$18*SIN(2*PI()*(N499)*$B$1/$F$2:$F$18+$H$2:$H$18))</f>
        <v>0.14723884895343897</v>
      </c>
      <c r="Q499">
        <f t="shared" si="59"/>
        <v>0</v>
      </c>
      <c r="R499">
        <f t="shared" si="60"/>
        <v>9.6841045610271154E-4</v>
      </c>
      <c r="S499">
        <f t="array" ref="S499">+$B$2*SIN(R499*$B$3+$B$4)+0*R499+ SUM($J$2:$J$20*SIN(2*PI()*N499*$I$2:$I$20+$K$2:$K$20))</f>
        <v>-0.74954126440453195</v>
      </c>
      <c r="U499" s="3">
        <f t="shared" si="56"/>
        <v>1921.416666666629</v>
      </c>
      <c r="V499" s="3">
        <f t="shared" si="57"/>
        <v>-0.39070199999999999</v>
      </c>
      <c r="Z499" s="1">
        <v>1921.4583</v>
      </c>
      <c r="AA499" s="2">
        <f t="shared" si="61"/>
        <v>-8.0332000000000015E-2</v>
      </c>
      <c r="AB499">
        <v>-4.0166000000000004</v>
      </c>
      <c r="AE499">
        <v>1921.416666666629</v>
      </c>
      <c r="AF499">
        <v>-0.74954126440453195</v>
      </c>
    </row>
    <row r="500" spans="4:32" x14ac:dyDescent="0.35">
      <c r="D500">
        <v>-0.28148800000000002</v>
      </c>
      <c r="M500">
        <f t="shared" si="62"/>
        <v>499</v>
      </c>
      <c r="N500">
        <f t="shared" si="63"/>
        <v>1921.4999999999623</v>
      </c>
      <c r="O500">
        <f t="shared" si="58"/>
        <v>0</v>
      </c>
      <c r="P500">
        <f t="array" ref="P500">+SUM($G$2:$G$18*SIN(2*PI()*(N500)*$B$1/$F$2:$F$18+$H$2:$H$18))</f>
        <v>-5.7462126084735221E-3</v>
      </c>
      <c r="Q500">
        <f t="shared" si="59"/>
        <v>0</v>
      </c>
      <c r="R500">
        <f t="shared" si="60"/>
        <v>9.6692090434290082E-4</v>
      </c>
      <c r="S500">
        <f t="array" ref="S500">+$B$2*SIN(R500*$B$3+$B$4)+0*R500+ SUM($J$2:$J$20*SIN(2*PI()*N500*$I$2:$I$20+$K$2:$K$20))</f>
        <v>-0.74952182483281715</v>
      </c>
      <c r="U500" s="3">
        <f t="shared" si="56"/>
        <v>1921.4999999999623</v>
      </c>
      <c r="V500" s="3">
        <f t="shared" si="57"/>
        <v>-0.58795799999999998</v>
      </c>
      <c r="Z500" s="1">
        <v>1921.5417</v>
      </c>
      <c r="AA500" s="2">
        <f t="shared" si="61"/>
        <v>0.49928199999999995</v>
      </c>
      <c r="AB500">
        <v>24.964099999999998</v>
      </c>
      <c r="AE500">
        <v>1921.4999999999623</v>
      </c>
      <c r="AF500">
        <v>-0.74952182483281715</v>
      </c>
    </row>
    <row r="501" spans="4:32" x14ac:dyDescent="0.35">
      <c r="D501">
        <v>-8.0332000000000015E-2</v>
      </c>
      <c r="M501">
        <f t="shared" si="62"/>
        <v>500</v>
      </c>
      <c r="N501">
        <f t="shared" si="63"/>
        <v>1921.5833333332955</v>
      </c>
      <c r="O501">
        <f t="shared" si="58"/>
        <v>0</v>
      </c>
      <c r="P501">
        <f t="array" ref="P501">+SUM($G$2:$G$18*SIN(2*PI()*(N501)*$B$1/$F$2:$F$18+$H$2:$H$18))</f>
        <v>5.6476702038450399E-2</v>
      </c>
      <c r="Q501">
        <f t="shared" si="59"/>
        <v>0</v>
      </c>
      <c r="R501">
        <f t="shared" si="60"/>
        <v>9.6543364372361957E-4</v>
      </c>
      <c r="S501">
        <f t="array" ref="S501">+$B$2*SIN(R501*$B$3+$B$4)+0*R501+ SUM($J$2:$J$20*SIN(2*PI()*N501*$I$2:$I$20+$K$2:$K$20))</f>
        <v>-0.74950235638761042</v>
      </c>
      <c r="U501" s="3">
        <f t="shared" si="56"/>
        <v>1921.5833333332955</v>
      </c>
      <c r="V501" s="3">
        <f t="shared" si="57"/>
        <v>-0.45906199999999997</v>
      </c>
      <c r="Z501" s="1">
        <v>1921.625</v>
      </c>
      <c r="AA501" s="2">
        <f t="shared" si="61"/>
        <v>0.30043600000000004</v>
      </c>
      <c r="AB501">
        <v>15.021800000000001</v>
      </c>
      <c r="AE501">
        <v>1921.5833333332955</v>
      </c>
      <c r="AF501">
        <v>-0.74950235638761042</v>
      </c>
    </row>
    <row r="502" spans="4:32" x14ac:dyDescent="0.35">
      <c r="D502">
        <v>0.49928199999999995</v>
      </c>
      <c r="M502">
        <f t="shared" si="62"/>
        <v>501</v>
      </c>
      <c r="N502">
        <f t="shared" si="63"/>
        <v>1921.6666666666288</v>
      </c>
      <c r="O502">
        <f t="shared" si="58"/>
        <v>0</v>
      </c>
      <c r="P502">
        <f t="array" ref="P502">+SUM($G$2:$G$18*SIN(2*PI()*(N502)*$B$1/$F$2:$F$18+$H$2:$H$18))</f>
        <v>0.20435620583691555</v>
      </c>
      <c r="Q502">
        <f t="shared" si="59"/>
        <v>0</v>
      </c>
      <c r="R502">
        <f t="shared" si="60"/>
        <v>9.6394867072077087E-4</v>
      </c>
      <c r="S502">
        <f t="array" ref="S502">+$B$2*SIN(R502*$B$3+$B$4)+0*R502+ SUM($J$2:$J$20*SIN(2*PI()*N502*$I$2:$I$20+$K$2:$K$20))</f>
        <v>-0.74948285929551262</v>
      </c>
      <c r="U502" s="3">
        <f t="shared" si="56"/>
        <v>1921.6666666666288</v>
      </c>
      <c r="V502" s="3">
        <f t="shared" si="57"/>
        <v>-0.21940000000000001</v>
      </c>
      <c r="Z502" s="1">
        <v>1921.7083</v>
      </c>
      <c r="AA502" s="2">
        <f t="shared" si="61"/>
        <v>0.31543599999999999</v>
      </c>
      <c r="AB502">
        <v>15.771800000000001</v>
      </c>
      <c r="AE502">
        <v>1921.6666666666288</v>
      </c>
      <c r="AF502">
        <v>-0.74948285929551262</v>
      </c>
    </row>
    <row r="503" spans="4:32" x14ac:dyDescent="0.35">
      <c r="D503">
        <v>0.30043600000000004</v>
      </c>
      <c r="M503">
        <f t="shared" si="62"/>
        <v>502</v>
      </c>
      <c r="N503">
        <f t="shared" si="63"/>
        <v>1921.749999999962</v>
      </c>
      <c r="O503">
        <f t="shared" si="58"/>
        <v>0</v>
      </c>
      <c r="P503">
        <f t="array" ref="P503">+SUM($G$2:$G$18*SIN(2*PI()*(N503)*$B$1/$F$2:$F$18+$H$2:$H$18))</f>
        <v>0.13311285808380052</v>
      </c>
      <c r="Q503">
        <f t="shared" si="59"/>
        <v>0</v>
      </c>
      <c r="R503">
        <f t="shared" si="60"/>
        <v>9.6246598181567815E-4</v>
      </c>
      <c r="S503">
        <f t="array" ref="S503">+$B$2*SIN(R503*$B$3+$B$4)+0*R503+ SUM($J$2:$J$20*SIN(2*PI()*N503*$I$2:$I$20+$K$2:$K$20))</f>
        <v>-0.74946333378221308</v>
      </c>
      <c r="U503" s="3">
        <f t="shared" si="56"/>
        <v>1921.749999999962</v>
      </c>
      <c r="V503" s="3">
        <f t="shared" si="57"/>
        <v>-0.139738</v>
      </c>
      <c r="Z503" s="1">
        <v>1921.7917</v>
      </c>
      <c r="AA503" s="2">
        <f t="shared" si="61"/>
        <v>0.34581600000000001</v>
      </c>
      <c r="AB503">
        <v>17.290800000000001</v>
      </c>
      <c r="AE503">
        <v>1921.749999999962</v>
      </c>
      <c r="AF503">
        <v>-0.74946333378221308</v>
      </c>
    </row>
    <row r="504" spans="4:32" x14ac:dyDescent="0.35">
      <c r="D504">
        <v>0.31543599999999999</v>
      </c>
      <c r="M504">
        <f t="shared" si="62"/>
        <v>503</v>
      </c>
      <c r="N504">
        <f t="shared" si="63"/>
        <v>1921.8333333332953</v>
      </c>
      <c r="O504">
        <f t="shared" si="58"/>
        <v>0</v>
      </c>
      <c r="P504">
        <f t="array" ref="P504">+SUM($G$2:$G$18*SIN(2*PI()*(N504)*$B$1/$F$2:$F$18+$H$2:$H$18))</f>
        <v>-0.26797168783081982</v>
      </c>
      <c r="Q504">
        <f t="shared" si="59"/>
        <v>0</v>
      </c>
      <c r="R504">
        <f t="shared" si="60"/>
        <v>9.6098557349507709E-4</v>
      </c>
      <c r="S504">
        <f t="array" ref="S504">+$B$2*SIN(R504*$B$3+$B$4)+0*R504+ SUM($J$2:$J$20*SIN(2*PI()*N504*$I$2:$I$20+$K$2:$K$20))</f>
        <v>-0.7494437800724939</v>
      </c>
      <c r="U504" s="3">
        <f t="shared" si="56"/>
        <v>1921.8333333332953</v>
      </c>
      <c r="V504" s="3">
        <f t="shared" si="57"/>
        <v>-3.5459999999999998E-2</v>
      </c>
      <c r="Z504" s="1">
        <v>1921.875</v>
      </c>
      <c r="AA504" s="2">
        <f t="shared" si="61"/>
        <v>0.20388999999999999</v>
      </c>
      <c r="AB504">
        <v>10.1945</v>
      </c>
      <c r="AE504">
        <v>1921.8333333332953</v>
      </c>
      <c r="AF504">
        <v>-0.7494437800724939</v>
      </c>
    </row>
    <row r="505" spans="4:32" x14ac:dyDescent="0.35">
      <c r="D505">
        <v>0.34581600000000001</v>
      </c>
      <c r="M505">
        <f t="shared" si="62"/>
        <v>504</v>
      </c>
      <c r="N505">
        <f t="shared" si="63"/>
        <v>1921.9166666666285</v>
      </c>
      <c r="O505">
        <f t="shared" si="58"/>
        <v>0</v>
      </c>
      <c r="P505">
        <f t="array" ref="P505">+SUM($G$2:$G$18*SIN(2*PI()*(N505)*$B$1/$F$2:$F$18+$H$2:$H$18))</f>
        <v>-0.38789334481413701</v>
      </c>
      <c r="Q505">
        <f t="shared" si="59"/>
        <v>0</v>
      </c>
      <c r="R505">
        <f t="shared" si="60"/>
        <v>9.5950744225110744E-4</v>
      </c>
      <c r="S505">
        <f t="array" ref="S505">+$B$2*SIN(R505*$B$3+$B$4)+0*R505+ SUM($J$2:$J$20*SIN(2*PI()*N505*$I$2:$I$20+$K$2:$K$20))</f>
        <v>-0.74942419839023178</v>
      </c>
      <c r="U505" s="3">
        <f t="shared" si="56"/>
        <v>1921.9166666666285</v>
      </c>
      <c r="V505" s="3">
        <f t="shared" si="57"/>
        <v>0.114968</v>
      </c>
      <c r="Z505" s="1">
        <v>1921.9583</v>
      </c>
      <c r="AA505" s="2">
        <f t="shared" si="61"/>
        <v>0.47888399999999998</v>
      </c>
      <c r="AB505">
        <v>23.944199999999999</v>
      </c>
      <c r="AE505">
        <v>1921.9166666666285</v>
      </c>
      <c r="AF505">
        <v>-0.74942419839023178</v>
      </c>
    </row>
    <row r="506" spans="4:32" x14ac:dyDescent="0.35">
      <c r="D506">
        <v>0.20388999999999999</v>
      </c>
      <c r="M506">
        <f t="shared" si="62"/>
        <v>505</v>
      </c>
      <c r="N506">
        <f t="shared" si="63"/>
        <v>1921.9999999999618</v>
      </c>
      <c r="O506">
        <f t="shared" si="58"/>
        <v>36.637715116165623</v>
      </c>
      <c r="P506">
        <f t="array" ref="P506">+SUM($G$2:$G$18*SIN(2*PI()*(N506)*$B$1/$F$2:$F$18+$H$2:$H$18))</f>
        <v>4.637299891967428E-2</v>
      </c>
      <c r="Q506">
        <f t="shared" si="59"/>
        <v>1.6990007235012825</v>
      </c>
      <c r="R506">
        <f t="shared" si="60"/>
        <v>3.5713341379178696E-3</v>
      </c>
      <c r="S506">
        <f t="array" ref="S506">+$B$2*SIN(R506*$B$3+$B$4)+0*R506+ SUM($J$2:$J$20*SIN(2*PI()*N506*$I$2:$I$20+$K$2:$K$20))</f>
        <v>-0.6939573762431257</v>
      </c>
      <c r="U506" s="3">
        <f t="shared" si="56"/>
        <v>1921.9999999999618</v>
      </c>
      <c r="V506" s="3">
        <f t="shared" si="57"/>
        <v>1.0012E-2</v>
      </c>
      <c r="Z506" s="1">
        <v>1922.0417</v>
      </c>
      <c r="AA506" s="2">
        <f t="shared" si="61"/>
        <v>0.59079999999999999</v>
      </c>
      <c r="AB506">
        <v>29.54</v>
      </c>
      <c r="AE506">
        <v>1921.9999999999618</v>
      </c>
      <c r="AF506">
        <v>-0.6939573762431257</v>
      </c>
    </row>
    <row r="507" spans="4:32" x14ac:dyDescent="0.35">
      <c r="D507">
        <v>0.47888399999999998</v>
      </c>
      <c r="M507">
        <f t="shared" si="62"/>
        <v>506</v>
      </c>
      <c r="N507">
        <f t="shared" si="63"/>
        <v>1922.0833333332951</v>
      </c>
      <c r="O507">
        <f t="shared" si="58"/>
        <v>0</v>
      </c>
      <c r="P507">
        <f t="array" ref="P507">+SUM($G$2:$G$18*SIN(2*PI()*(N507)*$B$1/$F$2:$F$18+$H$2:$H$18))</f>
        <v>0.26288689973234014</v>
      </c>
      <c r="Q507">
        <f t="shared" si="59"/>
        <v>0</v>
      </c>
      <c r="R507">
        <f t="shared" si="60"/>
        <v>3.5658409227047501E-3</v>
      </c>
      <c r="S507">
        <f t="array" ref="S507">+$B$2*SIN(R507*$B$3+$B$4)+0*R507+ SUM($J$2:$J$20*SIN(2*PI()*N507*$I$2:$I$20+$K$2:$K$20))</f>
        <v>-0.6942584840973639</v>
      </c>
      <c r="U507" s="3">
        <f t="shared" ref="U507:U570" si="64">+N507</f>
        <v>1922.0833333332951</v>
      </c>
      <c r="V507" s="3">
        <f t="shared" ref="V507:V570" si="65">+D465</f>
        <v>-0.11033</v>
      </c>
      <c r="Z507" s="1">
        <v>1922.125</v>
      </c>
      <c r="AA507" s="2">
        <f t="shared" si="61"/>
        <v>0.59040799999999993</v>
      </c>
      <c r="AB507">
        <v>29.520399999999999</v>
      </c>
      <c r="AE507">
        <v>1922.0833333332951</v>
      </c>
      <c r="AF507">
        <v>-0.6942584840973639</v>
      </c>
    </row>
    <row r="508" spans="4:32" x14ac:dyDescent="0.35">
      <c r="D508">
        <v>0.59079999999999999</v>
      </c>
      <c r="M508">
        <f t="shared" si="62"/>
        <v>507</v>
      </c>
      <c r="N508">
        <f t="shared" si="63"/>
        <v>1922.1666666666283</v>
      </c>
      <c r="O508">
        <f t="shared" si="58"/>
        <v>0</v>
      </c>
      <c r="P508">
        <f t="array" ref="P508">+SUM($G$2:$G$18*SIN(2*PI()*(N508)*$B$1/$F$2:$F$18+$H$2:$H$18))</f>
        <v>1.9625854187112352E-2</v>
      </c>
      <c r="Q508">
        <f t="shared" si="59"/>
        <v>0</v>
      </c>
      <c r="R508">
        <f t="shared" si="60"/>
        <v>3.5603561568307881E-3</v>
      </c>
      <c r="S508">
        <f t="array" ref="S508">+$B$2*SIN(R508*$B$3+$B$4)+0*R508+ SUM($J$2:$J$20*SIN(2*PI()*N508*$I$2:$I$20+$K$2:$K$20))</f>
        <v>-0.69455838840561623</v>
      </c>
      <c r="U508" s="3">
        <f t="shared" si="64"/>
        <v>1922.1666666666283</v>
      </c>
      <c r="V508" s="3">
        <f t="shared" si="65"/>
        <v>-0.604522</v>
      </c>
      <c r="Z508" s="1">
        <v>1922.2083</v>
      </c>
      <c r="AA508" s="2">
        <f t="shared" si="61"/>
        <v>0.57616999999999996</v>
      </c>
      <c r="AB508">
        <v>28.808499999999999</v>
      </c>
      <c r="AE508">
        <v>1922.1666666666283</v>
      </c>
      <c r="AF508">
        <v>-0.69455838840561623</v>
      </c>
    </row>
    <row r="509" spans="4:32" x14ac:dyDescent="0.35">
      <c r="D509">
        <v>0.59040799999999993</v>
      </c>
      <c r="M509">
        <f t="shared" si="62"/>
        <v>508</v>
      </c>
      <c r="N509">
        <f t="shared" si="63"/>
        <v>1922.2499999999616</v>
      </c>
      <c r="O509">
        <f t="shared" si="58"/>
        <v>0</v>
      </c>
      <c r="P509">
        <f t="array" ref="P509">+SUM($G$2:$G$18*SIN(2*PI()*(N509)*$B$1/$F$2:$F$18+$H$2:$H$18))</f>
        <v>-9.9423295295375899E-2</v>
      </c>
      <c r="Q509">
        <f t="shared" si="59"/>
        <v>0</v>
      </c>
      <c r="R509">
        <f t="shared" si="60"/>
        <v>3.55487982729971E-3</v>
      </c>
      <c r="S509">
        <f t="array" ref="S509">+$B$2*SIN(R509*$B$3+$B$4)+0*R509+ SUM($J$2:$J$20*SIN(2*PI()*N509*$I$2:$I$20+$K$2:$K$20))</f>
        <v>-0.69485709297617837</v>
      </c>
      <c r="U509" s="3">
        <f t="shared" si="64"/>
        <v>1922.2499999999616</v>
      </c>
      <c r="V509" s="3">
        <f t="shared" si="65"/>
        <v>-0.78178799999999993</v>
      </c>
      <c r="Z509" s="1">
        <v>1922.2917</v>
      </c>
      <c r="AA509" s="2">
        <f t="shared" si="61"/>
        <v>0.50654399999999999</v>
      </c>
      <c r="AB509">
        <v>25.327200000000001</v>
      </c>
      <c r="AE509">
        <v>1922.2499999999616</v>
      </c>
      <c r="AF509">
        <v>-0.69485709297617837</v>
      </c>
    </row>
    <row r="510" spans="4:32" x14ac:dyDescent="0.35">
      <c r="D510">
        <v>0.57616999999999996</v>
      </c>
      <c r="M510">
        <f t="shared" si="62"/>
        <v>509</v>
      </c>
      <c r="N510">
        <f t="shared" si="63"/>
        <v>1922.3333333332948</v>
      </c>
      <c r="O510">
        <f t="shared" si="58"/>
        <v>0</v>
      </c>
      <c r="P510">
        <f t="array" ref="P510">+SUM($G$2:$G$18*SIN(2*PI()*(N510)*$B$1/$F$2:$F$18+$H$2:$H$18))</f>
        <v>7.1758455896470591E-2</v>
      </c>
      <c r="Q510">
        <f t="shared" si="59"/>
        <v>0</v>
      </c>
      <c r="R510">
        <f t="shared" si="60"/>
        <v>3.5494119211352312E-3</v>
      </c>
      <c r="S510">
        <f t="array" ref="S510">+$B$2*SIN(R510*$B$3+$B$4)+0*R510+ SUM($J$2:$J$20*SIN(2*PI()*N510*$I$2:$I$20+$K$2:$K$20))</f>
        <v>-0.69515460160772424</v>
      </c>
      <c r="U510" s="3">
        <f t="shared" si="64"/>
        <v>1922.3333333332948</v>
      </c>
      <c r="V510" s="3">
        <f t="shared" si="65"/>
        <v>-0.97905600000000004</v>
      </c>
      <c r="Z510" s="1">
        <v>1922.375</v>
      </c>
      <c r="AA510" s="2">
        <f t="shared" si="61"/>
        <v>0.36614800000000003</v>
      </c>
      <c r="AB510">
        <v>18.307400000000001</v>
      </c>
      <c r="AE510">
        <v>1922.3333333332948</v>
      </c>
      <c r="AF510">
        <v>-0.69515460160772424</v>
      </c>
    </row>
    <row r="511" spans="4:32" x14ac:dyDescent="0.35">
      <c r="D511">
        <v>0.50654399999999999</v>
      </c>
      <c r="M511">
        <f t="shared" si="62"/>
        <v>510</v>
      </c>
      <c r="N511">
        <f t="shared" si="63"/>
        <v>1922.4166666666281</v>
      </c>
      <c r="O511">
        <f t="shared" si="58"/>
        <v>0</v>
      </c>
      <c r="P511">
        <f t="array" ref="P511">+SUM($G$2:$G$18*SIN(2*PI()*(N511)*$B$1/$F$2:$F$18+$H$2:$H$18))</f>
        <v>0.23967429735138654</v>
      </c>
      <c r="Q511">
        <f t="shared" si="59"/>
        <v>0</v>
      </c>
      <c r="R511">
        <f t="shared" si="60"/>
        <v>3.5439524253810268E-3</v>
      </c>
      <c r="S511">
        <f t="array" ref="S511">+$B$2*SIN(R511*$B$3+$B$4)+0*R511+ SUM($J$2:$J$20*SIN(2*PI()*N511*$I$2:$I$20+$K$2:$K$20))</f>
        <v>-0.69545091808931725</v>
      </c>
      <c r="U511" s="3">
        <f t="shared" si="64"/>
        <v>1922.4166666666281</v>
      </c>
      <c r="V511" s="3">
        <f t="shared" si="65"/>
        <v>-0.98863600000000007</v>
      </c>
      <c r="Z511" s="1">
        <v>1922.4583</v>
      </c>
      <c r="AA511" s="2">
        <f t="shared" si="61"/>
        <v>0.362676</v>
      </c>
      <c r="AB511">
        <v>18.133800000000001</v>
      </c>
      <c r="AE511">
        <v>1922.4166666666281</v>
      </c>
      <c r="AF511">
        <v>-0.69545091808931725</v>
      </c>
    </row>
    <row r="512" spans="4:32" x14ac:dyDescent="0.35">
      <c r="D512">
        <v>0.36614800000000003</v>
      </c>
      <c r="M512">
        <f t="shared" si="62"/>
        <v>511</v>
      </c>
      <c r="N512">
        <f t="shared" si="63"/>
        <v>1922.4999999999613</v>
      </c>
      <c r="O512">
        <f t="shared" si="58"/>
        <v>0</v>
      </c>
      <c r="P512">
        <f t="array" ref="P512">+SUM($G$2:$G$18*SIN(2*PI()*(N512)*$B$1/$F$2:$F$18+$H$2:$H$18))</f>
        <v>3.5425804588377977E-2</v>
      </c>
      <c r="Q512">
        <f t="shared" si="59"/>
        <v>0</v>
      </c>
      <c r="R512">
        <f t="shared" si="60"/>
        <v>3.5385013271007001E-3</v>
      </c>
      <c r="S512">
        <f t="array" ref="S512">+$B$2*SIN(R512*$B$3+$B$4)+0*R512+ SUM($J$2:$J$20*SIN(2*PI()*N512*$I$2:$I$20+$K$2:$K$20))</f>
        <v>-0.69574604620042246</v>
      </c>
      <c r="U512" s="3">
        <f t="shared" si="64"/>
        <v>1922.4999999999613</v>
      </c>
      <c r="V512" s="3">
        <f t="shared" si="65"/>
        <v>-1.0505200000000001</v>
      </c>
      <c r="Z512" s="1">
        <v>1922.5417</v>
      </c>
      <c r="AA512" s="2">
        <f t="shared" si="61"/>
        <v>0.54227599999999998</v>
      </c>
      <c r="AB512">
        <v>27.113800000000001</v>
      </c>
      <c r="AE512">
        <v>1922.4999999999613</v>
      </c>
      <c r="AF512">
        <v>-0.69574604620042246</v>
      </c>
    </row>
    <row r="513" spans="4:32" x14ac:dyDescent="0.35">
      <c r="D513">
        <v>0.362676</v>
      </c>
      <c r="M513">
        <f t="shared" si="62"/>
        <v>512</v>
      </c>
      <c r="N513">
        <f t="shared" si="63"/>
        <v>1922.5833333332946</v>
      </c>
      <c r="O513">
        <f t="shared" si="58"/>
        <v>0</v>
      </c>
      <c r="P513">
        <f t="array" ref="P513">+SUM($G$2:$G$18*SIN(2*PI()*(N513)*$B$1/$F$2:$F$18+$H$2:$H$18))</f>
        <v>-0.43280033135213025</v>
      </c>
      <c r="Q513">
        <f t="shared" si="59"/>
        <v>0</v>
      </c>
      <c r="R513">
        <f t="shared" si="60"/>
        <v>3.5330586133777535E-3</v>
      </c>
      <c r="S513">
        <f t="array" ref="S513">+$B$2*SIN(R513*$B$3+$B$4)+0*R513+ SUM($J$2:$J$20*SIN(2*PI()*N513*$I$2:$I$20+$K$2:$K$20))</f>
        <v>-0.69603998971091774</v>
      </c>
      <c r="U513" s="3">
        <f t="shared" si="64"/>
        <v>1922.5833333332946</v>
      </c>
      <c r="V513" s="3">
        <f t="shared" si="65"/>
        <v>-0.69548399999999999</v>
      </c>
      <c r="Z513" s="1">
        <v>1922.625</v>
      </c>
      <c r="AA513" s="2">
        <f t="shared" si="61"/>
        <v>0.392648</v>
      </c>
      <c r="AB513">
        <v>19.632400000000001</v>
      </c>
      <c r="AE513">
        <v>1922.5833333332946</v>
      </c>
      <c r="AF513">
        <v>-0.69603998971091774</v>
      </c>
    </row>
    <row r="514" spans="4:32" x14ac:dyDescent="0.35">
      <c r="D514">
        <v>0.54227599999999998</v>
      </c>
      <c r="M514">
        <f t="shared" si="62"/>
        <v>513</v>
      </c>
      <c r="N514">
        <f t="shared" si="63"/>
        <v>1922.6666666666279</v>
      </c>
      <c r="O514">
        <f t="shared" ref="O514:O577" si="66">+IF(MOD(M514,$B$5)=1, $B$6, 0)</f>
        <v>0</v>
      </c>
      <c r="P514">
        <f t="array" ref="P514">+SUM($G$2:$G$18*SIN(2*PI()*(N514)*$B$1/$F$2:$F$18+$H$2:$H$18))</f>
        <v>-0.40771801469309443</v>
      </c>
      <c r="Q514">
        <f t="shared" si="59"/>
        <v>0</v>
      </c>
      <c r="R514">
        <f t="shared" si="60"/>
        <v>3.5276242713155556E-3</v>
      </c>
      <c r="S514">
        <f t="array" ref="S514">+$B$2*SIN(R514*$B$3+$B$4)+0*R514+ SUM($J$2:$J$20*SIN(2*PI()*N514*$I$2:$I$20+$K$2:$K$20))</f>
        <v>-0.69633275238110559</v>
      </c>
      <c r="U514" s="3">
        <f t="shared" si="64"/>
        <v>1922.6666666666279</v>
      </c>
      <c r="V514" s="3">
        <f t="shared" si="65"/>
        <v>-0.61737399999999998</v>
      </c>
      <c r="Z514" s="1">
        <v>1922.7083</v>
      </c>
      <c r="AA514" s="2">
        <f t="shared" si="61"/>
        <v>0.33994000000000002</v>
      </c>
      <c r="AB514">
        <v>16.997</v>
      </c>
      <c r="AE514">
        <v>1922.6666666666279</v>
      </c>
      <c r="AF514">
        <v>-0.69633275238110559</v>
      </c>
    </row>
    <row r="515" spans="4:32" x14ac:dyDescent="0.35">
      <c r="D515">
        <v>0.392648</v>
      </c>
      <c r="M515">
        <f t="shared" si="62"/>
        <v>514</v>
      </c>
      <c r="N515">
        <f t="shared" si="63"/>
        <v>1922.7499999999611</v>
      </c>
      <c r="O515">
        <f t="shared" si="66"/>
        <v>0</v>
      </c>
      <c r="P515">
        <f t="array" ref="P515">+SUM($G$2:$G$18*SIN(2*PI()*(N515)*$B$1/$F$2:$F$18+$H$2:$H$18))</f>
        <v>8.8526273182485571E-2</v>
      </c>
      <c r="Q515">
        <f t="shared" ref="Q515:Q578" si="67">+O515*P515</f>
        <v>0</v>
      </c>
      <c r="R515">
        <f t="shared" ref="R515:R578" si="68">+(1-$B$7)*R514+($B$7)*Q515</f>
        <v>3.5221982880373126E-3</v>
      </c>
      <c r="S515">
        <f t="array" ref="S515">+$B$2*SIN(R515*$B$3+$B$4)+0*R515+ SUM($J$2:$J$20*SIN(2*PI()*N515*$I$2:$I$20+$K$2:$K$20))</f>
        <v>-0.6966243379617254</v>
      </c>
      <c r="U515" s="3">
        <f t="shared" si="64"/>
        <v>1922.7499999999611</v>
      </c>
      <c r="V515" s="3">
        <f t="shared" si="65"/>
        <v>-0.49310999999999999</v>
      </c>
      <c r="Z515" s="1">
        <v>1922.7917</v>
      </c>
      <c r="AA515" s="2">
        <f t="shared" ref="AA515:AA578" si="69">+AB515/50</f>
        <v>-3.5399999999999997E-3</v>
      </c>
      <c r="AB515">
        <v>-0.17699999999999999</v>
      </c>
      <c r="AE515">
        <v>1922.7499999999611</v>
      </c>
      <c r="AF515">
        <v>-0.6966243379617254</v>
      </c>
    </row>
    <row r="516" spans="4:32" x14ac:dyDescent="0.35">
      <c r="D516">
        <v>0.33994000000000002</v>
      </c>
      <c r="M516">
        <f t="shared" ref="M516:M579" si="70">+M515+1</f>
        <v>515</v>
      </c>
      <c r="N516">
        <f t="shared" ref="N516:N579" si="71">+N515+1/12</f>
        <v>1922.8333333332944</v>
      </c>
      <c r="O516">
        <f t="shared" si="66"/>
        <v>0</v>
      </c>
      <c r="P516">
        <f t="array" ref="P516">+SUM($G$2:$G$18*SIN(2*PI()*(N516)*$B$1/$F$2:$F$18+$H$2:$H$18))</f>
        <v>0.21816093759833108</v>
      </c>
      <c r="Q516">
        <f t="shared" si="67"/>
        <v>0</v>
      </c>
      <c r="R516">
        <f t="shared" si="68"/>
        <v>3.5167806506860365E-3</v>
      </c>
      <c r="S516">
        <f t="array" ref="S516">+$B$2*SIN(R516*$B$3+$B$4)+0*R516+ SUM($J$2:$J$20*SIN(2*PI()*N516*$I$2:$I$20+$K$2:$K$20))</f>
        <v>-0.6969147501939652</v>
      </c>
      <c r="U516" s="3">
        <f t="shared" si="64"/>
        <v>1922.8333333332944</v>
      </c>
      <c r="V516" s="3">
        <f t="shared" si="65"/>
        <v>-0.56115400000000004</v>
      </c>
      <c r="Z516" s="1">
        <v>1922.875</v>
      </c>
      <c r="AA516" s="2">
        <f t="shared" si="69"/>
        <v>-2.3940000000000003E-2</v>
      </c>
      <c r="AB516">
        <v>-1.1970000000000001</v>
      </c>
      <c r="AE516">
        <v>1922.8333333332944</v>
      </c>
      <c r="AF516">
        <v>-0.6969147501939652</v>
      </c>
    </row>
    <row r="517" spans="4:32" x14ac:dyDescent="0.35">
      <c r="D517">
        <v>-3.5399999999999997E-3</v>
      </c>
      <c r="M517">
        <f t="shared" si="70"/>
        <v>516</v>
      </c>
      <c r="N517">
        <f t="shared" si="71"/>
        <v>1922.9166666666276</v>
      </c>
      <c r="O517">
        <f t="shared" si="66"/>
        <v>0</v>
      </c>
      <c r="P517">
        <f t="array" ref="P517">+SUM($G$2:$G$18*SIN(2*PI()*(N517)*$B$1/$F$2:$F$18+$H$2:$H$18))</f>
        <v>3.4105595817400247E-3</v>
      </c>
      <c r="Q517">
        <f t="shared" si="67"/>
        <v>0</v>
      </c>
      <c r="R517">
        <f t="shared" si="68"/>
        <v>3.5113713464245159E-3</v>
      </c>
      <c r="S517">
        <f t="array" ref="S517">+$B$2*SIN(R517*$B$3+$B$4)+0*R517+ SUM($J$2:$J$20*SIN(2*PI()*N517*$I$2:$I$20+$K$2:$K$20))</f>
        <v>-0.69720399280947343</v>
      </c>
      <c r="U517" s="3">
        <f t="shared" si="64"/>
        <v>1922.9166666666276</v>
      </c>
      <c r="V517" s="3">
        <f t="shared" si="65"/>
        <v>-0.33073999999999998</v>
      </c>
      <c r="Z517" s="1">
        <v>1922.9583</v>
      </c>
      <c r="AA517" s="2">
        <f t="shared" si="69"/>
        <v>0.20796399999999998</v>
      </c>
      <c r="AB517">
        <v>10.398199999999999</v>
      </c>
      <c r="AE517">
        <v>1922.9166666666276</v>
      </c>
      <c r="AF517">
        <v>-0.69720399280947343</v>
      </c>
    </row>
    <row r="518" spans="4:32" x14ac:dyDescent="0.35">
      <c r="D518">
        <v>-2.3940000000000003E-2</v>
      </c>
      <c r="M518">
        <f t="shared" si="70"/>
        <v>517</v>
      </c>
      <c r="N518">
        <f t="shared" si="71"/>
        <v>1922.9999999999609</v>
      </c>
      <c r="O518">
        <f t="shared" si="66"/>
        <v>36.637715116165623</v>
      </c>
      <c r="P518">
        <f t="array" ref="P518">+SUM($G$2:$G$18*SIN(2*PI()*(N518)*$B$1/$F$2:$F$18+$H$2:$H$18))</f>
        <v>-3.5995835359605599E-2</v>
      </c>
      <c r="Q518">
        <f t="shared" si="67"/>
        <v>-1.3188051612736311</v>
      </c>
      <c r="R518">
        <f t="shared" si="68"/>
        <v>1.4774621648593346E-3</v>
      </c>
      <c r="S518">
        <f t="array" ref="S518">+$B$2*SIN(R518*$B$3+$B$4)+0*R518+ SUM($J$2:$J$20*SIN(2*PI()*N518*$I$2:$I$20+$K$2:$K$20))</f>
        <v>-0.75272692271827046</v>
      </c>
      <c r="U518" s="3">
        <f t="shared" si="64"/>
        <v>1922.9999999999609</v>
      </c>
      <c r="V518" s="3">
        <f t="shared" si="65"/>
        <v>-0.66340199999999994</v>
      </c>
      <c r="Z518" s="1">
        <v>1923.0417</v>
      </c>
      <c r="AA518" s="2">
        <f t="shared" si="69"/>
        <v>0.21832799999999999</v>
      </c>
      <c r="AB518">
        <v>10.916399999999999</v>
      </c>
      <c r="AE518">
        <v>1922.9999999999609</v>
      </c>
      <c r="AF518">
        <v>-0.75272692271827046</v>
      </c>
    </row>
    <row r="519" spans="4:32" x14ac:dyDescent="0.35">
      <c r="D519">
        <v>0.20796399999999998</v>
      </c>
      <c r="M519">
        <f t="shared" si="70"/>
        <v>518</v>
      </c>
      <c r="N519">
        <f t="shared" si="71"/>
        <v>1923.0833333332941</v>
      </c>
      <c r="O519">
        <f t="shared" si="66"/>
        <v>0</v>
      </c>
      <c r="P519">
        <f t="array" ref="P519">+SUM($G$2:$G$18*SIN(2*PI()*(N519)*$B$1/$F$2:$F$18+$H$2:$H$18))</f>
        <v>0.11655222087461153</v>
      </c>
      <c r="Q519">
        <f t="shared" si="67"/>
        <v>0</v>
      </c>
      <c r="R519">
        <f t="shared" si="68"/>
        <v>1.4751896198306731E-3</v>
      </c>
      <c r="S519">
        <f t="array" ref="S519">+$B$2*SIN(R519*$B$3+$B$4)+0*R519+ SUM($J$2:$J$20*SIN(2*PI()*N519*$I$2:$I$20+$K$2:$K$20))</f>
        <v>-0.75272804551767292</v>
      </c>
      <c r="U519" s="3">
        <f t="shared" si="64"/>
        <v>1923.0833333332941</v>
      </c>
      <c r="V519" s="3">
        <f t="shared" si="65"/>
        <v>-0.59145000000000003</v>
      </c>
      <c r="Z519" s="1">
        <v>1923.125</v>
      </c>
      <c r="AA519" s="2">
        <f t="shared" si="69"/>
        <v>0.25330799999999998</v>
      </c>
      <c r="AB519">
        <v>12.6654</v>
      </c>
      <c r="AE519">
        <v>1923.0833333332941</v>
      </c>
      <c r="AF519">
        <v>-0.75272804551767292</v>
      </c>
    </row>
    <row r="520" spans="4:32" x14ac:dyDescent="0.35">
      <c r="D520">
        <v>0.21832799999999999</v>
      </c>
      <c r="M520">
        <f t="shared" si="70"/>
        <v>519</v>
      </c>
      <c r="N520">
        <f t="shared" si="71"/>
        <v>1923.1666666666274</v>
      </c>
      <c r="O520">
        <f t="shared" si="66"/>
        <v>0</v>
      </c>
      <c r="P520">
        <f t="array" ref="P520">+SUM($G$2:$G$18*SIN(2*PI()*(N520)*$B$1/$F$2:$F$18+$H$2:$H$18))</f>
        <v>0.22093486990995234</v>
      </c>
      <c r="Q520">
        <f t="shared" si="67"/>
        <v>0</v>
      </c>
      <c r="R520">
        <f t="shared" si="68"/>
        <v>1.4729205702965361E-3</v>
      </c>
      <c r="S520">
        <f t="array" ref="S520">+$B$2*SIN(R520*$B$3+$B$4)+0*R520+ SUM($J$2:$J$20*SIN(2*PI()*N520*$I$2:$I$20+$K$2:$K$20))</f>
        <v>-0.75272902920008655</v>
      </c>
      <c r="U520" s="3">
        <f t="shared" si="64"/>
        <v>1923.1666666666274</v>
      </c>
      <c r="V520" s="3">
        <f t="shared" si="65"/>
        <v>-0.59026999999999996</v>
      </c>
      <c r="Z520" s="1">
        <v>1923.2083</v>
      </c>
      <c r="AA520" s="2">
        <f t="shared" si="69"/>
        <v>0.25905400000000001</v>
      </c>
      <c r="AB520">
        <v>12.9527</v>
      </c>
      <c r="AE520">
        <v>1923.1666666666274</v>
      </c>
      <c r="AF520">
        <v>-0.75272902920008655</v>
      </c>
    </row>
    <row r="521" spans="4:32" x14ac:dyDescent="0.35">
      <c r="D521">
        <v>0.25330799999999998</v>
      </c>
      <c r="M521">
        <f t="shared" si="70"/>
        <v>520</v>
      </c>
      <c r="N521">
        <f t="shared" si="71"/>
        <v>1923.2499999999607</v>
      </c>
      <c r="O521">
        <f t="shared" si="66"/>
        <v>0</v>
      </c>
      <c r="P521">
        <f t="array" ref="P521">+SUM($G$2:$G$18*SIN(2*PI()*(N521)*$B$1/$F$2:$F$18+$H$2:$H$18))</f>
        <v>-4.0392999960217085E-2</v>
      </c>
      <c r="Q521">
        <f t="shared" si="67"/>
        <v>0</v>
      </c>
      <c r="R521">
        <f t="shared" si="68"/>
        <v>1.4706550108803604E-3</v>
      </c>
      <c r="S521">
        <f t="array" ref="S521">+$B$2*SIN(R521*$B$3+$B$4)+0*R521+ SUM($J$2:$J$20*SIN(2*PI()*N521*$I$2:$I$20+$K$2:$K$20))</f>
        <v>-0.75272987440163908</v>
      </c>
      <c r="U521" s="3">
        <f t="shared" si="64"/>
        <v>1923.2499999999607</v>
      </c>
      <c r="V521" s="3">
        <f t="shared" si="65"/>
        <v>-0.50447399999999998</v>
      </c>
      <c r="Z521" s="1">
        <v>1923.2917</v>
      </c>
      <c r="AA521" s="2">
        <f t="shared" si="69"/>
        <v>0.34787599999999996</v>
      </c>
      <c r="AB521">
        <v>17.393799999999999</v>
      </c>
      <c r="AE521">
        <v>1923.2499999999607</v>
      </c>
      <c r="AF521">
        <v>-0.75272987440163908</v>
      </c>
    </row>
    <row r="522" spans="4:32" x14ac:dyDescent="0.35">
      <c r="D522">
        <v>0.25905400000000001</v>
      </c>
      <c r="M522">
        <f t="shared" si="70"/>
        <v>521</v>
      </c>
      <c r="N522">
        <f t="shared" si="71"/>
        <v>1923.3333333332939</v>
      </c>
      <c r="O522">
        <f t="shared" si="66"/>
        <v>0</v>
      </c>
      <c r="P522">
        <f t="array" ref="P522">+SUM($G$2:$G$18*SIN(2*PI()*(N522)*$B$1/$F$2:$F$18+$H$2:$H$18))</f>
        <v>-0.4609197177145743</v>
      </c>
      <c r="Q522">
        <f t="shared" si="67"/>
        <v>0</v>
      </c>
      <c r="R522">
        <f t="shared" si="68"/>
        <v>1.4683929362138525E-3</v>
      </c>
      <c r="S522">
        <f t="array" ref="S522">+$B$2*SIN(R522*$B$3+$B$4)+0*R522+ SUM($J$2:$J$20*SIN(2*PI()*N522*$I$2:$I$20+$K$2:$K$20))</f>
        <v>-0.75273058175620799</v>
      </c>
      <c r="U522" s="3">
        <f t="shared" si="64"/>
        <v>1923.3333333332939</v>
      </c>
      <c r="V522" s="3">
        <f t="shared" si="65"/>
        <v>-0.36175400000000002</v>
      </c>
      <c r="Z522" s="1">
        <v>1923.375</v>
      </c>
      <c r="AA522" s="2">
        <f t="shared" si="69"/>
        <v>0.450544</v>
      </c>
      <c r="AB522">
        <v>22.527200000000001</v>
      </c>
      <c r="AE522">
        <v>1923.3333333332939</v>
      </c>
      <c r="AF522">
        <v>-0.75273058175620799</v>
      </c>
    </row>
    <row r="523" spans="4:32" x14ac:dyDescent="0.35">
      <c r="D523">
        <v>0.34787599999999996</v>
      </c>
      <c r="M523">
        <f t="shared" si="70"/>
        <v>522</v>
      </c>
      <c r="N523">
        <f t="shared" si="71"/>
        <v>1923.4166666666272</v>
      </c>
      <c r="O523">
        <f t="shared" si="66"/>
        <v>0</v>
      </c>
      <c r="P523">
        <f t="array" ref="P523">+SUM($G$2:$G$18*SIN(2*PI()*(N523)*$B$1/$F$2:$F$18+$H$2:$H$18))</f>
        <v>-0.33570185385351037</v>
      </c>
      <c r="Q523">
        <f t="shared" si="67"/>
        <v>0</v>
      </c>
      <c r="R523">
        <f t="shared" si="68"/>
        <v>1.4661343409369766E-3</v>
      </c>
      <c r="S523">
        <f t="array" ref="S523">+$B$2*SIN(R523*$B$3+$B$4)+0*R523+ SUM($J$2:$J$20*SIN(2*PI()*N523*$I$2:$I$20+$K$2:$K$20))</f>
        <v>-0.75273115189542705</v>
      </c>
      <c r="U523" s="3">
        <f t="shared" si="64"/>
        <v>1923.4166666666272</v>
      </c>
      <c r="V523" s="3">
        <f t="shared" si="65"/>
        <v>-0.21596399999999999</v>
      </c>
      <c r="Z523" s="1">
        <v>1923.4583</v>
      </c>
      <c r="AA523" s="2">
        <f t="shared" si="69"/>
        <v>0.60090399999999999</v>
      </c>
      <c r="AB523">
        <v>30.045200000000001</v>
      </c>
      <c r="AE523">
        <v>1923.4166666666272</v>
      </c>
      <c r="AF523">
        <v>-0.75273115189542705</v>
      </c>
    </row>
    <row r="524" spans="4:32" x14ac:dyDescent="0.35">
      <c r="D524">
        <v>0.450544</v>
      </c>
      <c r="M524">
        <f t="shared" si="70"/>
        <v>523</v>
      </c>
      <c r="N524">
        <f t="shared" si="71"/>
        <v>1923.4999999999604</v>
      </c>
      <c r="O524">
        <f t="shared" si="66"/>
        <v>0</v>
      </c>
      <c r="P524">
        <f t="array" ref="P524">+SUM($G$2:$G$18*SIN(2*PI()*(N524)*$B$1/$F$2:$F$18+$H$2:$H$18))</f>
        <v>0.12191960433560875</v>
      </c>
      <c r="Q524">
        <f t="shared" si="67"/>
        <v>0</v>
      </c>
      <c r="R524">
        <f t="shared" si="68"/>
        <v>1.4638792196979408E-3</v>
      </c>
      <c r="S524">
        <f t="array" ref="S524">+$B$2*SIN(R524*$B$3+$B$4)+0*R524+ SUM($J$2:$J$20*SIN(2*PI()*N524*$I$2:$I$20+$K$2:$K$20))</f>
        <v>-0.75273158544869423</v>
      </c>
      <c r="U524" s="3">
        <f t="shared" si="64"/>
        <v>1923.4999999999604</v>
      </c>
      <c r="V524" s="3">
        <f t="shared" si="65"/>
        <v>-5.4786000000000001E-2</v>
      </c>
      <c r="Z524" s="1">
        <v>1923.5417</v>
      </c>
      <c r="AA524" s="2">
        <f t="shared" si="69"/>
        <v>0.34818399999999999</v>
      </c>
      <c r="AB524">
        <v>17.409199999999998</v>
      </c>
      <c r="AE524">
        <v>1923.4999999999604</v>
      </c>
      <c r="AF524">
        <v>-0.75273158544869423</v>
      </c>
    </row>
    <row r="525" spans="4:32" x14ac:dyDescent="0.35">
      <c r="D525">
        <v>0.60090399999999999</v>
      </c>
      <c r="M525">
        <f t="shared" si="70"/>
        <v>524</v>
      </c>
      <c r="N525">
        <f t="shared" si="71"/>
        <v>1923.5833333332937</v>
      </c>
      <c r="O525">
        <f t="shared" si="66"/>
        <v>0</v>
      </c>
      <c r="P525">
        <f t="array" ref="P525">+SUM($G$2:$G$18*SIN(2*PI()*(N525)*$B$1/$F$2:$F$18+$H$2:$H$18))</f>
        <v>0.23834368374770115</v>
      </c>
      <c r="Q525">
        <f t="shared" si="67"/>
        <v>0</v>
      </c>
      <c r="R525">
        <f t="shared" si="68"/>
        <v>1.4616275671531854E-3</v>
      </c>
      <c r="S525">
        <f t="array" ref="S525">+$B$2*SIN(R525*$B$3+$B$4)+0*R525+ SUM($J$2:$J$20*SIN(2*PI()*N525*$I$2:$I$20+$K$2:$K$20))</f>
        <v>-0.75273188304317784</v>
      </c>
      <c r="U525" s="3">
        <f t="shared" si="64"/>
        <v>1923.5833333332937</v>
      </c>
      <c r="V525" s="3">
        <f t="shared" si="65"/>
        <v>0.19408400000000001</v>
      </c>
      <c r="Z525" s="1">
        <v>1923.625</v>
      </c>
      <c r="AA525" s="2">
        <f t="shared" si="69"/>
        <v>0.40777200000000002</v>
      </c>
      <c r="AB525">
        <v>20.3886</v>
      </c>
      <c r="AE525">
        <v>1923.5833333332937</v>
      </c>
      <c r="AF525">
        <v>-0.75273188304317784</v>
      </c>
    </row>
    <row r="526" spans="4:32" x14ac:dyDescent="0.35">
      <c r="D526">
        <v>0.34818399999999999</v>
      </c>
      <c r="M526">
        <f t="shared" si="70"/>
        <v>525</v>
      </c>
      <c r="N526">
        <f t="shared" si="71"/>
        <v>1923.666666666627</v>
      </c>
      <c r="O526">
        <f t="shared" si="66"/>
        <v>0</v>
      </c>
      <c r="P526">
        <f t="array" ref="P526">+SUM($G$2:$G$18*SIN(2*PI()*(N526)*$B$1/$F$2:$F$18+$H$2:$H$18))</f>
        <v>0.16348393259814742</v>
      </c>
      <c r="Q526">
        <f t="shared" si="67"/>
        <v>0</v>
      </c>
      <c r="R526">
        <f t="shared" si="68"/>
        <v>1.4593793779673699E-3</v>
      </c>
      <c r="S526">
        <f t="array" ref="S526">+$B$2*SIN(R526*$B$3+$B$4)+0*R526+ SUM($J$2:$J$20*SIN(2*PI()*N526*$I$2:$I$20+$K$2:$K$20))</f>
        <v>-0.75273204530382465</v>
      </c>
      <c r="U526" s="3">
        <f t="shared" si="64"/>
        <v>1923.666666666627</v>
      </c>
      <c r="V526" s="3">
        <f t="shared" si="65"/>
        <v>0.158334</v>
      </c>
      <c r="Z526" s="1">
        <v>1923.7083</v>
      </c>
      <c r="AA526" s="2">
        <f t="shared" si="69"/>
        <v>0.17659</v>
      </c>
      <c r="AB526">
        <v>8.8294999999999995</v>
      </c>
      <c r="AE526">
        <v>1923.666666666627</v>
      </c>
      <c r="AF526">
        <v>-0.75273204530382465</v>
      </c>
    </row>
    <row r="527" spans="4:32" x14ac:dyDescent="0.35">
      <c r="D527">
        <v>0.40777200000000002</v>
      </c>
      <c r="M527">
        <f t="shared" si="70"/>
        <v>526</v>
      </c>
      <c r="N527">
        <f t="shared" si="71"/>
        <v>1923.7499999999602</v>
      </c>
      <c r="O527">
        <f t="shared" si="66"/>
        <v>0</v>
      </c>
      <c r="P527">
        <f t="array" ref="P527">+SUM($G$2:$G$18*SIN(2*PI()*(N527)*$B$1/$F$2:$F$18+$H$2:$H$18))</f>
        <v>0.1466646244824657</v>
      </c>
      <c r="Q527">
        <f t="shared" si="67"/>
        <v>0</v>
      </c>
      <c r="R527">
        <f t="shared" si="68"/>
        <v>1.4571346468133599E-3</v>
      </c>
      <c r="S527">
        <f t="array" ref="S527">+$B$2*SIN(R527*$B$3+$B$4)+0*R527+ SUM($J$2:$J$20*SIN(2*PI()*N527*$I$2:$I$20+$K$2:$K$20))</f>
        <v>-0.75273207285336552</v>
      </c>
      <c r="U527" s="3">
        <f t="shared" si="64"/>
        <v>1923.7499999999602</v>
      </c>
      <c r="V527" s="3">
        <f t="shared" si="65"/>
        <v>0.26258400000000004</v>
      </c>
      <c r="Z527" s="1">
        <v>1923.7917</v>
      </c>
      <c r="AA527" s="2">
        <f t="shared" si="69"/>
        <v>0.46694200000000002</v>
      </c>
      <c r="AB527">
        <v>23.347100000000001</v>
      </c>
      <c r="AE527">
        <v>1923.7499999999602</v>
      </c>
      <c r="AF527">
        <v>-0.75273207285336552</v>
      </c>
    </row>
    <row r="528" spans="4:32" x14ac:dyDescent="0.35">
      <c r="D528">
        <v>0.17659</v>
      </c>
      <c r="M528">
        <f t="shared" si="70"/>
        <v>527</v>
      </c>
      <c r="N528">
        <f t="shared" si="71"/>
        <v>1923.8333333332935</v>
      </c>
      <c r="O528">
        <f t="shared" si="66"/>
        <v>0</v>
      </c>
      <c r="P528">
        <f t="array" ref="P528">+SUM($G$2:$G$18*SIN(2*PI()*(N528)*$B$1/$F$2:$F$18+$H$2:$H$18))</f>
        <v>0.16751226964175625</v>
      </c>
      <c r="Q528">
        <f t="shared" si="67"/>
        <v>0</v>
      </c>
      <c r="R528">
        <f t="shared" si="68"/>
        <v>1.4548933683722154E-3</v>
      </c>
      <c r="S528">
        <f t="array" ref="S528">+$B$2*SIN(R528*$B$3+$B$4)+0*R528+ SUM($J$2:$J$20*SIN(2*PI()*N528*$I$2:$I$20+$K$2:$K$20))</f>
        <v>-0.75273196631232397</v>
      </c>
      <c r="U528" s="3">
        <f t="shared" si="64"/>
        <v>1923.8333333332935</v>
      </c>
      <c r="V528" s="3">
        <f t="shared" si="65"/>
        <v>7.145E-2</v>
      </c>
      <c r="Z528" s="1">
        <v>1923.875</v>
      </c>
      <c r="AA528" s="2">
        <f t="shared" si="69"/>
        <v>0.62806600000000001</v>
      </c>
      <c r="AB528">
        <v>31.403300000000002</v>
      </c>
      <c r="AE528">
        <v>1923.8333333332935</v>
      </c>
      <c r="AF528">
        <v>-0.75273196631232397</v>
      </c>
    </row>
    <row r="529" spans="4:32" x14ac:dyDescent="0.35">
      <c r="D529">
        <v>0.46694200000000002</v>
      </c>
      <c r="M529">
        <f t="shared" si="70"/>
        <v>528</v>
      </c>
      <c r="N529">
        <f t="shared" si="71"/>
        <v>1923.9166666666267</v>
      </c>
      <c r="O529">
        <f t="shared" si="66"/>
        <v>0</v>
      </c>
      <c r="P529">
        <f t="array" ref="P529">+SUM($G$2:$G$18*SIN(2*PI()*(N529)*$B$1/$F$2:$F$18+$H$2:$H$18))</f>
        <v>0.19125570365293235</v>
      </c>
      <c r="Q529">
        <f t="shared" si="67"/>
        <v>0</v>
      </c>
      <c r="R529">
        <f t="shared" si="68"/>
        <v>1.4526555373331773E-3</v>
      </c>
      <c r="S529">
        <f t="array" ref="S529">+$B$2*SIN(R529*$B$3+$B$4)+0*R529+ SUM($J$2:$J$20*SIN(2*PI()*N529*$I$2:$I$20+$K$2:$K$20))</f>
        <v>-0.75273172629902185</v>
      </c>
      <c r="U529" s="3">
        <f t="shared" si="64"/>
        <v>1923.9166666666267</v>
      </c>
      <c r="V529" s="3">
        <f t="shared" si="65"/>
        <v>-0.19507200000000002</v>
      </c>
      <c r="Z529" s="1">
        <v>1923.9583</v>
      </c>
      <c r="AA529" s="2">
        <f t="shared" si="69"/>
        <v>0.77688000000000001</v>
      </c>
      <c r="AB529">
        <v>38.844000000000001</v>
      </c>
      <c r="AE529">
        <v>1923.9166666666267</v>
      </c>
      <c r="AF529">
        <v>-0.75273172629902185</v>
      </c>
    </row>
    <row r="530" spans="4:32" x14ac:dyDescent="0.35">
      <c r="D530">
        <v>0.62806600000000001</v>
      </c>
      <c r="M530">
        <f t="shared" si="70"/>
        <v>529</v>
      </c>
      <c r="N530">
        <f t="shared" si="71"/>
        <v>1923.99999999996</v>
      </c>
      <c r="O530">
        <f t="shared" si="66"/>
        <v>36.637715116165623</v>
      </c>
      <c r="P530">
        <f t="array" ref="P530">+SUM($G$2:$G$18*SIN(2*PI()*(N530)*$B$1/$F$2:$F$18+$H$2:$H$18))</f>
        <v>-5.8471569590930916E-2</v>
      </c>
      <c r="Q530">
        <f t="shared" si="67"/>
        <v>-2.1422647090675797</v>
      </c>
      <c r="R530">
        <f t="shared" si="68"/>
        <v>-1.8446838840468409E-3</v>
      </c>
      <c r="S530">
        <f t="array" ref="S530">+$B$2*SIN(R530*$B$3+$B$4)+0*R530+ SUM($J$2:$J$20*SIN(2*PI()*N530*$I$2:$I$20+$K$2:$K$20))</f>
        <v>-0.61194656039118889</v>
      </c>
      <c r="U530" s="3">
        <f t="shared" si="64"/>
        <v>1923.99999999996</v>
      </c>
      <c r="V530" s="3">
        <f t="shared" si="65"/>
        <v>-0.82467200000000007</v>
      </c>
      <c r="Z530" s="1">
        <v>1924.0417</v>
      </c>
      <c r="AA530" s="2">
        <f t="shared" si="69"/>
        <v>0.8333839999999999</v>
      </c>
      <c r="AB530">
        <v>41.669199999999996</v>
      </c>
      <c r="AE530">
        <v>1923.99999999996</v>
      </c>
      <c r="AF530">
        <v>-0.61194656039118889</v>
      </c>
    </row>
    <row r="531" spans="4:32" x14ac:dyDescent="0.35">
      <c r="D531">
        <v>0.77688000000000001</v>
      </c>
      <c r="M531">
        <f t="shared" si="70"/>
        <v>530</v>
      </c>
      <c r="N531">
        <f t="shared" si="71"/>
        <v>1924.0833333332932</v>
      </c>
      <c r="O531">
        <f t="shared" si="66"/>
        <v>0</v>
      </c>
      <c r="P531">
        <f t="array" ref="P531">+SUM($G$2:$G$18*SIN(2*PI()*(N531)*$B$1/$F$2:$F$18+$H$2:$H$18))</f>
        <v>-0.38722044379412845</v>
      </c>
      <c r="Q531">
        <f t="shared" si="67"/>
        <v>0</v>
      </c>
      <c r="R531">
        <f t="shared" si="68"/>
        <v>-1.8418465002614215E-3</v>
      </c>
      <c r="S531">
        <f t="array" ref="S531">+$B$2*SIN(R531*$B$3+$B$4)+0*R531+ SUM($J$2:$J$20*SIN(2*PI()*N531*$I$2:$I$20+$K$2:$K$20))</f>
        <v>-0.61218055056152942</v>
      </c>
      <c r="U531" s="3">
        <f t="shared" si="64"/>
        <v>1924.0833333332932</v>
      </c>
      <c r="V531" s="3">
        <f t="shared" si="65"/>
        <v>-0.96042400000000006</v>
      </c>
      <c r="Z531" s="1">
        <v>1924.125</v>
      </c>
      <c r="AA531" s="2">
        <f t="shared" si="69"/>
        <v>0.78065799999999996</v>
      </c>
      <c r="AB531">
        <v>39.032899999999998</v>
      </c>
      <c r="AE531">
        <v>1924.0833333332932</v>
      </c>
      <c r="AF531">
        <v>-0.61218055056152942</v>
      </c>
    </row>
    <row r="532" spans="4:32" x14ac:dyDescent="0.35">
      <c r="D532">
        <v>0.8333839999999999</v>
      </c>
      <c r="M532">
        <f t="shared" si="70"/>
        <v>531</v>
      </c>
      <c r="N532">
        <f t="shared" si="71"/>
        <v>1924.1666666666265</v>
      </c>
      <c r="O532">
        <f t="shared" si="66"/>
        <v>0</v>
      </c>
      <c r="P532">
        <f t="array" ref="P532">+SUM($G$2:$G$18*SIN(2*PI()*(N532)*$B$1/$F$2:$F$18+$H$2:$H$18))</f>
        <v>-0.21197192120556499</v>
      </c>
      <c r="Q532">
        <f t="shared" si="67"/>
        <v>0</v>
      </c>
      <c r="R532">
        <f t="shared" si="68"/>
        <v>-1.8390134807721374E-3</v>
      </c>
      <c r="S532">
        <f t="array" ref="S532">+$B$2*SIN(R532*$B$3+$B$4)+0*R532+ SUM($J$2:$J$20*SIN(2*PI()*N532*$I$2:$I$20+$K$2:$K$20))</f>
        <v>-0.61241400663830636</v>
      </c>
      <c r="U532" s="3">
        <f t="shared" si="64"/>
        <v>1924.1666666666265</v>
      </c>
      <c r="V532" s="3">
        <f t="shared" si="65"/>
        <v>-0.980796</v>
      </c>
      <c r="Z532" s="1">
        <v>1924.2083</v>
      </c>
      <c r="AA532" s="2">
        <f t="shared" si="69"/>
        <v>0.52485399999999993</v>
      </c>
      <c r="AB532">
        <v>26.242699999999999</v>
      </c>
      <c r="AE532">
        <v>1924.1666666666265</v>
      </c>
      <c r="AF532">
        <v>-0.61241400663830636</v>
      </c>
    </row>
    <row r="533" spans="4:32" x14ac:dyDescent="0.35">
      <c r="D533">
        <v>0.78065799999999996</v>
      </c>
      <c r="M533">
        <f t="shared" si="70"/>
        <v>532</v>
      </c>
      <c r="N533">
        <f t="shared" si="71"/>
        <v>1924.2499999999598</v>
      </c>
      <c r="O533">
        <f t="shared" si="66"/>
        <v>0</v>
      </c>
      <c r="P533">
        <f t="array" ref="P533">+SUM($G$2:$G$18*SIN(2*PI()*(N533)*$B$1/$F$2:$F$18+$H$2:$H$18))</f>
        <v>0.18553809263784543</v>
      </c>
      <c r="Q533">
        <f t="shared" si="67"/>
        <v>0</v>
      </c>
      <c r="R533">
        <f t="shared" si="68"/>
        <v>-1.8361848188660859E-3</v>
      </c>
      <c r="S533">
        <f t="array" ref="S533">+$B$2*SIN(R533*$B$3+$B$4)+0*R533+ SUM($J$2:$J$20*SIN(2*PI()*N533*$I$2:$I$20+$K$2:$K$20))</f>
        <v>-0.61264692991223535</v>
      </c>
      <c r="U533" s="3">
        <f t="shared" si="64"/>
        <v>1924.2499999999598</v>
      </c>
      <c r="V533" s="3">
        <f t="shared" si="65"/>
        <v>-0.82732200000000011</v>
      </c>
      <c r="Z533" s="1">
        <v>1924.2917</v>
      </c>
      <c r="AA533" s="2">
        <f t="shared" si="69"/>
        <v>0.35827599999999998</v>
      </c>
      <c r="AB533">
        <v>17.913799999999998</v>
      </c>
      <c r="AE533">
        <v>1924.2499999999598</v>
      </c>
      <c r="AF533">
        <v>-0.61264692991223535</v>
      </c>
    </row>
    <row r="534" spans="4:32" x14ac:dyDescent="0.35">
      <c r="D534">
        <v>0.52485399999999993</v>
      </c>
      <c r="M534">
        <f t="shared" si="70"/>
        <v>533</v>
      </c>
      <c r="N534">
        <f t="shared" si="71"/>
        <v>1924.333333333293</v>
      </c>
      <c r="O534">
        <f t="shared" si="66"/>
        <v>0</v>
      </c>
      <c r="P534">
        <f t="array" ref="P534">+SUM($G$2:$G$18*SIN(2*PI()*(N534)*$B$1/$F$2:$F$18+$H$2:$H$18))</f>
        <v>0.34531476990821131</v>
      </c>
      <c r="Q534">
        <f t="shared" si="67"/>
        <v>0</v>
      </c>
      <c r="R534">
        <f t="shared" si="68"/>
        <v>-1.8333605078406899E-3</v>
      </c>
      <c r="S534">
        <f t="array" ref="S534">+$B$2*SIN(R534*$B$3+$B$4)+0*R534+ SUM($J$2:$J$20*SIN(2*PI()*N534*$I$2:$I$20+$K$2:$K$20))</f>
        <v>-0.61287932167095938</v>
      </c>
      <c r="U534" s="3">
        <f t="shared" si="64"/>
        <v>1924.333333333293</v>
      </c>
      <c r="V534" s="3">
        <f t="shared" si="65"/>
        <v>-0.90307800000000005</v>
      </c>
      <c r="Z534" s="1">
        <v>1924.375</v>
      </c>
      <c r="AA534" s="2">
        <f t="shared" si="69"/>
        <v>0.15323999999999999</v>
      </c>
      <c r="AB534">
        <v>7.6619999999999999</v>
      </c>
      <c r="AE534">
        <v>1924.333333333293</v>
      </c>
      <c r="AF534">
        <v>-0.61287932167095938</v>
      </c>
    </row>
    <row r="535" spans="4:32" x14ac:dyDescent="0.35">
      <c r="D535">
        <v>0.35827599999999998</v>
      </c>
      <c r="M535">
        <f t="shared" si="70"/>
        <v>534</v>
      </c>
      <c r="N535">
        <f t="shared" si="71"/>
        <v>1924.4166666666263</v>
      </c>
      <c r="O535">
        <f t="shared" si="66"/>
        <v>0</v>
      </c>
      <c r="P535">
        <f t="array" ref="P535">+SUM($G$2:$G$18*SIN(2*PI()*(N535)*$B$1/$F$2:$F$18+$H$2:$H$18))</f>
        <v>0.36921873081082079</v>
      </c>
      <c r="Q535">
        <f t="shared" si="67"/>
        <v>0</v>
      </c>
      <c r="R535">
        <f t="shared" si="68"/>
        <v>-1.8305405410036818E-3</v>
      </c>
      <c r="S535">
        <f t="array" ref="S535">+$B$2*SIN(R535*$B$3+$B$4)+0*R535+ SUM($J$2:$J$20*SIN(2*PI()*N535*$I$2:$I$20+$K$2:$K$20))</f>
        <v>-0.61311118319905378</v>
      </c>
      <c r="U535" s="3">
        <f t="shared" si="64"/>
        <v>1924.4166666666263</v>
      </c>
      <c r="V535" s="3">
        <f t="shared" si="65"/>
        <v>-0.84653</v>
      </c>
      <c r="Z535" s="1">
        <v>1924.4583</v>
      </c>
      <c r="AA535" s="2">
        <f t="shared" si="69"/>
        <v>-0.20410599999999998</v>
      </c>
      <c r="AB535">
        <v>-10.205299999999999</v>
      </c>
      <c r="AE535">
        <v>1924.4166666666263</v>
      </c>
      <c r="AF535">
        <v>-0.61311118319905378</v>
      </c>
    </row>
    <row r="536" spans="4:32" x14ac:dyDescent="0.35">
      <c r="D536">
        <v>0.15323999999999999</v>
      </c>
      <c r="M536">
        <f t="shared" si="70"/>
        <v>535</v>
      </c>
      <c r="N536">
        <f t="shared" si="71"/>
        <v>1924.4999999999595</v>
      </c>
      <c r="O536">
        <f t="shared" si="66"/>
        <v>0</v>
      </c>
      <c r="P536">
        <f t="array" ref="P536">+SUM($G$2:$G$18*SIN(2*PI()*(N536)*$B$1/$F$2:$F$18+$H$2:$H$18))</f>
        <v>0.25246458573276387</v>
      </c>
      <c r="Q536">
        <f t="shared" si="67"/>
        <v>0</v>
      </c>
      <c r="R536">
        <f t="shared" si="68"/>
        <v>-1.8277249116730877E-3</v>
      </c>
      <c r="S536">
        <f t="array" ref="S536">+$B$2*SIN(R536*$B$3+$B$4)+0*R536+ SUM($J$2:$J$20*SIN(2*PI()*N536*$I$2:$I$20+$K$2:$K$20))</f>
        <v>-0.61334251577803289</v>
      </c>
      <c r="U536" s="3">
        <f t="shared" si="64"/>
        <v>1924.4999999999595</v>
      </c>
      <c r="V536" s="3">
        <f t="shared" si="65"/>
        <v>-0.8853660000000001</v>
      </c>
      <c r="Z536" s="1">
        <v>1924.5417</v>
      </c>
      <c r="AA536" s="2">
        <f t="shared" si="69"/>
        <v>-0.31838</v>
      </c>
      <c r="AB536">
        <v>-15.919</v>
      </c>
      <c r="AE536">
        <v>1924.4999999999595</v>
      </c>
      <c r="AF536">
        <v>-0.61334251577803289</v>
      </c>
    </row>
    <row r="537" spans="4:32" x14ac:dyDescent="0.35">
      <c r="D537">
        <v>-0.20410599999999998</v>
      </c>
      <c r="M537">
        <f t="shared" si="70"/>
        <v>536</v>
      </c>
      <c r="N537">
        <f t="shared" si="71"/>
        <v>1924.5833333332928</v>
      </c>
      <c r="O537">
        <f t="shared" si="66"/>
        <v>0</v>
      </c>
      <c r="P537">
        <f t="array" ref="P537">+SUM($G$2:$G$18*SIN(2*PI()*(N537)*$B$1/$F$2:$F$18+$H$2:$H$18))</f>
        <v>0.12763733640830416</v>
      </c>
      <c r="Q537">
        <f t="shared" si="67"/>
        <v>0</v>
      </c>
      <c r="R537">
        <f t="shared" si="68"/>
        <v>-1.8249136131772113E-3</v>
      </c>
      <c r="S537">
        <f t="array" ref="S537">+$B$2*SIN(R537*$B$3+$B$4)+0*R537+ SUM($J$2:$J$20*SIN(2*PI()*N537*$I$2:$I$20+$K$2:$K$20))</f>
        <v>-0.61357332068635673</v>
      </c>
      <c r="U537" s="3">
        <f t="shared" si="64"/>
        <v>1924.5833333332928</v>
      </c>
      <c r="V537" s="3">
        <f t="shared" si="65"/>
        <v>-0.8272799999999999</v>
      </c>
      <c r="Z537" s="1">
        <v>1924.625</v>
      </c>
      <c r="AA537" s="2">
        <f t="shared" si="69"/>
        <v>-0.11419</v>
      </c>
      <c r="AB537">
        <v>-5.7095000000000002</v>
      </c>
      <c r="AE537">
        <v>1924.5833333332928</v>
      </c>
      <c r="AF537">
        <v>-0.61357332068635673</v>
      </c>
    </row>
    <row r="538" spans="4:32" x14ac:dyDescent="0.35">
      <c r="D538">
        <v>-0.31838</v>
      </c>
      <c r="M538">
        <f t="shared" si="70"/>
        <v>537</v>
      </c>
      <c r="N538">
        <f t="shared" si="71"/>
        <v>1924.666666666626</v>
      </c>
      <c r="O538">
        <f t="shared" si="66"/>
        <v>0</v>
      </c>
      <c r="P538">
        <f t="array" ref="P538">+SUM($G$2:$G$18*SIN(2*PI()*(N538)*$B$1/$F$2:$F$18+$H$2:$H$18))</f>
        <v>0.13438219928143899</v>
      </c>
      <c r="Q538">
        <f t="shared" si="67"/>
        <v>0</v>
      </c>
      <c r="R538">
        <f t="shared" si="68"/>
        <v>-1.8221066388546185E-3</v>
      </c>
      <c r="S538">
        <f t="array" ref="S538">+$B$2*SIN(R538*$B$3+$B$4)+0*R538+ SUM($J$2:$J$20*SIN(2*PI()*N538*$I$2:$I$20+$K$2:$K$20))</f>
        <v>-0.61380359919943539</v>
      </c>
      <c r="U538" s="3">
        <f t="shared" si="64"/>
        <v>1924.666666666626</v>
      </c>
      <c r="V538" s="3">
        <f t="shared" si="65"/>
        <v>-0.73227399999999998</v>
      </c>
      <c r="Z538" s="1">
        <v>1924.7083</v>
      </c>
      <c r="AA538" s="2">
        <f t="shared" si="69"/>
        <v>-0.23153799999999999</v>
      </c>
      <c r="AB538">
        <v>-11.5769</v>
      </c>
      <c r="AE538">
        <v>1924.666666666626</v>
      </c>
      <c r="AF538">
        <v>-0.61380359919943539</v>
      </c>
    </row>
    <row r="539" spans="4:32" x14ac:dyDescent="0.35">
      <c r="D539">
        <v>-0.11419</v>
      </c>
      <c r="M539">
        <f t="shared" si="70"/>
        <v>538</v>
      </c>
      <c r="N539">
        <f t="shared" si="71"/>
        <v>1924.7499999999593</v>
      </c>
      <c r="O539">
        <f t="shared" si="66"/>
        <v>0</v>
      </c>
      <c r="P539">
        <f t="array" ref="P539">+SUM($G$2:$G$18*SIN(2*PI()*(N539)*$B$1/$F$2:$F$18+$H$2:$H$18))</f>
        <v>-8.5028382557749305E-2</v>
      </c>
      <c r="Q539">
        <f t="shared" si="67"/>
        <v>0</v>
      </c>
      <c r="R539">
        <f t="shared" si="68"/>
        <v>-1.8193039820541216E-3</v>
      </c>
      <c r="S539">
        <f t="array" ref="S539">+$B$2*SIN(R539*$B$3+$B$4)+0*R539+ SUM($J$2:$J$20*SIN(2*PI()*N539*$I$2:$I$20+$K$2:$K$20))</f>
        <v>-0.61403335258963732</v>
      </c>
      <c r="U539" s="3">
        <f t="shared" si="64"/>
        <v>1924.7499999999593</v>
      </c>
      <c r="V539" s="3">
        <f t="shared" si="65"/>
        <v>-0.654192</v>
      </c>
      <c r="Z539" s="1">
        <v>1924.7917</v>
      </c>
      <c r="AA539" s="2">
        <f t="shared" si="69"/>
        <v>-0.205814</v>
      </c>
      <c r="AB539">
        <v>-10.290699999999999</v>
      </c>
      <c r="AE539">
        <v>1924.7499999999593</v>
      </c>
      <c r="AF539">
        <v>-0.61403335258963732</v>
      </c>
    </row>
    <row r="540" spans="4:32" x14ac:dyDescent="0.35">
      <c r="D540">
        <v>-0.23153799999999999</v>
      </c>
      <c r="M540">
        <f t="shared" si="70"/>
        <v>539</v>
      </c>
      <c r="N540">
        <f t="shared" si="71"/>
        <v>1924.8333333332926</v>
      </c>
      <c r="O540">
        <f t="shared" si="66"/>
        <v>0</v>
      </c>
      <c r="P540">
        <f t="array" ref="P540">+SUM($G$2:$G$18*SIN(2*PI()*(N540)*$B$1/$F$2:$F$18+$H$2:$H$18))</f>
        <v>-0.355536253778719</v>
      </c>
      <c r="Q540">
        <f t="shared" si="67"/>
        <v>0</v>
      </c>
      <c r="R540">
        <f t="shared" si="68"/>
        <v>-1.8165056361347629E-3</v>
      </c>
      <c r="S540">
        <f t="array" ref="S540">+$B$2*SIN(R540*$B$3+$B$4)+0*R540+ SUM($J$2:$J$20*SIN(2*PI()*N540*$I$2:$I$20+$K$2:$K$20))</f>
        <v>-0.61426258212629437</v>
      </c>
      <c r="U540" s="3">
        <f t="shared" si="64"/>
        <v>1924.8333333332926</v>
      </c>
      <c r="V540" s="3">
        <f t="shared" si="65"/>
        <v>-0.74534000000000011</v>
      </c>
      <c r="Z540" s="1">
        <v>1924.875</v>
      </c>
      <c r="AA540" s="2">
        <f t="shared" si="69"/>
        <v>-0.346244</v>
      </c>
      <c r="AB540">
        <v>-17.312200000000001</v>
      </c>
      <c r="AE540">
        <v>1924.8333333332926</v>
      </c>
      <c r="AF540">
        <v>-0.61426258212629437</v>
      </c>
    </row>
    <row r="541" spans="4:32" x14ac:dyDescent="0.35">
      <c r="D541">
        <v>-0.205814</v>
      </c>
      <c r="M541">
        <f t="shared" si="70"/>
        <v>540</v>
      </c>
      <c r="N541">
        <f t="shared" si="71"/>
        <v>1924.9166666666258</v>
      </c>
      <c r="O541">
        <f t="shared" si="66"/>
        <v>0</v>
      </c>
      <c r="P541">
        <f t="array" ref="P541">+SUM($G$2:$G$18*SIN(2*PI()*(N541)*$B$1/$F$2:$F$18+$H$2:$H$18))</f>
        <v>-0.14782004836187213</v>
      </c>
      <c r="Q541">
        <f t="shared" si="67"/>
        <v>0</v>
      </c>
      <c r="R541">
        <f t="shared" si="68"/>
        <v>-1.8137115944657997E-3</v>
      </c>
      <c r="S541">
        <f t="array" ref="S541">+$B$2*SIN(R541*$B$3+$B$4)+0*R541+ SUM($J$2:$J$20*SIN(2*PI()*N541*$I$2:$I$20+$K$2:$K$20))</f>
        <v>-0.61449128907570749</v>
      </c>
      <c r="U541" s="3">
        <f t="shared" si="64"/>
        <v>1924.9166666666258</v>
      </c>
      <c r="V541" s="3">
        <f t="shared" si="65"/>
        <v>-0.64264399999999999</v>
      </c>
      <c r="Z541" s="1">
        <v>1924.9583</v>
      </c>
      <c r="AA541" s="2">
        <f t="shared" si="69"/>
        <v>-0.11436600000000001</v>
      </c>
      <c r="AB541">
        <v>-5.7183000000000002</v>
      </c>
      <c r="AE541">
        <v>1924.9166666666258</v>
      </c>
      <c r="AF541">
        <v>-0.61449128907570749</v>
      </c>
    </row>
    <row r="542" spans="4:32" x14ac:dyDescent="0.35">
      <c r="D542">
        <v>-0.346244</v>
      </c>
      <c r="M542">
        <f t="shared" si="70"/>
        <v>541</v>
      </c>
      <c r="N542">
        <f t="shared" si="71"/>
        <v>1924.9999999999591</v>
      </c>
      <c r="O542">
        <f t="shared" si="66"/>
        <v>36.637715116165623</v>
      </c>
      <c r="P542">
        <f t="array" ref="P542">+SUM($G$2:$G$18*SIN(2*PI()*(N542)*$B$1/$F$2:$F$18+$H$2:$H$18))</f>
        <v>0.24297940754262973</v>
      </c>
      <c r="Q542">
        <f t="shared" si="67"/>
        <v>8.9022103126415733</v>
      </c>
      <c r="R542">
        <f t="shared" si="68"/>
        <v>1.1881932201114134E-2</v>
      </c>
      <c r="S542">
        <f t="array" ref="S542">+$B$2*SIN(R542*$B$3+$B$4)+0*R542+ SUM($J$2:$J$20*SIN(2*PI()*N542*$I$2:$I$20+$K$2:$K$20))</f>
        <v>0.28698114013904225</v>
      </c>
      <c r="U542" s="3">
        <f t="shared" si="64"/>
        <v>1924.9999999999591</v>
      </c>
      <c r="V542" s="3">
        <f t="shared" si="65"/>
        <v>-0.28148800000000002</v>
      </c>
      <c r="Z542" s="1">
        <v>1925.0417</v>
      </c>
      <c r="AA542" s="2">
        <f t="shared" si="69"/>
        <v>-0.120952</v>
      </c>
      <c r="AB542">
        <v>-6.0476000000000001</v>
      </c>
      <c r="AE542">
        <v>1924.9999999999591</v>
      </c>
      <c r="AF542">
        <v>0.28698114013904225</v>
      </c>
    </row>
    <row r="543" spans="4:32" x14ac:dyDescent="0.35">
      <c r="D543">
        <v>-0.11436600000000001</v>
      </c>
      <c r="M543">
        <f t="shared" si="70"/>
        <v>542</v>
      </c>
      <c r="N543">
        <f t="shared" si="71"/>
        <v>1925.0833333332923</v>
      </c>
      <c r="O543">
        <f t="shared" si="66"/>
        <v>0</v>
      </c>
      <c r="P543">
        <f t="array" ref="P543">+SUM($G$2:$G$18*SIN(2*PI()*(N543)*$B$1/$F$2:$F$18+$H$2:$H$18))</f>
        <v>0.44261497547330414</v>
      </c>
      <c r="Q543">
        <f t="shared" si="67"/>
        <v>0</v>
      </c>
      <c r="R543">
        <f t="shared" si="68"/>
        <v>1.186365611486518E-2</v>
      </c>
      <c r="S543">
        <f t="array" ref="S543">+$B$2*SIN(R543*$B$3+$B$4)+0*R543+ SUM($J$2:$J$20*SIN(2*PI()*N543*$I$2:$I$20+$K$2:$K$20))</f>
        <v>0.28458577781743405</v>
      </c>
      <c r="U543" s="3">
        <f t="shared" si="64"/>
        <v>1925.0833333332923</v>
      </c>
      <c r="V543" s="3">
        <f t="shared" si="65"/>
        <v>-8.0332000000000015E-2</v>
      </c>
      <c r="Z543" s="1">
        <v>1925.125</v>
      </c>
      <c r="AA543" s="2">
        <f t="shared" si="69"/>
        <v>-0.13522999999999999</v>
      </c>
      <c r="AB543">
        <v>-6.7614999999999998</v>
      </c>
      <c r="AE543">
        <v>1925.0833333332923</v>
      </c>
      <c r="AF543">
        <v>0.28458577781743405</v>
      </c>
    </row>
    <row r="544" spans="4:32" x14ac:dyDescent="0.35">
      <c r="D544">
        <v>-0.120952</v>
      </c>
      <c r="M544">
        <f t="shared" si="70"/>
        <v>543</v>
      </c>
      <c r="N544">
        <f t="shared" si="71"/>
        <v>1925.1666666666256</v>
      </c>
      <c r="O544">
        <f t="shared" si="66"/>
        <v>0</v>
      </c>
      <c r="P544">
        <f t="array" ref="P544">+SUM($G$2:$G$18*SIN(2*PI()*(N544)*$B$1/$F$2:$F$18+$H$2:$H$18))</f>
        <v>0.40071196376205553</v>
      </c>
      <c r="Q544">
        <f t="shared" si="67"/>
        <v>0</v>
      </c>
      <c r="R544">
        <f t="shared" si="68"/>
        <v>1.1845408139812531E-2</v>
      </c>
      <c r="S544">
        <f t="array" ref="S544">+$B$2*SIN(R544*$B$3+$B$4)+0*R544+ SUM($J$2:$J$20*SIN(2*PI()*N544*$I$2:$I$20+$K$2:$K$20))</f>
        <v>0.28219074041364411</v>
      </c>
      <c r="U544" s="3">
        <f t="shared" si="64"/>
        <v>1925.1666666666256</v>
      </c>
      <c r="V544" s="3">
        <f t="shared" si="65"/>
        <v>0.49928199999999995</v>
      </c>
      <c r="Z544" s="1">
        <v>1925.2083</v>
      </c>
      <c r="AA544" s="2">
        <f t="shared" si="69"/>
        <v>-1.2587999999999998E-2</v>
      </c>
      <c r="AB544">
        <v>-0.62939999999999996</v>
      </c>
      <c r="AE544">
        <v>1925.1666666666256</v>
      </c>
      <c r="AF544">
        <v>0.28219074041364411</v>
      </c>
    </row>
    <row r="545" spans="4:32" x14ac:dyDescent="0.35">
      <c r="D545">
        <v>-0.13522999999999999</v>
      </c>
      <c r="M545">
        <f t="shared" si="70"/>
        <v>544</v>
      </c>
      <c r="N545">
        <f t="shared" si="71"/>
        <v>1925.2499999999588</v>
      </c>
      <c r="O545">
        <f t="shared" si="66"/>
        <v>0</v>
      </c>
      <c r="P545">
        <f t="array" ref="P545">+SUM($G$2:$G$18*SIN(2*PI()*(N545)*$B$1/$F$2:$F$18+$H$2:$H$18))</f>
        <v>8.8547548580996768E-2</v>
      </c>
      <c r="Q545">
        <f t="shared" si="67"/>
        <v>0</v>
      </c>
      <c r="R545">
        <f t="shared" si="68"/>
        <v>1.1827188232717206E-2</v>
      </c>
      <c r="S545">
        <f t="array" ref="S545">+$B$2*SIN(R545*$B$3+$B$4)+0*R545+ SUM($J$2:$J$20*SIN(2*PI()*N545*$I$2:$I$20+$K$2:$K$20))</f>
        <v>0.27979606594065726</v>
      </c>
      <c r="U545" s="3">
        <f t="shared" si="64"/>
        <v>1925.2499999999588</v>
      </c>
      <c r="V545" s="3">
        <f t="shared" si="65"/>
        <v>0.30043600000000004</v>
      </c>
      <c r="Z545" s="1">
        <v>1925.2917</v>
      </c>
      <c r="AA545" s="2">
        <f t="shared" si="69"/>
        <v>0.26390000000000002</v>
      </c>
      <c r="AB545">
        <v>13.195</v>
      </c>
      <c r="AE545">
        <v>1925.2499999999588</v>
      </c>
      <c r="AF545">
        <v>0.27979606594065726</v>
      </c>
    </row>
    <row r="546" spans="4:32" x14ac:dyDescent="0.35">
      <c r="D546">
        <v>-1.2587999999999998E-2</v>
      </c>
      <c r="M546">
        <f t="shared" si="70"/>
        <v>545</v>
      </c>
      <c r="N546">
        <f t="shared" si="71"/>
        <v>1925.3333333332921</v>
      </c>
      <c r="O546">
        <f t="shared" si="66"/>
        <v>0</v>
      </c>
      <c r="P546">
        <f t="array" ref="P546">+SUM($G$2:$G$18*SIN(2*PI()*(N546)*$B$1/$F$2:$F$18+$H$2:$H$18))</f>
        <v>-6.3441486855232043E-2</v>
      </c>
      <c r="Q546">
        <f t="shared" si="67"/>
        <v>0</v>
      </c>
      <c r="R546">
        <f t="shared" si="68"/>
        <v>1.1808996350406728E-2</v>
      </c>
      <c r="S546">
        <f t="array" ref="S546">+$B$2*SIN(R546*$B$3+$B$4)+0*R546+ SUM($J$2:$J$20*SIN(2*PI()*N546*$I$2:$I$20+$K$2:$K$20))</f>
        <v>0.27740179214370536</v>
      </c>
      <c r="U546" s="3">
        <f t="shared" si="64"/>
        <v>1925.3333333332921</v>
      </c>
      <c r="V546" s="3">
        <f t="shared" si="65"/>
        <v>0.31543599999999999</v>
      </c>
      <c r="Z546" s="1">
        <v>1925.375</v>
      </c>
      <c r="AA546" s="2">
        <f t="shared" si="69"/>
        <v>0.42654000000000003</v>
      </c>
      <c r="AB546">
        <v>21.327000000000002</v>
      </c>
      <c r="AE546">
        <v>1925.3333333332921</v>
      </c>
      <c r="AF546">
        <v>0.27740179214370536</v>
      </c>
    </row>
    <row r="547" spans="4:32" x14ac:dyDescent="0.35">
      <c r="D547">
        <v>0.26390000000000002</v>
      </c>
      <c r="M547">
        <f t="shared" si="70"/>
        <v>546</v>
      </c>
      <c r="N547">
        <f t="shared" si="71"/>
        <v>1925.4166666666254</v>
      </c>
      <c r="O547">
        <f t="shared" si="66"/>
        <v>0</v>
      </c>
      <c r="P547">
        <f t="array" ref="P547">+SUM($G$2:$G$18*SIN(2*PI()*(N547)*$B$1/$F$2:$F$18+$H$2:$H$18))</f>
        <v>3.7339021403126268E-2</v>
      </c>
      <c r="Q547">
        <f t="shared" si="67"/>
        <v>0</v>
      </c>
      <c r="R547">
        <f t="shared" si="68"/>
        <v>1.1790832449775031E-2</v>
      </c>
      <c r="S547">
        <f t="array" ref="S547">+$B$2*SIN(R547*$B$3+$B$4)+0*R547+ SUM($J$2:$J$20*SIN(2*PI()*N547*$I$2:$I$20+$K$2:$K$20))</f>
        <v>0.27500795650117194</v>
      </c>
      <c r="U547" s="3">
        <f t="shared" si="64"/>
        <v>1925.4166666666254</v>
      </c>
      <c r="V547" s="3">
        <f t="shared" si="65"/>
        <v>0.34581600000000001</v>
      </c>
      <c r="Z547" s="1">
        <v>1925.4583</v>
      </c>
      <c r="AA547" s="2">
        <f t="shared" si="69"/>
        <v>0.51841199999999998</v>
      </c>
      <c r="AB547">
        <v>25.9206</v>
      </c>
      <c r="AE547">
        <v>1925.4166666666254</v>
      </c>
      <c r="AF547">
        <v>0.27500795650117194</v>
      </c>
    </row>
    <row r="548" spans="4:32" x14ac:dyDescent="0.35">
      <c r="D548">
        <v>0.42654000000000003</v>
      </c>
      <c r="M548">
        <f t="shared" si="70"/>
        <v>547</v>
      </c>
      <c r="N548">
        <f t="shared" si="71"/>
        <v>1925.4999999999586</v>
      </c>
      <c r="O548">
        <f t="shared" si="66"/>
        <v>0</v>
      </c>
      <c r="P548">
        <f t="array" ref="P548">+SUM($G$2:$G$18*SIN(2*PI()*(N548)*$B$1/$F$2:$F$18+$H$2:$H$18))</f>
        <v>-0.18493789529631272</v>
      </c>
      <c r="Q548">
        <f t="shared" si="67"/>
        <v>0</v>
      </c>
      <c r="R548">
        <f t="shared" si="68"/>
        <v>1.1772696487782348E-2</v>
      </c>
      <c r="S548">
        <f t="array" ref="S548">+$B$2*SIN(R548*$B$3+$B$4)+0*R548+ SUM($J$2:$J$20*SIN(2*PI()*N548*$I$2:$I$20+$K$2:$K$20))</f>
        <v>0.27261459622550488</v>
      </c>
      <c r="U548" s="3">
        <f t="shared" si="64"/>
        <v>1925.4999999999586</v>
      </c>
      <c r="V548" s="3">
        <f t="shared" si="65"/>
        <v>0.20388999999999999</v>
      </c>
      <c r="Z548" s="1">
        <v>1925.5417</v>
      </c>
      <c r="AA548" s="2">
        <f t="shared" si="69"/>
        <v>0.70412600000000003</v>
      </c>
      <c r="AB548">
        <v>35.206299999999999</v>
      </c>
      <c r="AE548">
        <v>1925.4999999999586</v>
      </c>
      <c r="AF548">
        <v>0.27261459622550488</v>
      </c>
    </row>
    <row r="549" spans="4:32" x14ac:dyDescent="0.35">
      <c r="D549">
        <v>0.51841199999999998</v>
      </c>
      <c r="M549">
        <f t="shared" si="70"/>
        <v>548</v>
      </c>
      <c r="N549">
        <f t="shared" si="71"/>
        <v>1925.5833333332919</v>
      </c>
      <c r="O549">
        <f t="shared" si="66"/>
        <v>0</v>
      </c>
      <c r="P549">
        <f t="array" ref="P549">+SUM($G$2:$G$18*SIN(2*PI()*(N549)*$B$1/$F$2:$F$18+$H$2:$H$18))</f>
        <v>-0.46000438277315309</v>
      </c>
      <c r="Q549">
        <f t="shared" si="67"/>
        <v>0</v>
      </c>
      <c r="R549">
        <f t="shared" si="68"/>
        <v>1.1754588421455115E-2</v>
      </c>
      <c r="S549">
        <f t="array" ref="S549">+$B$2*SIN(R549*$B$3+$B$4)+0*R549+ SUM($J$2:$J$20*SIN(2*PI()*N549*$I$2:$I$20+$K$2:$K$20))</f>
        <v>0.27022174826412543</v>
      </c>
      <c r="U549" s="3">
        <f t="shared" si="64"/>
        <v>1925.5833333332919</v>
      </c>
      <c r="V549" s="3">
        <f t="shared" si="65"/>
        <v>0.47888399999999998</v>
      </c>
      <c r="Z549" s="1">
        <v>1925.625</v>
      </c>
      <c r="AA549" s="2">
        <f t="shared" si="69"/>
        <v>0.54214799999999996</v>
      </c>
      <c r="AB549">
        <v>27.107399999999998</v>
      </c>
      <c r="AE549">
        <v>1925.5833333332919</v>
      </c>
      <c r="AF549">
        <v>0.27022174826412543</v>
      </c>
    </row>
    <row r="550" spans="4:32" x14ac:dyDescent="0.35">
      <c r="D550">
        <v>0.70412600000000003</v>
      </c>
      <c r="M550">
        <f t="shared" si="70"/>
        <v>549</v>
      </c>
      <c r="N550">
        <f t="shared" si="71"/>
        <v>1925.6666666666251</v>
      </c>
      <c r="O550">
        <f t="shared" si="66"/>
        <v>0</v>
      </c>
      <c r="P550">
        <f t="array" ref="P550">+SUM($G$2:$G$18*SIN(2*PI()*(N550)*$B$1/$F$2:$F$18+$H$2:$H$18))</f>
        <v>-0.19159676389107211</v>
      </c>
      <c r="Q550">
        <f t="shared" si="67"/>
        <v>0</v>
      </c>
      <c r="R550">
        <f t="shared" si="68"/>
        <v>1.1736508207885868E-2</v>
      </c>
      <c r="S550">
        <f t="array" ref="S550">+$B$2*SIN(R550*$B$3+$B$4)+0*R550+ SUM($J$2:$J$20*SIN(2*PI()*N550*$I$2:$I$20+$K$2:$K$20))</f>
        <v>0.26782944930034774</v>
      </c>
      <c r="U550" s="3">
        <f t="shared" si="64"/>
        <v>1925.6666666666251</v>
      </c>
      <c r="V550" s="3">
        <f t="shared" si="65"/>
        <v>0.59079999999999999</v>
      </c>
      <c r="Z550" s="1">
        <v>1925.7083</v>
      </c>
      <c r="AA550" s="2">
        <f t="shared" si="69"/>
        <v>0.42017000000000004</v>
      </c>
      <c r="AB550">
        <v>21.008500000000002</v>
      </c>
      <c r="AE550">
        <v>1925.6666666666251</v>
      </c>
      <c r="AF550">
        <v>0.26782944930034774</v>
      </c>
    </row>
    <row r="551" spans="4:32" x14ac:dyDescent="0.35">
      <c r="D551">
        <v>0.54214799999999996</v>
      </c>
      <c r="M551">
        <f t="shared" si="70"/>
        <v>550</v>
      </c>
      <c r="N551">
        <f t="shared" si="71"/>
        <v>1925.7499999999584</v>
      </c>
      <c r="O551">
        <f t="shared" si="66"/>
        <v>0</v>
      </c>
      <c r="P551">
        <f t="array" ref="P551">+SUM($G$2:$G$18*SIN(2*PI()*(N551)*$B$1/$F$2:$F$18+$H$2:$H$18))</f>
        <v>0.26925569345978945</v>
      </c>
      <c r="Q551">
        <f t="shared" si="67"/>
        <v>0</v>
      </c>
      <c r="R551">
        <f t="shared" si="68"/>
        <v>1.1718455804233139E-2</v>
      </c>
      <c r="S551">
        <f t="array" ref="S551">+$B$2*SIN(R551*$B$3+$B$4)+0*R551+ SUM($J$2:$J$20*SIN(2*PI()*N551*$I$2:$I$20+$K$2:$K$20))</f>
        <v>0.26543773575429469</v>
      </c>
      <c r="U551" s="3">
        <f t="shared" si="64"/>
        <v>1925.7499999999584</v>
      </c>
      <c r="V551" s="3">
        <f t="shared" si="65"/>
        <v>0.59040799999999993</v>
      </c>
      <c r="Z551" s="1">
        <v>1925.7917</v>
      </c>
      <c r="AA551" s="2">
        <f t="shared" si="69"/>
        <v>0.48280400000000001</v>
      </c>
      <c r="AB551">
        <v>24.1402</v>
      </c>
      <c r="AE551">
        <v>1925.7499999999584</v>
      </c>
      <c r="AF551">
        <v>0.26543773575429469</v>
      </c>
    </row>
    <row r="552" spans="4:32" x14ac:dyDescent="0.35">
      <c r="D552">
        <v>0.42017000000000004</v>
      </c>
      <c r="M552">
        <f t="shared" si="70"/>
        <v>551</v>
      </c>
      <c r="N552">
        <f t="shared" si="71"/>
        <v>1925.8333333332916</v>
      </c>
      <c r="O552">
        <f t="shared" si="66"/>
        <v>0</v>
      </c>
      <c r="P552">
        <f t="array" ref="P552">+SUM($G$2:$G$18*SIN(2*PI()*(N552)*$B$1/$F$2:$F$18+$H$2:$H$18))</f>
        <v>0.44254905417619472</v>
      </c>
      <c r="Q552">
        <f t="shared" si="67"/>
        <v>0</v>
      </c>
      <c r="R552">
        <f t="shared" si="68"/>
        <v>1.1700431167721358E-2</v>
      </c>
      <c r="S552">
        <f t="array" ref="S552">+$B$2*SIN(R552*$B$3+$B$4)+0*R552+ SUM($J$2:$J$20*SIN(2*PI()*N552*$I$2:$I$20+$K$2:$K$20))</f>
        <v>0.26304664378382231</v>
      </c>
      <c r="U552" s="3">
        <f t="shared" si="64"/>
        <v>1925.8333333332916</v>
      </c>
      <c r="V552" s="3">
        <f t="shared" si="65"/>
        <v>0.57616999999999996</v>
      </c>
      <c r="Z552" s="1">
        <v>1925.875</v>
      </c>
      <c r="AA552" s="2">
        <f t="shared" si="69"/>
        <v>0.494668</v>
      </c>
      <c r="AB552">
        <v>24.7334</v>
      </c>
      <c r="AE552">
        <v>1925.8333333332916</v>
      </c>
      <c r="AF552">
        <v>0.26304664378382231</v>
      </c>
    </row>
    <row r="553" spans="4:32" x14ac:dyDescent="0.35">
      <c r="D553">
        <v>0.48280400000000001</v>
      </c>
      <c r="M553">
        <f t="shared" si="70"/>
        <v>552</v>
      </c>
      <c r="N553">
        <f t="shared" si="71"/>
        <v>1925.9166666666249</v>
      </c>
      <c r="O553">
        <f t="shared" si="66"/>
        <v>0</v>
      </c>
      <c r="P553">
        <f t="array" ref="P553">+SUM($G$2:$G$18*SIN(2*PI()*(N553)*$B$1/$F$2:$F$18+$H$2:$H$18))</f>
        <v>0.15595378760749548</v>
      </c>
      <c r="Q553">
        <f t="shared" si="67"/>
        <v>0</v>
      </c>
      <c r="R553">
        <f t="shared" si="68"/>
        <v>1.1682434255640748E-2</v>
      </c>
      <c r="S553">
        <f t="array" ref="S553">+$B$2*SIN(R553*$B$3+$B$4)+0*R553+ SUM($J$2:$J$20*SIN(2*PI()*N553*$I$2:$I$20+$K$2:$K$20))</f>
        <v>0.26065620928544259</v>
      </c>
      <c r="U553" s="3">
        <f t="shared" si="64"/>
        <v>1925.9166666666249</v>
      </c>
      <c r="V553" s="3">
        <f t="shared" si="65"/>
        <v>0.50654399999999999</v>
      </c>
      <c r="Z553" s="1">
        <v>1925.9583</v>
      </c>
      <c r="AA553" s="2">
        <f t="shared" si="69"/>
        <v>0.70038</v>
      </c>
      <c r="AB553">
        <v>35.018999999999998</v>
      </c>
      <c r="AE553">
        <v>1925.9166666666249</v>
      </c>
      <c r="AF553">
        <v>0.26065620928544259</v>
      </c>
    </row>
    <row r="554" spans="4:32" x14ac:dyDescent="0.35">
      <c r="D554">
        <v>0.494668</v>
      </c>
      <c r="M554">
        <f t="shared" si="70"/>
        <v>553</v>
      </c>
      <c r="N554">
        <f t="shared" si="71"/>
        <v>1925.9999999999582</v>
      </c>
      <c r="O554">
        <f t="shared" si="66"/>
        <v>36.637715116165623</v>
      </c>
      <c r="P554">
        <f t="array" ref="P554">+SUM($G$2:$G$18*SIN(2*PI()*(N554)*$B$1/$F$2:$F$18+$H$2:$H$18))</f>
        <v>-0.33883344903830709</v>
      </c>
      <c r="Q554">
        <f t="shared" si="67"/>
        <v>-12.414083377693318</v>
      </c>
      <c r="R554">
        <f t="shared" si="68"/>
        <v>-7.430144729381619E-3</v>
      </c>
      <c r="S554">
        <f t="array" ref="S554">+$B$2*SIN(R554*$B$3+$B$4)+0*R554+ SUM($J$2:$J$20*SIN(2*PI()*N554*$I$2:$I$20+$K$2:$K$20))</f>
        <v>7.6661210434259663E-2</v>
      </c>
      <c r="U554" s="3">
        <f t="shared" si="64"/>
        <v>1925.9999999999582</v>
      </c>
      <c r="V554" s="3">
        <f t="shared" si="65"/>
        <v>0.36614800000000003</v>
      </c>
      <c r="Z554" s="1">
        <v>1926.0417</v>
      </c>
      <c r="AA554" s="2">
        <f t="shared" si="69"/>
        <v>0.67377799999999999</v>
      </c>
      <c r="AB554">
        <v>33.688899999999997</v>
      </c>
      <c r="AE554">
        <v>1925.9999999999582</v>
      </c>
      <c r="AF554">
        <v>7.6661210434259663E-2</v>
      </c>
    </row>
    <row r="555" spans="4:32" x14ac:dyDescent="0.35">
      <c r="D555">
        <v>0.70038</v>
      </c>
      <c r="M555">
        <f t="shared" si="70"/>
        <v>554</v>
      </c>
      <c r="N555">
        <f t="shared" si="71"/>
        <v>1926.0833333332914</v>
      </c>
      <c r="O555">
        <f t="shared" si="66"/>
        <v>0</v>
      </c>
      <c r="P555">
        <f t="array" ref="P555">+SUM($G$2:$G$18*SIN(2*PI()*(N555)*$B$1/$F$2:$F$18+$H$2:$H$18))</f>
        <v>-0.31763231068212322</v>
      </c>
      <c r="Q555">
        <f t="shared" si="67"/>
        <v>0</v>
      </c>
      <c r="R555">
        <f t="shared" si="68"/>
        <v>-7.4187161196556982E-3</v>
      </c>
      <c r="S555">
        <f t="array" ref="S555">+$B$2*SIN(R555*$B$3+$B$4)+0*R555+ SUM($J$2:$J$20*SIN(2*PI()*N555*$I$2:$I$20+$K$2:$K$20))</f>
        <v>7.5050325413998531E-2</v>
      </c>
      <c r="U555" s="3">
        <f t="shared" si="64"/>
        <v>1926.0833333332914</v>
      </c>
      <c r="V555" s="3">
        <f t="shared" si="65"/>
        <v>0.362676</v>
      </c>
      <c r="Z555" s="1">
        <v>1926.125</v>
      </c>
      <c r="AA555" s="2">
        <f t="shared" si="69"/>
        <v>0.8010259999999999</v>
      </c>
      <c r="AB555">
        <v>40.051299999999998</v>
      </c>
      <c r="AE555">
        <v>1926.0833333332914</v>
      </c>
      <c r="AF555">
        <v>7.5050325413998531E-2</v>
      </c>
    </row>
    <row r="556" spans="4:32" x14ac:dyDescent="0.35">
      <c r="D556">
        <v>0.67377799999999999</v>
      </c>
      <c r="M556">
        <f t="shared" si="70"/>
        <v>555</v>
      </c>
      <c r="N556">
        <f t="shared" si="71"/>
        <v>1926.1666666666247</v>
      </c>
      <c r="O556">
        <f t="shared" si="66"/>
        <v>0</v>
      </c>
      <c r="P556">
        <f t="array" ref="P556">+SUM($G$2:$G$18*SIN(2*PI()*(N556)*$B$1/$F$2:$F$18+$H$2:$H$18))</f>
        <v>-2.9851586302651639E-2</v>
      </c>
      <c r="Q556">
        <f t="shared" si="67"/>
        <v>0</v>
      </c>
      <c r="R556">
        <f t="shared" si="68"/>
        <v>-7.4073050887421728E-3</v>
      </c>
      <c r="S556">
        <f t="array" ref="S556">+$B$2*SIN(R556*$B$3+$B$4)+0*R556+ SUM($J$2:$J$20*SIN(2*PI()*N556*$I$2:$I$20+$K$2:$K$20))</f>
        <v>7.3441571715623155E-2</v>
      </c>
      <c r="U556" s="3">
        <f t="shared" si="64"/>
        <v>1926.1666666666247</v>
      </c>
      <c r="V556" s="3">
        <f t="shared" si="65"/>
        <v>0.54227599999999998</v>
      </c>
      <c r="Z556" s="1">
        <v>1926.2083</v>
      </c>
      <c r="AA556" s="2">
        <f t="shared" si="69"/>
        <v>0.83904000000000001</v>
      </c>
      <c r="AB556">
        <v>41.951999999999998</v>
      </c>
      <c r="AE556">
        <v>1926.1666666666247</v>
      </c>
      <c r="AF556">
        <v>7.3441571715623155E-2</v>
      </c>
    </row>
    <row r="557" spans="4:32" x14ac:dyDescent="0.35">
      <c r="D557">
        <v>0.8010259999999999</v>
      </c>
      <c r="M557">
        <f t="shared" si="70"/>
        <v>556</v>
      </c>
      <c r="N557">
        <f t="shared" si="71"/>
        <v>1926.2499999999579</v>
      </c>
      <c r="O557">
        <f t="shared" si="66"/>
        <v>0</v>
      </c>
      <c r="P557">
        <f t="array" ref="P557">+SUM($G$2:$G$18*SIN(2*PI()*(N557)*$B$1/$F$2:$F$18+$H$2:$H$18))</f>
        <v>-0.30583364915287409</v>
      </c>
      <c r="Q557">
        <f t="shared" si="67"/>
        <v>0</v>
      </c>
      <c r="R557">
        <f t="shared" si="68"/>
        <v>-7.3959116096023519E-3</v>
      </c>
      <c r="S557">
        <f t="array" ref="S557">+$B$2*SIN(R557*$B$3+$B$4)+0*R557+ SUM($J$2:$J$20*SIN(2*PI()*N557*$I$2:$I$20+$K$2:$K$20))</f>
        <v>7.1834954529208794E-2</v>
      </c>
      <c r="U557" s="3">
        <f t="shared" si="64"/>
        <v>1926.2499999999579</v>
      </c>
      <c r="V557" s="3">
        <f t="shared" si="65"/>
        <v>0.392648</v>
      </c>
      <c r="Z557" s="1">
        <v>1926.2917</v>
      </c>
      <c r="AA557" s="2">
        <f t="shared" si="69"/>
        <v>0.74166600000000005</v>
      </c>
      <c r="AB557">
        <v>37.083300000000001</v>
      </c>
      <c r="AE557">
        <v>1926.2499999999579</v>
      </c>
      <c r="AF557">
        <v>7.1834954529208794E-2</v>
      </c>
    </row>
    <row r="558" spans="4:32" x14ac:dyDescent="0.35">
      <c r="D558">
        <v>0.83904000000000001</v>
      </c>
      <c r="M558">
        <f t="shared" si="70"/>
        <v>557</v>
      </c>
      <c r="N558">
        <f t="shared" si="71"/>
        <v>1926.3333333332912</v>
      </c>
      <c r="O558">
        <f t="shared" si="66"/>
        <v>0</v>
      </c>
      <c r="P558">
        <f t="array" ref="P558">+SUM($G$2:$G$18*SIN(2*PI()*(N558)*$B$1/$F$2:$F$18+$H$2:$H$18))</f>
        <v>-0.61945856870426341</v>
      </c>
      <c r="Q558">
        <f t="shared" si="67"/>
        <v>0</v>
      </c>
      <c r="R558">
        <f t="shared" si="68"/>
        <v>-7.384535655239134E-3</v>
      </c>
      <c r="S558">
        <f t="array" ref="S558">+$B$2*SIN(R558*$B$3+$B$4)+0*R558+ SUM($J$2:$J$20*SIN(2*PI()*N558*$I$2:$I$20+$K$2:$K$20))</f>
        <v>7.0230478978257932E-2</v>
      </c>
      <c r="U558" s="3">
        <f t="shared" si="64"/>
        <v>1926.3333333332912</v>
      </c>
      <c r="V558" s="3">
        <f t="shared" si="65"/>
        <v>0.33994000000000002</v>
      </c>
      <c r="Z558" s="1">
        <v>1926.375</v>
      </c>
      <c r="AA558" s="2">
        <f t="shared" si="69"/>
        <v>0.50583199999999995</v>
      </c>
      <c r="AB558">
        <v>25.291599999999999</v>
      </c>
      <c r="AE558">
        <v>1926.3333333332912</v>
      </c>
      <c r="AF558">
        <v>7.0230478978257932E-2</v>
      </c>
    </row>
    <row r="559" spans="4:32" x14ac:dyDescent="0.35">
      <c r="D559">
        <v>0.74166600000000005</v>
      </c>
      <c r="M559">
        <f t="shared" si="70"/>
        <v>558</v>
      </c>
      <c r="N559">
        <f t="shared" si="71"/>
        <v>1926.4166666666245</v>
      </c>
      <c r="O559">
        <f t="shared" si="66"/>
        <v>0</v>
      </c>
      <c r="P559">
        <f t="array" ref="P559">+SUM($G$2:$G$18*SIN(2*PI()*(N559)*$B$1/$F$2:$F$18+$H$2:$H$18))</f>
        <v>-0.24992805903135235</v>
      </c>
      <c r="Q559">
        <f t="shared" si="67"/>
        <v>0</v>
      </c>
      <c r="R559">
        <f t="shared" si="68"/>
        <v>-7.3731771986969424E-3</v>
      </c>
      <c r="S559">
        <f t="array" ref="S559">+$B$2*SIN(R559*$B$3+$B$4)+0*R559+ SUM($J$2:$J$20*SIN(2*PI()*N559*$I$2:$I$20+$K$2:$K$20))</f>
        <v>6.8628150120089312E-2</v>
      </c>
      <c r="U559" s="3">
        <f t="shared" si="64"/>
        <v>1926.4166666666245</v>
      </c>
      <c r="V559" s="3">
        <f t="shared" si="65"/>
        <v>-3.5399999999999997E-3</v>
      </c>
      <c r="Z559" s="1">
        <v>1926.4583</v>
      </c>
      <c r="AA559" s="2">
        <f t="shared" si="69"/>
        <v>0.423844</v>
      </c>
      <c r="AB559">
        <v>21.1922</v>
      </c>
      <c r="AE559">
        <v>1926.4166666666245</v>
      </c>
      <c r="AF559">
        <v>6.8628150120089312E-2</v>
      </c>
    </row>
    <row r="560" spans="4:32" x14ac:dyDescent="0.35">
      <c r="D560">
        <v>0.50583199999999995</v>
      </c>
      <c r="M560">
        <f t="shared" si="70"/>
        <v>559</v>
      </c>
      <c r="N560">
        <f t="shared" si="71"/>
        <v>1926.4999999999577</v>
      </c>
      <c r="O560">
        <f t="shared" si="66"/>
        <v>0</v>
      </c>
      <c r="P560">
        <f t="array" ref="P560">+SUM($G$2:$G$18*SIN(2*PI()*(N560)*$B$1/$F$2:$F$18+$H$2:$H$18))</f>
        <v>0.30852337725895551</v>
      </c>
      <c r="Q560">
        <f t="shared" si="67"/>
        <v>0</v>
      </c>
      <c r="R560">
        <f t="shared" si="68"/>
        <v>-7.361836213061663E-3</v>
      </c>
      <c r="S560">
        <f t="array" ref="S560">+$B$2*SIN(R560*$B$3+$B$4)+0*R560+ SUM($J$2:$J$20*SIN(2*PI()*N560*$I$2:$I$20+$K$2:$K$20))</f>
        <v>6.7027972946225395E-2</v>
      </c>
      <c r="U560" s="3">
        <f t="shared" si="64"/>
        <v>1926.4999999999577</v>
      </c>
      <c r="V560" s="3">
        <f t="shared" si="65"/>
        <v>-2.3940000000000003E-2</v>
      </c>
      <c r="Z560" s="1">
        <v>1926.5417</v>
      </c>
      <c r="AA560" s="2">
        <f t="shared" si="69"/>
        <v>0.34338999999999997</v>
      </c>
      <c r="AB560">
        <v>17.169499999999999</v>
      </c>
      <c r="AE560">
        <v>1926.4999999999577</v>
      </c>
      <c r="AF560">
        <v>6.7027972946225395E-2</v>
      </c>
    </row>
    <row r="561" spans="4:32" x14ac:dyDescent="0.35">
      <c r="D561">
        <v>0.423844</v>
      </c>
      <c r="M561">
        <f t="shared" si="70"/>
        <v>560</v>
      </c>
      <c r="N561">
        <f t="shared" si="71"/>
        <v>1926.583333333291</v>
      </c>
      <c r="O561">
        <f t="shared" si="66"/>
        <v>0</v>
      </c>
      <c r="P561">
        <f t="array" ref="P561">+SUM($G$2:$G$18*SIN(2*PI()*(N561)*$B$1/$F$2:$F$18+$H$2:$H$18))</f>
        <v>0.36377946492997093</v>
      </c>
      <c r="Q561">
        <f t="shared" si="67"/>
        <v>0</v>
      </c>
      <c r="R561">
        <f t="shared" si="68"/>
        <v>-7.350512671460579E-3</v>
      </c>
      <c r="S561">
        <f t="array" ref="S561">+$B$2*SIN(R561*$B$3+$B$4)+0*R561+ SUM($J$2:$J$20*SIN(2*PI()*N561*$I$2:$I$20+$K$2:$K$20))</f>
        <v>6.542995238277742E-2</v>
      </c>
      <c r="U561" s="3">
        <f t="shared" si="64"/>
        <v>1926.583333333291</v>
      </c>
      <c r="V561" s="3">
        <f t="shared" si="65"/>
        <v>0.20796399999999998</v>
      </c>
      <c r="Z561" s="1">
        <v>1926.625</v>
      </c>
      <c r="AA561" s="2">
        <f t="shared" si="69"/>
        <v>0.26601600000000003</v>
      </c>
      <c r="AB561">
        <v>13.300800000000001</v>
      </c>
      <c r="AE561">
        <v>1926.583333333291</v>
      </c>
      <c r="AF561">
        <v>6.542995238277742E-2</v>
      </c>
    </row>
    <row r="562" spans="4:32" x14ac:dyDescent="0.35">
      <c r="D562">
        <v>0.34338999999999997</v>
      </c>
      <c r="M562">
        <f t="shared" si="70"/>
        <v>561</v>
      </c>
      <c r="N562">
        <f t="shared" si="71"/>
        <v>1926.6666666666242</v>
      </c>
      <c r="O562">
        <f t="shared" si="66"/>
        <v>0</v>
      </c>
      <c r="P562">
        <f t="array" ref="P562">+SUM($G$2:$G$18*SIN(2*PI()*(N562)*$B$1/$F$2:$F$18+$H$2:$H$18))</f>
        <v>-0.24246875459039638</v>
      </c>
      <c r="Q562">
        <f t="shared" si="67"/>
        <v>0</v>
      </c>
      <c r="R562">
        <f t="shared" si="68"/>
        <v>-7.3392065470623069E-3</v>
      </c>
      <c r="S562">
        <f t="array" ref="S562">+$B$2*SIN(R562*$B$3+$B$4)+0*R562+ SUM($J$2:$J$20*SIN(2*PI()*N562*$I$2:$I$20+$K$2:$K$20))</f>
        <v>6.3834093290833019E-2</v>
      </c>
      <c r="U562" s="3">
        <f t="shared" si="64"/>
        <v>1926.6666666666242</v>
      </c>
      <c r="V562" s="3">
        <f t="shared" si="65"/>
        <v>0.21832799999999999</v>
      </c>
      <c r="Z562" s="1">
        <v>1926.7083</v>
      </c>
      <c r="AA562" s="2">
        <f t="shared" si="69"/>
        <v>0.26863799999999999</v>
      </c>
      <c r="AB562">
        <v>13.431900000000001</v>
      </c>
      <c r="AE562">
        <v>1926.6666666666242</v>
      </c>
      <c r="AF562">
        <v>6.3834093290833019E-2</v>
      </c>
    </row>
    <row r="563" spans="4:32" x14ac:dyDescent="0.35">
      <c r="D563">
        <v>0.26601600000000003</v>
      </c>
      <c r="M563">
        <f t="shared" si="70"/>
        <v>562</v>
      </c>
      <c r="N563">
        <f t="shared" si="71"/>
        <v>1926.7499999999575</v>
      </c>
      <c r="O563">
        <f t="shared" si="66"/>
        <v>0</v>
      </c>
      <c r="P563">
        <f t="array" ref="P563">+SUM($G$2:$G$18*SIN(2*PI()*(N563)*$B$1/$F$2:$F$18+$H$2:$H$18))</f>
        <v>-0.78912321712772848</v>
      </c>
      <c r="Q563">
        <f t="shared" si="67"/>
        <v>0</v>
      </c>
      <c r="R563">
        <f t="shared" si="68"/>
        <v>-7.3279178130767342E-3</v>
      </c>
      <c r="S563">
        <f t="array" ref="S563">+$B$2*SIN(R563*$B$3+$B$4)+0*R563+ SUM($J$2:$J$20*SIN(2*PI()*N563*$I$2:$I$20+$K$2:$K$20))</f>
        <v>6.2240400466838611E-2</v>
      </c>
      <c r="U563" s="3">
        <f t="shared" si="64"/>
        <v>1926.7499999999575</v>
      </c>
      <c r="V563" s="3">
        <f t="shared" si="65"/>
        <v>0.25330799999999998</v>
      </c>
      <c r="Z563" s="1">
        <v>1926.7917</v>
      </c>
      <c r="AA563" s="2">
        <f t="shared" si="69"/>
        <v>0.246642</v>
      </c>
      <c r="AB563">
        <v>12.332100000000001</v>
      </c>
      <c r="AE563">
        <v>1926.7499999999575</v>
      </c>
      <c r="AF563">
        <v>6.2240400466838611E-2</v>
      </c>
    </row>
    <row r="564" spans="4:32" x14ac:dyDescent="0.35">
      <c r="D564">
        <v>0.26863799999999999</v>
      </c>
      <c r="M564">
        <f t="shared" si="70"/>
        <v>563</v>
      </c>
      <c r="N564">
        <f t="shared" si="71"/>
        <v>1926.8333333332907</v>
      </c>
      <c r="O564">
        <f t="shared" si="66"/>
        <v>0</v>
      </c>
      <c r="P564">
        <f t="array" ref="P564">+SUM($G$2:$G$18*SIN(2*PI()*(N564)*$B$1/$F$2:$F$18+$H$2:$H$18))</f>
        <v>-0.42742817554723228</v>
      </c>
      <c r="Q564">
        <f t="shared" si="67"/>
        <v>0</v>
      </c>
      <c r="R564">
        <f t="shared" si="68"/>
        <v>-7.3166464427549547E-3</v>
      </c>
      <c r="S564">
        <f t="array" ref="S564">+$B$2*SIN(R564*$B$3+$B$4)+0*R564+ SUM($J$2:$J$20*SIN(2*PI()*N564*$I$2:$I$20+$K$2:$K$20))</f>
        <v>6.0648878642979069E-2</v>
      </c>
      <c r="U564" s="3">
        <f t="shared" si="64"/>
        <v>1926.8333333332907</v>
      </c>
      <c r="V564" s="3">
        <f t="shared" si="65"/>
        <v>0.25905400000000001</v>
      </c>
      <c r="Z564" s="1">
        <v>1926.875</v>
      </c>
      <c r="AA564" s="2">
        <f t="shared" si="69"/>
        <v>0.42926400000000003</v>
      </c>
      <c r="AB564">
        <v>21.463200000000001</v>
      </c>
      <c r="AE564">
        <v>1926.8333333332907</v>
      </c>
      <c r="AF564">
        <v>6.0648878642979069E-2</v>
      </c>
    </row>
    <row r="565" spans="4:32" x14ac:dyDescent="0.35">
      <c r="D565">
        <v>0.246642</v>
      </c>
      <c r="M565">
        <f t="shared" si="70"/>
        <v>564</v>
      </c>
      <c r="N565">
        <f t="shared" si="71"/>
        <v>1926.916666666624</v>
      </c>
      <c r="O565">
        <f t="shared" si="66"/>
        <v>0</v>
      </c>
      <c r="P565">
        <f t="array" ref="P565">+SUM($G$2:$G$18*SIN(2*PI()*(N565)*$B$1/$F$2:$F$18+$H$2:$H$18))</f>
        <v>5.9993363273455086E-2</v>
      </c>
      <c r="Q565">
        <f t="shared" si="67"/>
        <v>0</v>
      </c>
      <c r="R565">
        <f t="shared" si="68"/>
        <v>-7.3053924093892074E-3</v>
      </c>
      <c r="S565">
        <f t="array" ref="S565">+$B$2*SIN(R565*$B$3+$B$4)+0*R565+ SUM($J$2:$J$20*SIN(2*PI()*N565*$I$2:$I$20+$K$2:$K$20))</f>
        <v>5.9059532487562863E-2</v>
      </c>
      <c r="U565" s="3">
        <f t="shared" si="64"/>
        <v>1926.916666666624</v>
      </c>
      <c r="V565" s="3">
        <f t="shared" si="65"/>
        <v>0.34787599999999996</v>
      </c>
      <c r="Z565" s="1">
        <v>1926.9583</v>
      </c>
      <c r="AA565" s="2">
        <f t="shared" si="69"/>
        <v>0.66572999999999993</v>
      </c>
      <c r="AB565">
        <v>33.286499999999997</v>
      </c>
      <c r="AE565">
        <v>1926.916666666624</v>
      </c>
      <c r="AF565">
        <v>5.9059532487562863E-2</v>
      </c>
    </row>
    <row r="566" spans="4:32" x14ac:dyDescent="0.35">
      <c r="D566">
        <v>0.42926400000000003</v>
      </c>
      <c r="M566">
        <f t="shared" si="70"/>
        <v>565</v>
      </c>
      <c r="N566">
        <f t="shared" si="71"/>
        <v>1926.9999999999573</v>
      </c>
      <c r="O566">
        <f t="shared" si="66"/>
        <v>36.637715116165623</v>
      </c>
      <c r="P566">
        <f t="array" ref="P566">+SUM($G$2:$G$18*SIN(2*PI()*(N566)*$B$1/$F$2:$F$18+$H$2:$H$18))</f>
        <v>-0.29556162993544111</v>
      </c>
      <c r="Q566">
        <f t="shared" si="67"/>
        <v>-10.82870279684426</v>
      </c>
      <c r="R566">
        <f t="shared" si="68"/>
        <v>-2.3950226679618977E-2</v>
      </c>
      <c r="S566">
        <f t="array" ref="S566">+$B$2*SIN(R566*$B$3+$B$4)+0*R566+ SUM($J$2:$J$20*SIN(2*PI()*N566*$I$2:$I$20+$K$2:$K$20))</f>
        <v>-5.2427241368153334E-2</v>
      </c>
      <c r="U566" s="3">
        <f t="shared" si="64"/>
        <v>1926.9999999999573</v>
      </c>
      <c r="V566" s="3">
        <f t="shared" si="65"/>
        <v>0.450544</v>
      </c>
      <c r="Z566" s="1">
        <v>1927.0417</v>
      </c>
      <c r="AA566" s="2">
        <f t="shared" si="69"/>
        <v>0.77757799999999999</v>
      </c>
      <c r="AB566">
        <v>38.878900000000002</v>
      </c>
      <c r="AE566">
        <v>1926.9999999999573</v>
      </c>
      <c r="AF566">
        <v>-5.2427241368153334E-2</v>
      </c>
    </row>
    <row r="567" spans="4:32" x14ac:dyDescent="0.35">
      <c r="D567">
        <v>0.66572999999999993</v>
      </c>
      <c r="M567">
        <f t="shared" si="70"/>
        <v>566</v>
      </c>
      <c r="N567">
        <f t="shared" si="71"/>
        <v>1927.0833333332905</v>
      </c>
      <c r="O567">
        <f t="shared" si="66"/>
        <v>0</v>
      </c>
      <c r="P567">
        <f t="array" ref="P567">+SUM($G$2:$G$18*SIN(2*PI()*(N567)*$B$1/$F$2:$F$18+$H$2:$H$18))</f>
        <v>-0.63129293859069469</v>
      </c>
      <c r="Q567">
        <f t="shared" si="67"/>
        <v>0</v>
      </c>
      <c r="R567">
        <f t="shared" si="68"/>
        <v>-2.3913387855674362E-2</v>
      </c>
      <c r="S567">
        <f t="array" ref="S567">+$B$2*SIN(R567*$B$3+$B$4)+0*R567+ SUM($J$2:$J$20*SIN(2*PI()*N567*$I$2:$I$20+$K$2:$K$20))</f>
        <v>-4.7219623011123188E-2</v>
      </c>
      <c r="U567" s="3">
        <f t="shared" si="64"/>
        <v>1927.0833333332905</v>
      </c>
      <c r="V567" s="3">
        <f t="shared" si="65"/>
        <v>0.60090399999999999</v>
      </c>
      <c r="Z567" s="1">
        <v>1927.125</v>
      </c>
      <c r="AA567" s="2">
        <f t="shared" si="69"/>
        <v>0.85096400000000005</v>
      </c>
      <c r="AB567">
        <v>42.548200000000001</v>
      </c>
      <c r="AE567">
        <v>1927.0833333332905</v>
      </c>
      <c r="AF567">
        <v>-4.7219623011123188E-2</v>
      </c>
    </row>
    <row r="568" spans="4:32" x14ac:dyDescent="0.35">
      <c r="D568">
        <v>0.77757799999999999</v>
      </c>
      <c r="M568">
        <f t="shared" si="70"/>
        <v>567</v>
      </c>
      <c r="N568">
        <f t="shared" si="71"/>
        <v>1927.1666666666238</v>
      </c>
      <c r="O568">
        <f t="shared" si="66"/>
        <v>0</v>
      </c>
      <c r="P568">
        <f t="array" ref="P568">+SUM($G$2:$G$18*SIN(2*PI()*(N568)*$B$1/$F$2:$F$18+$H$2:$H$18))</f>
        <v>-0.17109732650931014</v>
      </c>
      <c r="Q568">
        <f t="shared" si="67"/>
        <v>0</v>
      </c>
      <c r="R568">
        <f t="shared" si="68"/>
        <v>-2.3876605695032679E-2</v>
      </c>
      <c r="S568">
        <f t="array" ref="S568">+$B$2*SIN(R568*$B$3+$B$4)+0*R568+ SUM($J$2:$J$20*SIN(2*PI()*N568*$I$2:$I$20+$K$2:$K$20))</f>
        <v>-4.2017749806335769E-2</v>
      </c>
      <c r="U568" s="3">
        <f t="shared" si="64"/>
        <v>1927.1666666666238</v>
      </c>
      <c r="V568" s="3">
        <f t="shared" si="65"/>
        <v>0.34818399999999999</v>
      </c>
      <c r="Z568" s="1">
        <v>1927.2083</v>
      </c>
      <c r="AA568" s="2">
        <f t="shared" si="69"/>
        <v>0.81819599999999992</v>
      </c>
      <c r="AB568">
        <v>40.909799999999997</v>
      </c>
      <c r="AE568">
        <v>1927.1666666666238</v>
      </c>
      <c r="AF568">
        <v>-4.2017749806335769E-2</v>
      </c>
    </row>
    <row r="569" spans="4:32" x14ac:dyDescent="0.35">
      <c r="D569">
        <v>0.85096400000000005</v>
      </c>
      <c r="M569">
        <f t="shared" si="70"/>
        <v>568</v>
      </c>
      <c r="N569">
        <f t="shared" si="71"/>
        <v>1927.249999999957</v>
      </c>
      <c r="O569">
        <f t="shared" si="66"/>
        <v>0</v>
      </c>
      <c r="P569">
        <f t="array" ref="P569">+SUM($G$2:$G$18*SIN(2*PI()*(N569)*$B$1/$F$2:$F$18+$H$2:$H$18))</f>
        <v>0.41671786588291693</v>
      </c>
      <c r="Q569">
        <f t="shared" si="67"/>
        <v>0</v>
      </c>
      <c r="R569">
        <f t="shared" si="68"/>
        <v>-2.3839880110537781E-2</v>
      </c>
      <c r="S569">
        <f t="array" ref="S569">+$B$2*SIN(R569*$B$3+$B$4)+0*R569+ SUM($J$2:$J$20*SIN(2*PI()*N569*$I$2:$I$20+$K$2:$K$20))</f>
        <v>-3.6821868607021392E-2</v>
      </c>
      <c r="U569" s="3">
        <f t="shared" si="64"/>
        <v>1927.249999999957</v>
      </c>
      <c r="V569" s="3">
        <f t="shared" si="65"/>
        <v>0.40777200000000002</v>
      </c>
      <c r="Z569" s="1">
        <v>1927.2917</v>
      </c>
      <c r="AA569" s="2">
        <f t="shared" si="69"/>
        <v>0.69619399999999998</v>
      </c>
      <c r="AB569">
        <v>34.809699999999999</v>
      </c>
      <c r="AE569">
        <v>1927.249999999957</v>
      </c>
      <c r="AF569">
        <v>-3.6821868607021392E-2</v>
      </c>
    </row>
    <row r="570" spans="4:32" x14ac:dyDescent="0.35">
      <c r="D570">
        <v>0.81819599999999992</v>
      </c>
      <c r="M570">
        <f t="shared" si="70"/>
        <v>569</v>
      </c>
      <c r="N570">
        <f t="shared" si="71"/>
        <v>1927.3333333332903</v>
      </c>
      <c r="O570">
        <f t="shared" si="66"/>
        <v>0</v>
      </c>
      <c r="P570">
        <f t="array" ref="P570">+SUM($G$2:$G$18*SIN(2*PI()*(N570)*$B$1/$F$2:$F$18+$H$2:$H$18))</f>
        <v>0.2934702783485747</v>
      </c>
      <c r="Q570">
        <f t="shared" si="67"/>
        <v>0</v>
      </c>
      <c r="R570">
        <f t="shared" si="68"/>
        <v>-2.3803211015167584E-2</v>
      </c>
      <c r="S570">
        <f t="array" ref="S570">+$B$2*SIN(R570*$B$3+$B$4)+0*R570+ SUM($J$2:$J$20*SIN(2*PI()*N570*$I$2:$I$20+$K$2:$K$20))</f>
        <v>-3.1632224050562749E-2</v>
      </c>
      <c r="U570" s="3">
        <f t="shared" si="64"/>
        <v>1927.3333333332903</v>
      </c>
      <c r="V570" s="3">
        <f t="shared" si="65"/>
        <v>0.17659</v>
      </c>
      <c r="Z570" s="1">
        <v>1927.375</v>
      </c>
      <c r="AA570" s="2">
        <f t="shared" si="69"/>
        <v>0.84188599999999991</v>
      </c>
      <c r="AB570">
        <v>42.094299999999997</v>
      </c>
      <c r="AE570">
        <v>1927.3333333332903</v>
      </c>
      <c r="AF570">
        <v>-3.1632224050562749E-2</v>
      </c>
    </row>
    <row r="571" spans="4:32" x14ac:dyDescent="0.35">
      <c r="D571">
        <v>0.69619399999999998</v>
      </c>
      <c r="M571">
        <f t="shared" si="70"/>
        <v>570</v>
      </c>
      <c r="N571">
        <f t="shared" si="71"/>
        <v>1927.4166666666235</v>
      </c>
      <c r="O571">
        <f t="shared" si="66"/>
        <v>0</v>
      </c>
      <c r="P571">
        <f t="array" ref="P571">+SUM($G$2:$G$18*SIN(2*PI()*(N571)*$B$1/$F$2:$F$18+$H$2:$H$18))</f>
        <v>-0.54714809173778733</v>
      </c>
      <c r="Q571">
        <f t="shared" si="67"/>
        <v>0</v>
      </c>
      <c r="R571">
        <f t="shared" si="68"/>
        <v>-2.3766598322033851E-2</v>
      </c>
      <c r="S571">
        <f t="array" ref="S571">+$B$2*SIN(R571*$B$3+$B$4)+0*R571+ SUM($J$2:$J$20*SIN(2*PI()*N571*$I$2:$I$20+$K$2:$K$20))</f>
        <v>-2.6449058560023546E-2</v>
      </c>
      <c r="U571" s="3">
        <f t="shared" ref="U571:U634" si="72">+N571</f>
        <v>1927.4166666666235</v>
      </c>
      <c r="V571" s="3">
        <f t="shared" ref="V571:V634" si="73">+D529</f>
        <v>0.46694200000000002</v>
      </c>
      <c r="Z571" s="1">
        <v>1927.4583</v>
      </c>
      <c r="AA571" s="2">
        <f t="shared" si="69"/>
        <v>0.82603599999999999</v>
      </c>
      <c r="AB571">
        <v>41.3018</v>
      </c>
      <c r="AE571">
        <v>1927.4166666666235</v>
      </c>
      <c r="AF571">
        <v>-2.6449058560023546E-2</v>
      </c>
    </row>
    <row r="572" spans="4:32" x14ac:dyDescent="0.35">
      <c r="D572">
        <v>0.84188599999999991</v>
      </c>
      <c r="M572">
        <f t="shared" si="70"/>
        <v>571</v>
      </c>
      <c r="N572">
        <f t="shared" si="71"/>
        <v>1927.4999999999568</v>
      </c>
      <c r="O572">
        <f t="shared" si="66"/>
        <v>0</v>
      </c>
      <c r="P572">
        <f t="array" ref="P572">+SUM($G$2:$G$18*SIN(2*PI()*(N572)*$B$1/$F$2:$F$18+$H$2:$H$18))</f>
        <v>-0.96690313245126891</v>
      </c>
      <c r="Q572">
        <f t="shared" si="67"/>
        <v>0</v>
      </c>
      <c r="R572">
        <f t="shared" si="68"/>
        <v>-2.3730041944381993E-2</v>
      </c>
      <c r="S572">
        <f t="array" ref="S572">+$B$2*SIN(R572*$B$3+$B$4)+0*R572+ SUM($J$2:$J$20*SIN(2*PI()*N572*$I$2:$I$20+$K$2:$K$20))</f>
        <v>-2.1272612345884182E-2</v>
      </c>
      <c r="U572" s="3">
        <f t="shared" si="72"/>
        <v>1927.4999999999568</v>
      </c>
      <c r="V572" s="3">
        <f t="shared" si="73"/>
        <v>0.62806600000000001</v>
      </c>
      <c r="Z572" s="1">
        <v>1927.5417</v>
      </c>
      <c r="AA572" s="2">
        <f t="shared" si="69"/>
        <v>0.48557</v>
      </c>
      <c r="AB572">
        <v>24.278500000000001</v>
      </c>
      <c r="AE572">
        <v>1927.4999999999568</v>
      </c>
      <c r="AF572">
        <v>-2.1272612345884182E-2</v>
      </c>
    </row>
    <row r="573" spans="4:32" x14ac:dyDescent="0.35">
      <c r="D573">
        <v>0.82603599999999999</v>
      </c>
      <c r="M573">
        <f t="shared" si="70"/>
        <v>572</v>
      </c>
      <c r="N573">
        <f t="shared" si="71"/>
        <v>1927.5833333332901</v>
      </c>
      <c r="O573">
        <f t="shared" si="66"/>
        <v>0</v>
      </c>
      <c r="P573">
        <f t="array" ref="P573">+SUM($G$2:$G$18*SIN(2*PI()*(N573)*$B$1/$F$2:$F$18+$H$2:$H$18))</f>
        <v>-0.24140578470923749</v>
      </c>
      <c r="Q573">
        <f t="shared" si="67"/>
        <v>0</v>
      </c>
      <c r="R573">
        <f t="shared" si="68"/>
        <v>-2.3693541795590863E-2</v>
      </c>
      <c r="S573">
        <f t="array" ref="S573">+$B$2*SIN(R573*$B$3+$B$4)+0*R573+ SUM($J$2:$J$20*SIN(2*PI()*N573*$I$2:$I$20+$K$2:$K$20))</f>
        <v>-1.6103123407977201E-2</v>
      </c>
      <c r="U573" s="3">
        <f t="shared" si="72"/>
        <v>1927.5833333332901</v>
      </c>
      <c r="V573" s="3">
        <f t="shared" si="73"/>
        <v>0.77688000000000001</v>
      </c>
      <c r="Z573" s="1">
        <v>1927.625</v>
      </c>
      <c r="AA573" s="2">
        <f t="shared" si="69"/>
        <v>0.38202599999999998</v>
      </c>
      <c r="AB573">
        <v>19.101299999999998</v>
      </c>
      <c r="AE573">
        <v>1927.5833333332901</v>
      </c>
      <c r="AF573">
        <v>-1.6103123407977201E-2</v>
      </c>
    </row>
    <row r="574" spans="4:32" x14ac:dyDescent="0.35">
      <c r="D574">
        <v>0.48557</v>
      </c>
      <c r="M574">
        <f t="shared" si="70"/>
        <v>573</v>
      </c>
      <c r="N574">
        <f t="shared" si="71"/>
        <v>1927.6666666666233</v>
      </c>
      <c r="O574">
        <f t="shared" si="66"/>
        <v>0</v>
      </c>
      <c r="P574">
        <f t="array" ref="P574">+SUM($G$2:$G$18*SIN(2*PI()*(N574)*$B$1/$F$2:$F$18+$H$2:$H$18))</f>
        <v>0.35773244363453227</v>
      </c>
      <c r="Q574">
        <f t="shared" si="67"/>
        <v>0</v>
      </c>
      <c r="R574">
        <f t="shared" si="68"/>
        <v>-2.3657097789172549E-2</v>
      </c>
      <c r="S574">
        <f t="array" ref="S574">+$B$2*SIN(R574*$B$3+$B$4)+0*R574+ SUM($J$2:$J$20*SIN(2*PI()*N574*$I$2:$I$20+$K$2:$K$20))</f>
        <v>-1.0940827537602496E-2</v>
      </c>
      <c r="U574" s="3">
        <f t="shared" si="72"/>
        <v>1927.6666666666233</v>
      </c>
      <c r="V574" s="3">
        <f t="shared" si="73"/>
        <v>0.8333839999999999</v>
      </c>
      <c r="Z574" s="1">
        <v>1927.7083</v>
      </c>
      <c r="AA574" s="2">
        <f t="shared" si="69"/>
        <v>9.079000000000001E-2</v>
      </c>
      <c r="AB574">
        <v>4.5395000000000003</v>
      </c>
      <c r="AE574">
        <v>1927.6666666666233</v>
      </c>
      <c r="AF574">
        <v>-1.0940827537602496E-2</v>
      </c>
    </row>
    <row r="575" spans="4:32" x14ac:dyDescent="0.35">
      <c r="D575">
        <v>0.38202599999999998</v>
      </c>
      <c r="M575">
        <f t="shared" si="70"/>
        <v>574</v>
      </c>
      <c r="N575">
        <f t="shared" si="71"/>
        <v>1927.7499999999566</v>
      </c>
      <c r="O575">
        <f t="shared" si="66"/>
        <v>0</v>
      </c>
      <c r="P575">
        <f t="array" ref="P575">+SUM($G$2:$G$18*SIN(2*PI()*(N575)*$B$1/$F$2:$F$18+$H$2:$H$18))</f>
        <v>-5.4550775307749239E-2</v>
      </c>
      <c r="Q575">
        <f t="shared" si="67"/>
        <v>0</v>
      </c>
      <c r="R575">
        <f t="shared" si="68"/>
        <v>-2.3620709838772166E-2</v>
      </c>
      <c r="S575">
        <f t="array" ref="S575">+$B$2*SIN(R575*$B$3+$B$4)+0*R575+ SUM($J$2:$J$20*SIN(2*PI()*N575*$I$2:$I$20+$K$2:$K$20))</f>
        <v>-5.7859583198513207E-3</v>
      </c>
      <c r="U575" s="3">
        <f t="shared" si="72"/>
        <v>1927.7499999999566</v>
      </c>
      <c r="V575" s="3">
        <f t="shared" si="73"/>
        <v>0.78065799999999996</v>
      </c>
      <c r="Z575" s="1">
        <v>1927.7917</v>
      </c>
      <c r="AA575" s="2">
        <f t="shared" si="69"/>
        <v>8.8782E-2</v>
      </c>
      <c r="AB575">
        <v>4.4390999999999998</v>
      </c>
      <c r="AE575">
        <v>1927.7499999999566</v>
      </c>
      <c r="AF575">
        <v>-5.7859583198513207E-3</v>
      </c>
    </row>
    <row r="576" spans="4:32" x14ac:dyDescent="0.35">
      <c r="D576">
        <v>9.079000000000001E-2</v>
      </c>
      <c r="M576">
        <f t="shared" si="70"/>
        <v>575</v>
      </c>
      <c r="N576">
        <f t="shared" si="71"/>
        <v>1927.8333333332898</v>
      </c>
      <c r="O576">
        <f t="shared" si="66"/>
        <v>0</v>
      </c>
      <c r="P576">
        <f t="array" ref="P576">+SUM($G$2:$G$18*SIN(2*PI()*(N576)*$B$1/$F$2:$F$18+$H$2:$H$18))</f>
        <v>-0.37053978249539354</v>
      </c>
      <c r="Q576">
        <f t="shared" si="67"/>
        <v>0</v>
      </c>
      <c r="R576">
        <f t="shared" si="68"/>
        <v>-2.3584377858167666E-2</v>
      </c>
      <c r="S576">
        <f t="array" ref="S576">+$B$2*SIN(R576*$B$3+$B$4)+0*R576+ SUM($J$2:$J$20*SIN(2*PI()*N576*$I$2:$I$20+$K$2:$K$20))</f>
        <v>-6.3874713611094137E-4</v>
      </c>
      <c r="U576" s="3">
        <f t="shared" si="72"/>
        <v>1927.8333333332898</v>
      </c>
      <c r="V576" s="3">
        <f t="shared" si="73"/>
        <v>0.52485399999999993</v>
      </c>
      <c r="Z576" s="1">
        <v>1927.875</v>
      </c>
      <c r="AA576" s="2">
        <f t="shared" si="69"/>
        <v>3.7541999999999999E-2</v>
      </c>
      <c r="AB576">
        <v>1.8771</v>
      </c>
      <c r="AE576">
        <v>1927.8333333332898</v>
      </c>
      <c r="AF576">
        <v>-6.3874713611094137E-4</v>
      </c>
    </row>
    <row r="577" spans="4:32" x14ac:dyDescent="0.35">
      <c r="D577">
        <v>8.8782E-2</v>
      </c>
      <c r="M577">
        <f t="shared" si="70"/>
        <v>576</v>
      </c>
      <c r="N577">
        <f t="shared" si="71"/>
        <v>1927.9166666666231</v>
      </c>
      <c r="O577">
        <f t="shared" si="66"/>
        <v>0</v>
      </c>
      <c r="P577">
        <f t="array" ref="P577">+SUM($G$2:$G$18*SIN(2*PI()*(N577)*$B$1/$F$2:$F$18+$H$2:$H$18))</f>
        <v>7.7401481483231366E-2</v>
      </c>
      <c r="Q577">
        <f t="shared" si="67"/>
        <v>0</v>
      </c>
      <c r="R577">
        <f t="shared" si="68"/>
        <v>-2.3548101761269608E-2</v>
      </c>
      <c r="S577">
        <f t="array" ref="S577">+$B$2*SIN(R577*$B$3+$B$4)+0*R577+ SUM($J$2:$J$20*SIN(2*PI()*N577*$I$2:$I$20+$K$2:$K$20))</f>
        <v>4.5005768332529346E-3</v>
      </c>
      <c r="U577" s="3">
        <f t="shared" si="72"/>
        <v>1927.9166666666231</v>
      </c>
      <c r="V577" s="3">
        <f t="shared" si="73"/>
        <v>0.35827599999999998</v>
      </c>
      <c r="Z577" s="1">
        <v>1927.9583</v>
      </c>
      <c r="AA577" s="2">
        <f t="shared" si="69"/>
        <v>-5.2157999999999996E-2</v>
      </c>
      <c r="AB577">
        <v>-2.6078999999999999</v>
      </c>
      <c r="AE577">
        <v>1927.9166666666231</v>
      </c>
      <c r="AF577">
        <v>4.5005768332529346E-3</v>
      </c>
    </row>
    <row r="578" spans="4:32" x14ac:dyDescent="0.35">
      <c r="D578">
        <v>3.7541999999999999E-2</v>
      </c>
      <c r="M578">
        <f t="shared" si="70"/>
        <v>577</v>
      </c>
      <c r="N578">
        <f t="shared" si="71"/>
        <v>1927.9999999999563</v>
      </c>
      <c r="O578">
        <f t="shared" ref="O578:O641" si="74">+IF(MOD(M578,$B$5)=1, $B$6, 0)</f>
        <v>36.637715116165623</v>
      </c>
      <c r="P578">
        <f t="array" ref="P578">+SUM($G$2:$G$18*SIN(2*PI()*(N578)*$B$1/$F$2:$F$18+$H$2:$H$18))</f>
        <v>0.54980510274089411</v>
      </c>
      <c r="Q578">
        <f t="shared" si="67"/>
        <v>20.143602723635048</v>
      </c>
      <c r="R578">
        <f t="shared" si="68"/>
        <v>7.4718183697367567E-3</v>
      </c>
      <c r="S578">
        <f t="array" ref="S578">+$B$2*SIN(R578*$B$3+$B$4)+0*R578+ SUM($J$2:$J$20*SIN(2*PI()*N578*$I$2:$I$20+$K$2:$K$20))</f>
        <v>-0.31985897610355157</v>
      </c>
      <c r="U578" s="3">
        <f t="shared" si="72"/>
        <v>1927.9999999999563</v>
      </c>
      <c r="V578" s="3">
        <f t="shared" si="73"/>
        <v>0.15323999999999999</v>
      </c>
      <c r="Z578" s="1">
        <v>1928.0417</v>
      </c>
      <c r="AA578" s="2">
        <f t="shared" si="69"/>
        <v>4.4290000000000003E-2</v>
      </c>
      <c r="AB578">
        <v>2.2145000000000001</v>
      </c>
      <c r="AE578">
        <v>1927.9999999999563</v>
      </c>
      <c r="AF578">
        <v>-0.31985897610355157</v>
      </c>
    </row>
    <row r="579" spans="4:32" x14ac:dyDescent="0.35">
      <c r="D579">
        <v>-5.2157999999999996E-2</v>
      </c>
      <c r="M579">
        <f t="shared" si="70"/>
        <v>578</v>
      </c>
      <c r="N579">
        <f t="shared" si="71"/>
        <v>1928.0833333332896</v>
      </c>
      <c r="O579">
        <f t="shared" si="74"/>
        <v>0</v>
      </c>
      <c r="P579">
        <f t="array" ref="P579">+SUM($G$2:$G$18*SIN(2*PI()*(N579)*$B$1/$F$2:$F$18+$H$2:$H$18))</f>
        <v>0.2669467940348651</v>
      </c>
      <c r="Q579">
        <f t="shared" ref="Q579:Q642" si="75">+O579*P579</f>
        <v>0</v>
      </c>
      <c r="R579">
        <f t="shared" ref="R579:R642" si="76">+(1-$B$7)*R578+($B$7)*Q579</f>
        <v>7.4603256600788937E-3</v>
      </c>
      <c r="S579">
        <f t="array" ref="S579">+$B$2*SIN(R579*$B$3+$B$4)+0*R579+ SUM($J$2:$J$20*SIN(2*PI()*N579*$I$2:$I$20+$K$2:$K$20))</f>
        <v>-0.32133212358689006</v>
      </c>
      <c r="U579" s="3">
        <f t="shared" si="72"/>
        <v>1928.0833333332896</v>
      </c>
      <c r="V579" s="3">
        <f t="shared" si="73"/>
        <v>-0.20410599999999998</v>
      </c>
      <c r="Z579" s="1">
        <v>1928.125</v>
      </c>
      <c r="AA579" s="2">
        <f t="shared" ref="AA579:AA642" si="77">+AB579/50</f>
        <v>0.18843199999999999</v>
      </c>
      <c r="AB579">
        <v>9.4215999999999998</v>
      </c>
      <c r="AE579">
        <v>1928.0833333332896</v>
      </c>
      <c r="AF579">
        <v>-0.32133212358689006</v>
      </c>
    </row>
    <row r="580" spans="4:32" x14ac:dyDescent="0.35">
      <c r="D580">
        <v>4.4290000000000003E-2</v>
      </c>
      <c r="M580">
        <f t="shared" ref="M580:M643" si="78">+M579+1</f>
        <v>579</v>
      </c>
      <c r="N580">
        <f t="shared" ref="N580:N643" si="79">+N579+1/12</f>
        <v>1928.1666666666229</v>
      </c>
      <c r="O580">
        <f t="shared" si="74"/>
        <v>0</v>
      </c>
      <c r="P580">
        <f t="array" ref="P580">+SUM($G$2:$G$18*SIN(2*PI()*(N580)*$B$1/$F$2:$F$18+$H$2:$H$18))</f>
        <v>-0.59591514985787997</v>
      </c>
      <c r="Q580">
        <f t="shared" si="75"/>
        <v>0</v>
      </c>
      <c r="R580">
        <f t="shared" si="76"/>
        <v>7.4488506278281548E-3</v>
      </c>
      <c r="S580">
        <f t="array" ref="S580">+$B$2*SIN(R580*$B$3+$B$4)+0*R580+ SUM($J$2:$J$20*SIN(2*PI()*N580*$I$2:$I$20+$K$2:$K$20))</f>
        <v>-0.32280150516698908</v>
      </c>
      <c r="U580" s="3">
        <f t="shared" si="72"/>
        <v>1928.1666666666229</v>
      </c>
      <c r="V580" s="3">
        <f t="shared" si="73"/>
        <v>-0.31838</v>
      </c>
      <c r="Z580" s="1">
        <v>1928.2083</v>
      </c>
      <c r="AA580" s="2">
        <f t="shared" si="77"/>
        <v>0.25719000000000003</v>
      </c>
      <c r="AB580">
        <v>12.859500000000001</v>
      </c>
      <c r="AE580">
        <v>1928.1666666666229</v>
      </c>
      <c r="AF580">
        <v>-0.32280150516698908</v>
      </c>
    </row>
    <row r="581" spans="4:32" x14ac:dyDescent="0.35">
      <c r="D581">
        <v>0.18843199999999999</v>
      </c>
      <c r="M581">
        <f t="shared" si="78"/>
        <v>580</v>
      </c>
      <c r="N581">
        <f t="shared" si="79"/>
        <v>1928.2499999999561</v>
      </c>
      <c r="O581">
        <f t="shared" si="74"/>
        <v>0</v>
      </c>
      <c r="P581">
        <f t="array" ref="P581">+SUM($G$2:$G$18*SIN(2*PI()*(N581)*$B$1/$F$2:$F$18+$H$2:$H$18))</f>
        <v>-0.76299328444141901</v>
      </c>
      <c r="Q581">
        <f t="shared" si="75"/>
        <v>0</v>
      </c>
      <c r="R581">
        <f t="shared" si="76"/>
        <v>7.4373932457941962E-3</v>
      </c>
      <c r="S581">
        <f t="array" ref="S581">+$B$2*SIN(R581*$B$3+$B$4)+0*R581+ SUM($J$2:$J$20*SIN(2*PI()*N581*$I$2:$I$20+$K$2:$K$20))</f>
        <v>-0.32426712440910571</v>
      </c>
      <c r="U581" s="3">
        <f t="shared" si="72"/>
        <v>1928.2499999999561</v>
      </c>
      <c r="V581" s="3">
        <f t="shared" si="73"/>
        <v>-0.11419</v>
      </c>
      <c r="Z581" s="1">
        <v>1928.2917</v>
      </c>
      <c r="AA581" s="2">
        <f t="shared" si="77"/>
        <v>0.32902000000000003</v>
      </c>
      <c r="AB581">
        <v>16.451000000000001</v>
      </c>
      <c r="AE581">
        <v>1928.2499999999561</v>
      </c>
      <c r="AF581">
        <v>-0.32426712440910571</v>
      </c>
    </row>
    <row r="582" spans="4:32" x14ac:dyDescent="0.35">
      <c r="D582">
        <v>0.25719000000000003</v>
      </c>
      <c r="M582">
        <f t="shared" si="78"/>
        <v>581</v>
      </c>
      <c r="N582">
        <f t="shared" si="79"/>
        <v>1928.3333333332894</v>
      </c>
      <c r="O582">
        <f t="shared" si="74"/>
        <v>0</v>
      </c>
      <c r="P582">
        <f t="array" ref="P582">+SUM($G$2:$G$18*SIN(2*PI()*(N582)*$B$1/$F$2:$F$18+$H$2:$H$18))</f>
        <v>0.1723546425943869</v>
      </c>
      <c r="Q582">
        <f t="shared" si="75"/>
        <v>0</v>
      </c>
      <c r="R582">
        <f t="shared" si="76"/>
        <v>7.4259534868284975E-3</v>
      </c>
      <c r="S582">
        <f t="array" ref="S582">+$B$2*SIN(R582*$B$3+$B$4)+0*R582+ SUM($J$2:$J$20*SIN(2*PI()*N582*$I$2:$I$20+$K$2:$K$20))</f>
        <v>-0.32572898491833391</v>
      </c>
      <c r="U582" s="3">
        <f t="shared" si="72"/>
        <v>1928.3333333332894</v>
      </c>
      <c r="V582" s="3">
        <f t="shared" si="73"/>
        <v>-0.23153799999999999</v>
      </c>
      <c r="Z582" s="1">
        <v>1928.375</v>
      </c>
      <c r="AA582" s="2">
        <f t="shared" si="77"/>
        <v>0.317774</v>
      </c>
      <c r="AB582">
        <v>15.8887</v>
      </c>
      <c r="AE582">
        <v>1928.3333333332894</v>
      </c>
      <c r="AF582">
        <v>-0.32572898491833391</v>
      </c>
    </row>
    <row r="583" spans="4:32" x14ac:dyDescent="0.35">
      <c r="D583">
        <v>0.32902000000000003</v>
      </c>
      <c r="M583">
        <f t="shared" si="78"/>
        <v>582</v>
      </c>
      <c r="N583">
        <f t="shared" si="79"/>
        <v>1928.4166666666226</v>
      </c>
      <c r="O583">
        <f t="shared" si="74"/>
        <v>0</v>
      </c>
      <c r="P583">
        <f t="array" ref="P583">+SUM($G$2:$G$18*SIN(2*PI()*(N583)*$B$1/$F$2:$F$18+$H$2:$H$18))</f>
        <v>0.73386215408715771</v>
      </c>
      <c r="Q583">
        <f t="shared" si="75"/>
        <v>0</v>
      </c>
      <c r="R583">
        <f t="shared" si="76"/>
        <v>7.4145313238242966E-3</v>
      </c>
      <c r="S583">
        <f t="array" ref="S583">+$B$2*SIN(R583*$B$3+$B$4)+0*R583+ SUM($J$2:$J$20*SIN(2*PI()*N583*$I$2:$I$20+$K$2:$K$20))</f>
        <v>-0.32718709033921617</v>
      </c>
      <c r="U583" s="3">
        <f t="shared" si="72"/>
        <v>1928.4166666666226</v>
      </c>
      <c r="V583" s="3">
        <f t="shared" si="73"/>
        <v>-0.205814</v>
      </c>
      <c r="Z583" s="1">
        <v>1928.4583</v>
      </c>
      <c r="AA583" s="2">
        <f t="shared" si="77"/>
        <v>0.25268200000000002</v>
      </c>
      <c r="AB583">
        <v>12.6341</v>
      </c>
      <c r="AE583">
        <v>1928.4166666666226</v>
      </c>
      <c r="AF583">
        <v>-0.32718709033921617</v>
      </c>
    </row>
    <row r="584" spans="4:32" x14ac:dyDescent="0.35">
      <c r="D584">
        <v>0.317774</v>
      </c>
      <c r="M584">
        <f t="shared" si="78"/>
        <v>583</v>
      </c>
      <c r="N584">
        <f t="shared" si="79"/>
        <v>1928.4999999999559</v>
      </c>
      <c r="O584">
        <f t="shared" si="74"/>
        <v>0</v>
      </c>
      <c r="P584">
        <f t="array" ref="P584">+SUM($G$2:$G$18*SIN(2*PI()*(N584)*$B$1/$F$2:$F$18+$H$2:$H$18))</f>
        <v>0.33062690041232257</v>
      </c>
      <c r="Q584">
        <f t="shared" si="75"/>
        <v>0</v>
      </c>
      <c r="R584">
        <f t="shared" si="76"/>
        <v>7.4031267297165245E-3</v>
      </c>
      <c r="S584">
        <f t="array" ref="S584">+$B$2*SIN(R584*$B$3+$B$4)+0*R584+ SUM($J$2:$J$20*SIN(2*PI()*N584*$I$2:$I$20+$K$2:$K$20))</f>
        <v>-0.32864144435535597</v>
      </c>
      <c r="U584" s="3">
        <f t="shared" si="72"/>
        <v>1928.4999999999559</v>
      </c>
      <c r="V584" s="3">
        <f t="shared" si="73"/>
        <v>-0.346244</v>
      </c>
      <c r="Z584" s="1">
        <v>1928.5417</v>
      </c>
      <c r="AA584" s="2">
        <f t="shared" si="77"/>
        <v>0.24143200000000001</v>
      </c>
      <c r="AB584">
        <v>12.0716</v>
      </c>
      <c r="AE584">
        <v>1928.4999999999559</v>
      </c>
      <c r="AF584">
        <v>-0.32864144435535597</v>
      </c>
    </row>
    <row r="585" spans="4:32" x14ac:dyDescent="0.35">
      <c r="D585">
        <v>0.25268200000000002</v>
      </c>
      <c r="M585">
        <f t="shared" si="78"/>
        <v>584</v>
      </c>
      <c r="N585">
        <f t="shared" si="79"/>
        <v>1928.5833333332891</v>
      </c>
      <c r="O585">
        <f t="shared" si="74"/>
        <v>0</v>
      </c>
      <c r="P585">
        <f t="array" ref="P585">+SUM($G$2:$G$18*SIN(2*PI()*(N585)*$B$1/$F$2:$F$18+$H$2:$H$18))</f>
        <v>5.8143153342390466E-2</v>
      </c>
      <c r="Q585">
        <f t="shared" si="75"/>
        <v>0</v>
      </c>
      <c r="R585">
        <f t="shared" si="76"/>
        <v>7.3917396774817422E-3</v>
      </c>
      <c r="S585">
        <f t="array" ref="S585">+$B$2*SIN(R585*$B$3+$B$4)+0*R585+ SUM($J$2:$J$20*SIN(2*PI()*N585*$I$2:$I$20+$K$2:$K$20))</f>
        <v>-0.3300920506890328</v>
      </c>
      <c r="U585" s="3">
        <f t="shared" si="72"/>
        <v>1928.5833333332891</v>
      </c>
      <c r="V585" s="3">
        <f t="shared" si="73"/>
        <v>-0.11436600000000001</v>
      </c>
      <c r="Z585" s="1">
        <v>1928.625</v>
      </c>
      <c r="AA585" s="2">
        <f t="shared" si="77"/>
        <v>0.22248999999999999</v>
      </c>
      <c r="AB585">
        <v>11.124499999999999</v>
      </c>
      <c r="AE585">
        <v>1928.5833333332891</v>
      </c>
      <c r="AF585">
        <v>-0.3300920506890328</v>
      </c>
    </row>
    <row r="586" spans="4:32" x14ac:dyDescent="0.35">
      <c r="D586">
        <v>0.24143200000000001</v>
      </c>
      <c r="M586">
        <f t="shared" si="78"/>
        <v>585</v>
      </c>
      <c r="N586">
        <f t="shared" si="79"/>
        <v>1928.6666666666224</v>
      </c>
      <c r="O586">
        <f t="shared" si="74"/>
        <v>0</v>
      </c>
      <c r="P586">
        <f t="array" ref="P586">+SUM($G$2:$G$18*SIN(2*PI()*(N586)*$B$1/$F$2:$F$18+$H$2:$H$18))</f>
        <v>0.3237283778968818</v>
      </c>
      <c r="Q586">
        <f t="shared" si="75"/>
        <v>0</v>
      </c>
      <c r="R586">
        <f t="shared" si="76"/>
        <v>7.3803701401380772E-3</v>
      </c>
      <c r="S586">
        <f t="array" ref="S586">+$B$2*SIN(R586*$B$3+$B$4)+0*R586+ SUM($J$2:$J$20*SIN(2*PI()*N586*$I$2:$I$20+$K$2:$K$20))</f>
        <v>-0.33153891310082084</v>
      </c>
      <c r="U586" s="3">
        <f t="shared" si="72"/>
        <v>1928.6666666666224</v>
      </c>
      <c r="V586" s="3">
        <f t="shared" si="73"/>
        <v>-0.120952</v>
      </c>
      <c r="Z586" s="1">
        <v>1928.7083</v>
      </c>
      <c r="AA586" s="2">
        <f t="shared" si="77"/>
        <v>0.14662600000000001</v>
      </c>
      <c r="AB586">
        <v>7.3312999999999997</v>
      </c>
      <c r="AE586">
        <v>1928.6666666666224</v>
      </c>
      <c r="AF586">
        <v>-0.33153891310082084</v>
      </c>
    </row>
    <row r="587" spans="4:32" x14ac:dyDescent="0.35">
      <c r="D587">
        <v>0.22248999999999999</v>
      </c>
      <c r="M587">
        <f t="shared" si="78"/>
        <v>586</v>
      </c>
      <c r="N587">
        <f t="shared" si="79"/>
        <v>1928.7499999999557</v>
      </c>
      <c r="O587">
        <f t="shared" si="74"/>
        <v>0</v>
      </c>
      <c r="P587">
        <f t="array" ref="P587">+SUM($G$2:$G$18*SIN(2*PI()*(N587)*$B$1/$F$2:$F$18+$H$2:$H$18))</f>
        <v>0.54417137351146594</v>
      </c>
      <c r="Q587">
        <f t="shared" si="75"/>
        <v>0</v>
      </c>
      <c r="R587">
        <f t="shared" si="76"/>
        <v>7.3690180907451585E-3</v>
      </c>
      <c r="S587">
        <f t="array" ref="S587">+$B$2*SIN(R587*$B$3+$B$4)+0*R587+ SUM($J$2:$J$20*SIN(2*PI()*N587*$I$2:$I$20+$K$2:$K$20))</f>
        <v>-0.33298203538920768</v>
      </c>
      <c r="U587" s="3">
        <f t="shared" si="72"/>
        <v>1928.7499999999557</v>
      </c>
      <c r="V587" s="3">
        <f t="shared" si="73"/>
        <v>-0.13522999999999999</v>
      </c>
      <c r="Z587" s="1">
        <v>1928.7917</v>
      </c>
      <c r="AA587" s="2">
        <f t="shared" si="77"/>
        <v>0.48460199999999998</v>
      </c>
      <c r="AB587">
        <v>24.2301</v>
      </c>
      <c r="AE587">
        <v>1928.7499999999557</v>
      </c>
      <c r="AF587">
        <v>-0.33298203538920768</v>
      </c>
    </row>
    <row r="588" spans="4:32" x14ac:dyDescent="0.35">
      <c r="D588">
        <v>0.14662600000000001</v>
      </c>
      <c r="M588">
        <f t="shared" si="78"/>
        <v>587</v>
      </c>
      <c r="N588">
        <f t="shared" si="79"/>
        <v>1928.8333333332889</v>
      </c>
      <c r="O588">
        <f t="shared" si="74"/>
        <v>0</v>
      </c>
      <c r="P588">
        <f t="array" ref="P588">+SUM($G$2:$G$18*SIN(2*PI()*(N588)*$B$1/$F$2:$F$18+$H$2:$H$18))</f>
        <v>0.21403615946701704</v>
      </c>
      <c r="Q588">
        <f t="shared" si="75"/>
        <v>0</v>
      </c>
      <c r="R588">
        <f t="shared" si="76"/>
        <v>7.3576835024040535E-3</v>
      </c>
      <c r="S588">
        <f t="array" ref="S588">+$B$2*SIN(R588*$B$3+$B$4)+0*R588+ SUM($J$2:$J$20*SIN(2*PI()*N588*$I$2:$I$20+$K$2:$K$20))</f>
        <v>-0.33442142139021708</v>
      </c>
      <c r="U588" s="3">
        <f t="shared" si="72"/>
        <v>1928.8333333332889</v>
      </c>
      <c r="V588" s="3">
        <f t="shared" si="73"/>
        <v>-1.2587999999999998E-2</v>
      </c>
      <c r="Z588" s="1">
        <v>1928.875</v>
      </c>
      <c r="AA588" s="2">
        <f t="shared" si="77"/>
        <v>0.54565799999999998</v>
      </c>
      <c r="AB588">
        <v>27.282900000000001</v>
      </c>
      <c r="AE588">
        <v>1928.8333333332889</v>
      </c>
      <c r="AF588">
        <v>-0.33442142139021708</v>
      </c>
    </row>
    <row r="589" spans="4:32" x14ac:dyDescent="0.35">
      <c r="D589">
        <v>0.48460199999999998</v>
      </c>
      <c r="M589">
        <f t="shared" si="78"/>
        <v>588</v>
      </c>
      <c r="N589">
        <f t="shared" si="79"/>
        <v>1928.9166666666222</v>
      </c>
      <c r="O589">
        <f t="shared" si="74"/>
        <v>0</v>
      </c>
      <c r="P589">
        <f t="array" ref="P589">+SUM($G$2:$G$18*SIN(2*PI()*(N589)*$B$1/$F$2:$F$18+$H$2:$H$18))</f>
        <v>-0.43050963092272743</v>
      </c>
      <c r="Q589">
        <f t="shared" si="75"/>
        <v>0</v>
      </c>
      <c r="R589">
        <f t="shared" si="76"/>
        <v>7.3463663482572035E-3</v>
      </c>
      <c r="S589">
        <f t="array" ref="S589">+$B$2*SIN(R589*$B$3+$B$4)+0*R589+ SUM($J$2:$J$20*SIN(2*PI()*N589*$I$2:$I$20+$K$2:$K$20))</f>
        <v>-0.3358570749770331</v>
      </c>
      <c r="U589" s="3">
        <f t="shared" si="72"/>
        <v>1928.9166666666222</v>
      </c>
      <c r="V589" s="3">
        <f t="shared" si="73"/>
        <v>0.26390000000000002</v>
      </c>
      <c r="Z589" s="1">
        <v>1928.9583</v>
      </c>
      <c r="AA589" s="2">
        <f t="shared" si="77"/>
        <v>0.68825199999999997</v>
      </c>
      <c r="AB589">
        <v>34.412599999999998</v>
      </c>
      <c r="AE589">
        <v>1928.9166666666222</v>
      </c>
      <c r="AF589">
        <v>-0.3358570749770331</v>
      </c>
    </row>
    <row r="590" spans="4:32" x14ac:dyDescent="0.35">
      <c r="D590">
        <v>0.54565799999999998</v>
      </c>
      <c r="M590">
        <f t="shared" si="78"/>
        <v>589</v>
      </c>
      <c r="N590">
        <f t="shared" si="79"/>
        <v>1928.9999999999554</v>
      </c>
      <c r="O590">
        <f t="shared" si="74"/>
        <v>36.637715116165623</v>
      </c>
      <c r="P590">
        <f t="array" ref="P590">+SUM($G$2:$G$18*SIN(2*PI()*(N590)*$B$1/$F$2:$F$18+$H$2:$H$18))</f>
        <v>-0.3375003304360813</v>
      </c>
      <c r="Q590">
        <f t="shared" si="75"/>
        <v>-12.365240958128908</v>
      </c>
      <c r="R590">
        <f t="shared" si="76"/>
        <v>-1.1684416628576173E-2</v>
      </c>
      <c r="S590">
        <f t="array" ref="S590">+$B$2*SIN(R590*$B$3+$B$4)+0*R590+ SUM($J$2:$J$20*SIN(2*PI()*N590*$I$2:$I$20+$K$2:$K$20))</f>
        <v>0.59090852953695649</v>
      </c>
      <c r="U590" s="3">
        <f t="shared" si="72"/>
        <v>1928.9999999999554</v>
      </c>
      <c r="V590" s="3">
        <f t="shared" si="73"/>
        <v>0.42654000000000003</v>
      </c>
      <c r="Z590" s="1">
        <v>1929.0417</v>
      </c>
      <c r="AA590" s="2">
        <f t="shared" si="77"/>
        <v>0.77391799999999999</v>
      </c>
      <c r="AB590">
        <v>38.695900000000002</v>
      </c>
      <c r="AE590">
        <v>1928.9999999999554</v>
      </c>
      <c r="AF590">
        <v>0.59090852953695649</v>
      </c>
    </row>
    <row r="591" spans="4:32" x14ac:dyDescent="0.35">
      <c r="D591">
        <v>0.68825199999999997</v>
      </c>
      <c r="M591">
        <f t="shared" si="78"/>
        <v>590</v>
      </c>
      <c r="N591">
        <f t="shared" si="79"/>
        <v>1929.0833333332887</v>
      </c>
      <c r="O591">
        <f t="shared" si="74"/>
        <v>0</v>
      </c>
      <c r="P591">
        <f t="array" ref="P591">+SUM($G$2:$G$18*SIN(2*PI()*(N591)*$B$1/$F$2:$F$18+$H$2:$H$18))</f>
        <v>0.54702315062743956</v>
      </c>
      <c r="Q591">
        <f t="shared" si="75"/>
        <v>0</v>
      </c>
      <c r="R591">
        <f t="shared" si="76"/>
        <v>-1.1666444349113703E-2</v>
      </c>
      <c r="S591">
        <f t="array" ref="S591">+$B$2*SIN(R591*$B$3+$B$4)+0*R591+ SUM($J$2:$J$20*SIN(2*PI()*N591*$I$2:$I$20+$K$2:$K$20))</f>
        <v>0.58932785715753311</v>
      </c>
      <c r="U591" s="3">
        <f t="shared" si="72"/>
        <v>1929.0833333332887</v>
      </c>
      <c r="V591" s="3">
        <f t="shared" si="73"/>
        <v>0.51841199999999998</v>
      </c>
      <c r="Z591" s="1">
        <v>1929.125</v>
      </c>
      <c r="AA591" s="2">
        <f t="shared" si="77"/>
        <v>0.60727799999999998</v>
      </c>
      <c r="AB591">
        <v>30.363900000000001</v>
      </c>
      <c r="AE591">
        <v>1929.0833333332887</v>
      </c>
      <c r="AF591">
        <v>0.58932785715753311</v>
      </c>
    </row>
    <row r="592" spans="4:32" x14ac:dyDescent="0.35">
      <c r="D592">
        <v>0.77391799999999999</v>
      </c>
      <c r="M592">
        <f t="shared" si="78"/>
        <v>591</v>
      </c>
      <c r="N592">
        <f t="shared" si="79"/>
        <v>1929.1666666666219</v>
      </c>
      <c r="O592">
        <f t="shared" si="74"/>
        <v>0</v>
      </c>
      <c r="P592">
        <f t="array" ref="P592">+SUM($G$2:$G$18*SIN(2*PI()*(N592)*$B$1/$F$2:$F$18+$H$2:$H$18))</f>
        <v>0.93819026907087422</v>
      </c>
      <c r="Q592">
        <f t="shared" si="75"/>
        <v>0</v>
      </c>
      <c r="R592">
        <f t="shared" si="76"/>
        <v>-1.1648499713549882E-2</v>
      </c>
      <c r="S592">
        <f t="array" ref="S592">+$B$2*SIN(R592*$B$3+$B$4)+0*R592+ SUM($J$2:$J$20*SIN(2*PI()*N592*$I$2:$I$20+$K$2:$K$20))</f>
        <v>0.58774288854860901</v>
      </c>
      <c r="U592" s="3">
        <f t="shared" si="72"/>
        <v>1929.1666666666219</v>
      </c>
      <c r="V592" s="3">
        <f t="shared" si="73"/>
        <v>0.70412600000000003</v>
      </c>
      <c r="Z592" s="1">
        <v>1929.2083</v>
      </c>
      <c r="AA592" s="2">
        <f t="shared" si="77"/>
        <v>0.50063599999999997</v>
      </c>
      <c r="AB592">
        <v>25.0318</v>
      </c>
      <c r="AE592">
        <v>1929.1666666666219</v>
      </c>
      <c r="AF592">
        <v>0.58774288854860901</v>
      </c>
    </row>
    <row r="593" spans="4:32" x14ac:dyDescent="0.35">
      <c r="D593">
        <v>0.60727799999999998</v>
      </c>
      <c r="M593">
        <f t="shared" si="78"/>
        <v>592</v>
      </c>
      <c r="N593">
        <f t="shared" si="79"/>
        <v>1929.2499999999552</v>
      </c>
      <c r="O593">
        <f t="shared" si="74"/>
        <v>0</v>
      </c>
      <c r="P593">
        <f t="array" ref="P593">+SUM($G$2:$G$18*SIN(2*PI()*(N593)*$B$1/$F$2:$F$18+$H$2:$H$18))</f>
        <v>0.62375793115590261</v>
      </c>
      <c r="Q593">
        <f t="shared" si="75"/>
        <v>0</v>
      </c>
      <c r="R593">
        <f t="shared" si="76"/>
        <v>-1.1630582679364501E-2</v>
      </c>
      <c r="S593">
        <f t="array" ref="S593">+$B$2*SIN(R593*$B$3+$B$4)+0*R593+ SUM($J$2:$J$20*SIN(2*PI()*N593*$I$2:$I$20+$K$2:$K$20))</f>
        <v>0.58615366903590926</v>
      </c>
      <c r="U593" s="3">
        <f t="shared" si="72"/>
        <v>1929.2499999999552</v>
      </c>
      <c r="V593" s="3">
        <f t="shared" si="73"/>
        <v>0.54214799999999996</v>
      </c>
      <c r="Z593" s="1">
        <v>1929.2917</v>
      </c>
      <c r="AA593" s="2">
        <f t="shared" si="77"/>
        <v>0.48475999999999997</v>
      </c>
      <c r="AB593">
        <v>24.238</v>
      </c>
      <c r="AE593">
        <v>1929.2499999999552</v>
      </c>
      <c r="AF593">
        <v>0.58615366903590926</v>
      </c>
    </row>
    <row r="594" spans="4:32" x14ac:dyDescent="0.35">
      <c r="D594">
        <v>0.50063599999999997</v>
      </c>
      <c r="M594">
        <f t="shared" si="78"/>
        <v>593</v>
      </c>
      <c r="N594">
        <f t="shared" si="79"/>
        <v>1929.3333333332885</v>
      </c>
      <c r="O594">
        <f t="shared" si="74"/>
        <v>0</v>
      </c>
      <c r="P594">
        <f t="array" ref="P594">+SUM($G$2:$G$18*SIN(2*PI()*(N594)*$B$1/$F$2:$F$18+$H$2:$H$18))</f>
        <v>0.37679388474519993</v>
      </c>
      <c r="Q594">
        <f t="shared" si="75"/>
        <v>0</v>
      </c>
      <c r="R594">
        <f t="shared" si="76"/>
        <v>-1.1612693204102749E-2</v>
      </c>
      <c r="S594">
        <f t="array" ref="S594">+$B$2*SIN(R594*$B$3+$B$4)+0*R594+ SUM($J$2:$J$20*SIN(2*PI()*N594*$I$2:$I$20+$K$2:$K$20))</f>
        <v>0.58456024374921067</v>
      </c>
      <c r="U594" s="3">
        <f t="shared" si="72"/>
        <v>1929.3333333332885</v>
      </c>
      <c r="V594" s="3">
        <f t="shared" si="73"/>
        <v>0.42017000000000004</v>
      </c>
      <c r="Z594" s="1">
        <v>1929.375</v>
      </c>
      <c r="AA594" s="2">
        <f t="shared" si="77"/>
        <v>0.37042400000000003</v>
      </c>
      <c r="AB594">
        <v>18.5212</v>
      </c>
      <c r="AE594">
        <v>1929.3333333332885</v>
      </c>
      <c r="AF594">
        <v>0.58456024374921067</v>
      </c>
    </row>
    <row r="595" spans="4:32" x14ac:dyDescent="0.35">
      <c r="D595">
        <v>0.48475999999999997</v>
      </c>
      <c r="M595">
        <f t="shared" si="78"/>
        <v>594</v>
      </c>
      <c r="N595">
        <f t="shared" si="79"/>
        <v>1929.4166666666217</v>
      </c>
      <c r="O595">
        <f t="shared" si="74"/>
        <v>0</v>
      </c>
      <c r="P595">
        <f t="array" ref="P595">+SUM($G$2:$G$18*SIN(2*PI()*(N595)*$B$1/$F$2:$F$18+$H$2:$H$18))</f>
        <v>0.31273047133638132</v>
      </c>
      <c r="Q595">
        <f t="shared" si="75"/>
        <v>0</v>
      </c>
      <c r="R595">
        <f t="shared" si="76"/>
        <v>-1.1594831245375118E-2</v>
      </c>
      <c r="S595">
        <f t="array" ref="S595">+$B$2*SIN(R595*$B$3+$B$4)+0*R595+ SUM($J$2:$J$20*SIN(2*PI()*N595*$I$2:$I$20+$K$2:$K$20))</f>
        <v>0.58296265762239263</v>
      </c>
      <c r="U595" s="3">
        <f t="shared" si="72"/>
        <v>1929.4166666666217</v>
      </c>
      <c r="V595" s="3">
        <f t="shared" si="73"/>
        <v>0.48280400000000001</v>
      </c>
      <c r="Z595" s="1">
        <v>1929.4583</v>
      </c>
      <c r="AA595" s="2">
        <f t="shared" si="77"/>
        <v>0.19300999999999999</v>
      </c>
      <c r="AB595">
        <v>9.6504999999999992</v>
      </c>
      <c r="AE595">
        <v>1929.4166666666217</v>
      </c>
      <c r="AF595">
        <v>0.58296265762239263</v>
      </c>
    </row>
    <row r="596" spans="4:32" x14ac:dyDescent="0.35">
      <c r="D596">
        <v>0.37042400000000003</v>
      </c>
      <c r="M596">
        <f t="shared" si="78"/>
        <v>595</v>
      </c>
      <c r="N596">
        <f t="shared" si="79"/>
        <v>1929.499999999955</v>
      </c>
      <c r="O596">
        <f t="shared" si="74"/>
        <v>0</v>
      </c>
      <c r="P596">
        <f t="array" ref="P596">+SUM($G$2:$G$18*SIN(2*PI()*(N596)*$B$1/$F$2:$F$18+$H$2:$H$18))</f>
        <v>0.25305915633415899</v>
      </c>
      <c r="Q596">
        <f t="shared" si="75"/>
        <v>0</v>
      </c>
      <c r="R596">
        <f t="shared" si="76"/>
        <v>-1.15769967608573E-2</v>
      </c>
      <c r="S596">
        <f t="array" ref="S596">+$B$2*SIN(R596*$B$3+$B$4)+0*R596+ SUM($J$2:$J$20*SIN(2*PI()*N596*$I$2:$I$20+$K$2:$K$20))</f>
        <v>0.58136095539350185</v>
      </c>
      <c r="U596" s="3">
        <f t="shared" si="72"/>
        <v>1929.499999999955</v>
      </c>
      <c r="V596" s="3">
        <f t="shared" si="73"/>
        <v>0.494668</v>
      </c>
      <c r="Z596" s="1">
        <v>1929.5417</v>
      </c>
      <c r="AA596" s="2">
        <f t="shared" si="77"/>
        <v>-1.0562E-2</v>
      </c>
      <c r="AB596">
        <v>-0.52810000000000001</v>
      </c>
      <c r="AE596">
        <v>1929.499999999955</v>
      </c>
      <c r="AF596">
        <v>0.58136095539350185</v>
      </c>
    </row>
    <row r="597" spans="4:32" x14ac:dyDescent="0.35">
      <c r="D597">
        <v>0.19300999999999999</v>
      </c>
      <c r="M597">
        <f t="shared" si="78"/>
        <v>596</v>
      </c>
      <c r="N597">
        <f t="shared" si="79"/>
        <v>1929.5833333332882</v>
      </c>
      <c r="O597">
        <f t="shared" si="74"/>
        <v>0</v>
      </c>
      <c r="P597">
        <f t="array" ref="P597">+SUM($G$2:$G$18*SIN(2*PI()*(N597)*$B$1/$F$2:$F$18+$H$2:$H$18))</f>
        <v>4.7673068335362556E-2</v>
      </c>
      <c r="Q597">
        <f t="shared" si="75"/>
        <v>0</v>
      </c>
      <c r="R597">
        <f t="shared" si="76"/>
        <v>-1.1559189708290089E-2</v>
      </c>
      <c r="S597">
        <f t="array" ref="S597">+$B$2*SIN(R597*$B$3+$B$4)+0*R597+ SUM($J$2:$J$20*SIN(2*PI()*N597*$I$2:$I$20+$K$2:$K$20))</f>
        <v>0.57975518160481898</v>
      </c>
      <c r="U597" s="3">
        <f t="shared" si="72"/>
        <v>1929.5833333332882</v>
      </c>
      <c r="V597" s="3">
        <f t="shared" si="73"/>
        <v>0.70038</v>
      </c>
      <c r="Z597" s="1">
        <v>1929.625</v>
      </c>
      <c r="AA597" s="2">
        <f t="shared" si="77"/>
        <v>-8.1823999999999994E-2</v>
      </c>
      <c r="AB597">
        <v>-4.0911999999999997</v>
      </c>
      <c r="AE597">
        <v>1929.5833333332882</v>
      </c>
      <c r="AF597">
        <v>0.57975518160481898</v>
      </c>
    </row>
    <row r="598" spans="4:32" x14ac:dyDescent="0.35">
      <c r="D598">
        <v>-1.0562E-2</v>
      </c>
      <c r="M598">
        <f t="shared" si="78"/>
        <v>597</v>
      </c>
      <c r="N598">
        <f t="shared" si="79"/>
        <v>1929.6666666666215</v>
      </c>
      <c r="O598">
        <f t="shared" si="74"/>
        <v>0</v>
      </c>
      <c r="P598">
        <f t="array" ref="P598">+SUM($G$2:$G$18*SIN(2*PI()*(N598)*$B$1/$F$2:$F$18+$H$2:$H$18))</f>
        <v>-0.21846450985581667</v>
      </c>
      <c r="Q598">
        <f t="shared" si="75"/>
        <v>0</v>
      </c>
      <c r="R598">
        <f t="shared" si="76"/>
        <v>-1.1541410045479279E-2</v>
      </c>
      <c r="S598">
        <f t="array" ref="S598">+$B$2*SIN(R598*$B$3+$B$4)+0*R598+ SUM($J$2:$J$20*SIN(2*PI()*N598*$I$2:$I$20+$K$2:$K$20))</f>
        <v>0.57814538060293785</v>
      </c>
      <c r="U598" s="3">
        <f t="shared" si="72"/>
        <v>1929.6666666666215</v>
      </c>
      <c r="V598" s="3">
        <f t="shared" si="73"/>
        <v>0.67377799999999999</v>
      </c>
      <c r="Z598" s="1">
        <v>1929.7083</v>
      </c>
      <c r="AA598" s="2">
        <f t="shared" si="77"/>
        <v>-2.3180000000000002E-3</v>
      </c>
      <c r="AB598">
        <v>-0.1159</v>
      </c>
      <c r="AE598">
        <v>1929.6666666666215</v>
      </c>
      <c r="AF598">
        <v>0.57814538060293785</v>
      </c>
    </row>
    <row r="599" spans="4:32" x14ac:dyDescent="0.35">
      <c r="D599">
        <v>-8.1823999999999994E-2</v>
      </c>
      <c r="M599">
        <f t="shared" si="78"/>
        <v>598</v>
      </c>
      <c r="N599">
        <f t="shared" si="79"/>
        <v>1929.7499999999548</v>
      </c>
      <c r="O599">
        <f t="shared" si="74"/>
        <v>0</v>
      </c>
      <c r="P599">
        <f t="array" ref="P599">+SUM($G$2:$G$18*SIN(2*PI()*(N599)*$B$1/$F$2:$F$18+$H$2:$H$18))</f>
        <v>2.9631464314272035E-2</v>
      </c>
      <c r="Q599">
        <f t="shared" si="75"/>
        <v>0</v>
      </c>
      <c r="R599">
        <f t="shared" si="76"/>
        <v>-1.1523657730295563E-2</v>
      </c>
      <c r="S599">
        <f t="array" ref="S599">+$B$2*SIN(R599*$B$3+$B$4)+0*R599+ SUM($J$2:$J$20*SIN(2*PI()*N599*$I$2:$I$20+$K$2:$K$20))</f>
        <v>0.57653159653885078</v>
      </c>
      <c r="U599" s="3">
        <f t="shared" si="72"/>
        <v>1929.7499999999548</v>
      </c>
      <c r="V599" s="3">
        <f t="shared" si="73"/>
        <v>0.8010259999999999</v>
      </c>
      <c r="Z599" s="1">
        <v>1929.7917</v>
      </c>
      <c r="AA599" s="2">
        <f t="shared" si="77"/>
        <v>0.115646</v>
      </c>
      <c r="AB599">
        <v>5.7823000000000002</v>
      </c>
      <c r="AE599">
        <v>1929.7499999999548</v>
      </c>
      <c r="AF599">
        <v>0.57653159653885078</v>
      </c>
    </row>
    <row r="600" spans="4:32" x14ac:dyDescent="0.35">
      <c r="D600">
        <v>-2.3180000000000002E-3</v>
      </c>
      <c r="M600">
        <f t="shared" si="78"/>
        <v>599</v>
      </c>
      <c r="N600">
        <f t="shared" si="79"/>
        <v>1929.833333333288</v>
      </c>
      <c r="O600">
        <f t="shared" si="74"/>
        <v>0</v>
      </c>
      <c r="P600">
        <f t="array" ref="P600">+SUM($G$2:$G$18*SIN(2*PI()*(N600)*$B$1/$F$2:$F$18+$H$2:$H$18))</f>
        <v>0.62683733684973097</v>
      </c>
      <c r="Q600">
        <f t="shared" si="75"/>
        <v>0</v>
      </c>
      <c r="R600">
        <f t="shared" si="76"/>
        <v>-1.1505932720674438E-2</v>
      </c>
      <c r="S600">
        <f t="array" ref="S600">+$B$2*SIN(R600*$B$3+$B$4)+0*R600+ SUM($J$2:$J$20*SIN(2*PI()*N600*$I$2:$I$20+$K$2:$K$20))</f>
        <v>0.57491387336804323</v>
      </c>
      <c r="U600" s="3">
        <f t="shared" si="72"/>
        <v>1929.833333333288</v>
      </c>
      <c r="V600" s="3">
        <f t="shared" si="73"/>
        <v>0.83904000000000001</v>
      </c>
      <c r="Z600" s="1">
        <v>1929.875</v>
      </c>
      <c r="AA600" s="2">
        <f t="shared" si="77"/>
        <v>-1.7158E-2</v>
      </c>
      <c r="AB600">
        <v>-0.8579</v>
      </c>
      <c r="AE600">
        <v>1929.833333333288</v>
      </c>
      <c r="AF600">
        <v>0.57491387336804323</v>
      </c>
    </row>
    <row r="601" spans="4:32" x14ac:dyDescent="0.35">
      <c r="D601">
        <v>0.115646</v>
      </c>
      <c r="M601">
        <f t="shared" si="78"/>
        <v>600</v>
      </c>
      <c r="N601">
        <f t="shared" si="79"/>
        <v>1929.9166666666213</v>
      </c>
      <c r="O601">
        <f t="shared" si="74"/>
        <v>0</v>
      </c>
      <c r="P601">
        <f t="array" ref="P601">+SUM($G$2:$G$18*SIN(2*PI()*(N601)*$B$1/$F$2:$F$18+$H$2:$H$18))</f>
        <v>0.79967181901477025</v>
      </c>
      <c r="Q601">
        <f t="shared" si="75"/>
        <v>0</v>
      </c>
      <c r="R601">
        <f t="shared" si="76"/>
        <v>-1.1488234974616101E-2</v>
      </c>
      <c r="S601">
        <f t="array" ref="S601">+$B$2*SIN(R601*$B$3+$B$4)+0*R601+ SUM($J$2:$J$20*SIN(2*PI()*N601*$I$2:$I$20+$K$2:$K$20))</f>
        <v>0.57329225485059732</v>
      </c>
      <c r="U601" s="3">
        <f t="shared" si="72"/>
        <v>1929.9166666666213</v>
      </c>
      <c r="V601" s="3">
        <f t="shared" si="73"/>
        <v>0.74166600000000005</v>
      </c>
      <c r="Z601" s="1">
        <v>1929.9583</v>
      </c>
      <c r="AA601" s="2">
        <f t="shared" si="77"/>
        <v>-7.4577999999999992E-2</v>
      </c>
      <c r="AB601">
        <v>-3.7288999999999999</v>
      </c>
      <c r="AE601">
        <v>1929.9166666666213</v>
      </c>
      <c r="AF601">
        <v>0.57329225485059732</v>
      </c>
    </row>
    <row r="602" spans="4:32" x14ac:dyDescent="0.35">
      <c r="D602">
        <v>-1.7158E-2</v>
      </c>
      <c r="M602">
        <f t="shared" si="78"/>
        <v>601</v>
      </c>
      <c r="N602">
        <f t="shared" si="79"/>
        <v>1929.9999999999545</v>
      </c>
      <c r="O602">
        <f t="shared" si="74"/>
        <v>36.637715116165623</v>
      </c>
      <c r="P602">
        <f t="array" ref="P602">+SUM($G$2:$G$18*SIN(2*PI()*(N602)*$B$1/$F$2:$F$18+$H$2:$H$18))</f>
        <v>0.63093504967088931</v>
      </c>
      <c r="Q602">
        <f t="shared" si="75"/>
        <v>23.116018606645849</v>
      </c>
      <c r="R602">
        <f t="shared" si="76"/>
        <v>2.4085129913047537E-2</v>
      </c>
      <c r="S602">
        <f t="array" ref="S602">+$B$2*SIN(R602*$B$3+$B$4)+0*R602+ SUM($J$2:$J$20*SIN(2*PI()*N602*$I$2:$I$20+$K$2:$K$20))</f>
        <v>0.32988667389804338</v>
      </c>
      <c r="U602" s="3">
        <f t="shared" si="72"/>
        <v>1929.9999999999545</v>
      </c>
      <c r="V602" s="3">
        <f t="shared" si="73"/>
        <v>0.50583199999999995</v>
      </c>
      <c r="Z602" s="1">
        <v>1930.0417</v>
      </c>
      <c r="AA602" s="2">
        <f t="shared" si="77"/>
        <v>3.382E-3</v>
      </c>
      <c r="AB602">
        <v>0.1691</v>
      </c>
      <c r="AE602">
        <v>1929.9999999999545</v>
      </c>
      <c r="AF602">
        <v>0.32988667389804338</v>
      </c>
    </row>
    <row r="603" spans="4:32" x14ac:dyDescent="0.35">
      <c r="D603">
        <v>-7.4577999999999992E-2</v>
      </c>
      <c r="M603">
        <f t="shared" si="78"/>
        <v>602</v>
      </c>
      <c r="N603">
        <f t="shared" si="79"/>
        <v>1930.0833333332878</v>
      </c>
      <c r="O603">
        <f t="shared" si="74"/>
        <v>0</v>
      </c>
      <c r="P603">
        <f t="array" ref="P603">+SUM($G$2:$G$18*SIN(2*PI()*(N603)*$B$1/$F$2:$F$18+$H$2:$H$18))</f>
        <v>0.36237057599965294</v>
      </c>
      <c r="Q603">
        <f t="shared" si="75"/>
        <v>0</v>
      </c>
      <c r="R603">
        <f t="shared" si="76"/>
        <v>2.4048083588917964E-2</v>
      </c>
      <c r="S603">
        <f t="array" ref="S603">+$B$2*SIN(R603*$B$3+$B$4)+0*R603+ SUM($J$2:$J$20*SIN(2*PI()*N603*$I$2:$I$20+$K$2:$K$20))</f>
        <v>0.33459621538921835</v>
      </c>
      <c r="U603" s="3">
        <f t="shared" si="72"/>
        <v>1930.0833333332878</v>
      </c>
      <c r="V603" s="3">
        <f t="shared" si="73"/>
        <v>0.423844</v>
      </c>
      <c r="Z603" s="1">
        <v>1930.125</v>
      </c>
      <c r="AA603" s="2">
        <f t="shared" si="77"/>
        <v>7.4960000000000001E-3</v>
      </c>
      <c r="AB603">
        <v>0.37480000000000002</v>
      </c>
      <c r="AE603">
        <v>1930.0833333332878</v>
      </c>
      <c r="AF603">
        <v>0.33459621538921835</v>
      </c>
    </row>
    <row r="604" spans="4:32" x14ac:dyDescent="0.35">
      <c r="D604">
        <v>3.382E-3</v>
      </c>
      <c r="M604">
        <f t="shared" si="78"/>
        <v>603</v>
      </c>
      <c r="N604">
        <f t="shared" si="79"/>
        <v>1930.166666666621</v>
      </c>
      <c r="O604">
        <f t="shared" si="74"/>
        <v>0</v>
      </c>
      <c r="P604">
        <f t="array" ref="P604">+SUM($G$2:$G$18*SIN(2*PI()*(N604)*$B$1/$F$2:$F$18+$H$2:$H$18))</f>
        <v>-5.7157890209455608E-2</v>
      </c>
      <c r="Q604">
        <f t="shared" si="75"/>
        <v>0</v>
      </c>
      <c r="R604">
        <f t="shared" si="76"/>
        <v>2.4011094247255848E-2</v>
      </c>
      <c r="S604">
        <f t="array" ref="S604">+$B$2*SIN(R604*$B$3+$B$4)+0*R604+ SUM($J$2:$J$20*SIN(2*PI()*N604*$I$2:$I$20+$K$2:$K$20))</f>
        <v>0.33928228369705854</v>
      </c>
      <c r="U604" s="3">
        <f t="shared" si="72"/>
        <v>1930.166666666621</v>
      </c>
      <c r="V604" s="3">
        <f t="shared" si="73"/>
        <v>0.34338999999999997</v>
      </c>
      <c r="Z604" s="1">
        <v>1930.2083</v>
      </c>
      <c r="AA604" s="2">
        <f t="shared" si="77"/>
        <v>-3.6082000000000003E-2</v>
      </c>
      <c r="AB604">
        <v>-1.8041</v>
      </c>
      <c r="AE604">
        <v>1930.166666666621</v>
      </c>
      <c r="AF604">
        <v>0.33928228369705854</v>
      </c>
    </row>
    <row r="605" spans="4:32" x14ac:dyDescent="0.35">
      <c r="D605">
        <v>7.4960000000000001E-3</v>
      </c>
      <c r="M605">
        <f t="shared" si="78"/>
        <v>604</v>
      </c>
      <c r="N605">
        <f t="shared" si="79"/>
        <v>1930.2499999999543</v>
      </c>
      <c r="O605">
        <f t="shared" si="74"/>
        <v>0</v>
      </c>
      <c r="P605">
        <f t="array" ref="P605">+SUM($G$2:$G$18*SIN(2*PI()*(N605)*$B$1/$F$2:$F$18+$H$2:$H$18))</f>
        <v>-0.27230491743226226</v>
      </c>
      <c r="Q605">
        <f t="shared" si="75"/>
        <v>0</v>
      </c>
      <c r="R605">
        <f t="shared" si="76"/>
        <v>2.3974161800414128E-2</v>
      </c>
      <c r="S605">
        <f t="array" ref="S605">+$B$2*SIN(R605*$B$3+$B$4)+0*R605+ SUM($J$2:$J$20*SIN(2*PI()*N605*$I$2:$I$20+$K$2:$K$20))</f>
        <v>0.34394473821730415</v>
      </c>
      <c r="U605" s="3">
        <f t="shared" si="72"/>
        <v>1930.2499999999543</v>
      </c>
      <c r="V605" s="3">
        <f t="shared" si="73"/>
        <v>0.26601600000000003</v>
      </c>
      <c r="Z605" s="1">
        <v>1930.2917</v>
      </c>
      <c r="AA605" s="2">
        <f t="shared" si="77"/>
        <v>-0.23350799999999999</v>
      </c>
      <c r="AB605">
        <v>-11.6754</v>
      </c>
      <c r="AE605">
        <v>1930.2499999999543</v>
      </c>
      <c r="AF605">
        <v>0.34394473821730415</v>
      </c>
    </row>
    <row r="606" spans="4:32" x14ac:dyDescent="0.35">
      <c r="D606">
        <v>-3.6082000000000003E-2</v>
      </c>
      <c r="M606">
        <f t="shared" si="78"/>
        <v>605</v>
      </c>
      <c r="N606">
        <f t="shared" si="79"/>
        <v>1930.3333333332876</v>
      </c>
      <c r="O606">
        <f t="shared" si="74"/>
        <v>0</v>
      </c>
      <c r="P606">
        <f t="array" ref="P606">+SUM($G$2:$G$18*SIN(2*PI()*(N606)*$B$1/$F$2:$F$18+$H$2:$H$18))</f>
        <v>-0.19525566944241302</v>
      </c>
      <c r="Q606">
        <f t="shared" si="75"/>
        <v>0</v>
      </c>
      <c r="R606">
        <f t="shared" si="76"/>
        <v>2.3937286160880547E-2</v>
      </c>
      <c r="S606">
        <f t="array" ref="S606">+$B$2*SIN(R606*$B$3+$B$4)+0*R606+ SUM($J$2:$J$20*SIN(2*PI()*N606*$I$2:$I$20+$K$2:$K$20))</f>
        <v>0.34858344094002719</v>
      </c>
      <c r="U606" s="3">
        <f t="shared" si="72"/>
        <v>1930.3333333332876</v>
      </c>
      <c r="V606" s="3">
        <f t="shared" si="73"/>
        <v>0.26863799999999999</v>
      </c>
      <c r="Z606" s="1">
        <v>1930.375</v>
      </c>
      <c r="AA606" s="2">
        <f t="shared" si="77"/>
        <v>-0.18785799999999997</v>
      </c>
      <c r="AB606">
        <v>-9.3928999999999991</v>
      </c>
      <c r="AE606">
        <v>1930.3333333332876</v>
      </c>
      <c r="AF606">
        <v>0.34858344094002719</v>
      </c>
    </row>
    <row r="607" spans="4:32" x14ac:dyDescent="0.35">
      <c r="D607">
        <v>-0.23350799999999999</v>
      </c>
      <c r="M607">
        <f t="shared" si="78"/>
        <v>606</v>
      </c>
      <c r="N607">
        <f t="shared" si="79"/>
        <v>1930.4166666666208</v>
      </c>
      <c r="O607">
        <f t="shared" si="74"/>
        <v>0</v>
      </c>
      <c r="P607">
        <f t="array" ref="P607">+SUM($G$2:$G$18*SIN(2*PI()*(N607)*$B$1/$F$2:$F$18+$H$2:$H$18))</f>
        <v>-7.0830299799937699E-2</v>
      </c>
      <c r="Q607">
        <f t="shared" si="75"/>
        <v>0</v>
      </c>
      <c r="R607">
        <f t="shared" si="76"/>
        <v>2.3900467241277461E-2</v>
      </c>
      <c r="S607">
        <f t="array" ref="S607">+$B$2*SIN(R607*$B$3+$B$4)+0*R607+ SUM($J$2:$J$20*SIN(2*PI()*N607*$I$2:$I$20+$K$2:$K$20))</f>
        <v>0.35319825643581909</v>
      </c>
      <c r="U607" s="3">
        <f t="shared" si="72"/>
        <v>1930.4166666666208</v>
      </c>
      <c r="V607" s="3">
        <f t="shared" si="73"/>
        <v>0.246642</v>
      </c>
      <c r="Z607" s="1">
        <v>1930.4583</v>
      </c>
      <c r="AA607" s="2">
        <f t="shared" si="77"/>
        <v>-0.26990200000000003</v>
      </c>
      <c r="AB607">
        <v>-13.495100000000001</v>
      </c>
      <c r="AE607">
        <v>1930.4166666666208</v>
      </c>
      <c r="AF607">
        <v>0.35319825643581909</v>
      </c>
    </row>
    <row r="608" spans="4:32" x14ac:dyDescent="0.35">
      <c r="D608">
        <v>-0.18785799999999997</v>
      </c>
      <c r="M608">
        <f t="shared" si="78"/>
        <v>607</v>
      </c>
      <c r="N608">
        <f t="shared" si="79"/>
        <v>1930.4999999999541</v>
      </c>
      <c r="O608">
        <f t="shared" si="74"/>
        <v>0</v>
      </c>
      <c r="P608">
        <f t="array" ref="P608">+SUM($G$2:$G$18*SIN(2*PI()*(N608)*$B$1/$F$2:$F$18+$H$2:$H$18))</f>
        <v>0.17660531797858578</v>
      </c>
      <c r="Q608">
        <f t="shared" si="75"/>
        <v>0</v>
      </c>
      <c r="R608">
        <f t="shared" si="76"/>
        <v>2.3863704954361627E-2</v>
      </c>
      <c r="S608">
        <f t="array" ref="S608">+$B$2*SIN(R608*$B$3+$B$4)+0*R608+ SUM($J$2:$J$20*SIN(2*PI()*N608*$I$2:$I$20+$K$2:$K$20))</f>
        <v>0.35778905184189325</v>
      </c>
      <c r="U608" s="3">
        <f t="shared" si="72"/>
        <v>1930.4999999999541</v>
      </c>
      <c r="V608" s="3">
        <f t="shared" si="73"/>
        <v>0.42926400000000003</v>
      </c>
      <c r="Z608" s="1">
        <v>1930.5417</v>
      </c>
      <c r="AA608" s="2">
        <f t="shared" si="77"/>
        <v>-0.15656400000000001</v>
      </c>
      <c r="AB608">
        <v>-7.8281999999999998</v>
      </c>
      <c r="AE608">
        <v>1930.4999999999541</v>
      </c>
      <c r="AF608">
        <v>0.35778905184189325</v>
      </c>
    </row>
    <row r="609" spans="4:32" x14ac:dyDescent="0.35">
      <c r="D609">
        <v>-0.26990200000000003</v>
      </c>
      <c r="M609">
        <f t="shared" si="78"/>
        <v>608</v>
      </c>
      <c r="N609">
        <f t="shared" si="79"/>
        <v>1930.5833333332873</v>
      </c>
      <c r="O609">
        <f t="shared" si="74"/>
        <v>0</v>
      </c>
      <c r="P609">
        <f t="array" ref="P609">+SUM($G$2:$G$18*SIN(2*PI()*(N609)*$B$1/$F$2:$F$18+$H$2:$H$18))</f>
        <v>0.38191741102237192</v>
      </c>
      <c r="Q609">
        <f t="shared" si="75"/>
        <v>0</v>
      </c>
      <c r="R609">
        <f t="shared" si="76"/>
        <v>2.3826999213023985E-2</v>
      </c>
      <c r="S609">
        <f t="array" ref="S609">+$B$2*SIN(R609*$B$3+$B$4)+0*R609+ SUM($J$2:$J$20*SIN(2*PI()*N609*$I$2:$I$20+$K$2:$K$20))</f>
        <v>0.36235569684809144</v>
      </c>
      <c r="U609" s="3">
        <f t="shared" si="72"/>
        <v>1930.5833333332873</v>
      </c>
      <c r="V609" s="3">
        <f t="shared" si="73"/>
        <v>0.66572999999999993</v>
      </c>
      <c r="Z609" s="1">
        <v>1930.625</v>
      </c>
      <c r="AA609" s="2">
        <f t="shared" si="77"/>
        <v>-0.36322399999999999</v>
      </c>
      <c r="AB609">
        <v>-18.161200000000001</v>
      </c>
      <c r="AE609">
        <v>1930.5833333332873</v>
      </c>
      <c r="AF609">
        <v>0.36235569684809144</v>
      </c>
    </row>
    <row r="610" spans="4:32" x14ac:dyDescent="0.35">
      <c r="D610">
        <v>-0.15656400000000001</v>
      </c>
      <c r="M610">
        <f t="shared" si="78"/>
        <v>609</v>
      </c>
      <c r="N610">
        <f t="shared" si="79"/>
        <v>1930.6666666666206</v>
      </c>
      <c r="O610">
        <f t="shared" si="74"/>
        <v>0</v>
      </c>
      <c r="P610">
        <f t="array" ref="P610">+SUM($G$2:$G$18*SIN(2*PI()*(N610)*$B$1/$F$2:$F$18+$H$2:$H$18))</f>
        <v>0.38755487332964383</v>
      </c>
      <c r="Q610">
        <f t="shared" si="75"/>
        <v>0</v>
      </c>
      <c r="R610">
        <f t="shared" si="76"/>
        <v>2.3790349930289473E-2</v>
      </c>
      <c r="S610">
        <f t="array" ref="S610">+$B$2*SIN(R610*$B$3+$B$4)+0*R610+ SUM($J$2:$J$20*SIN(2*PI()*N610*$I$2:$I$20+$K$2:$K$20))</f>
        <v>0.36689806368279931</v>
      </c>
      <c r="U610" s="3">
        <f t="shared" si="72"/>
        <v>1930.6666666666206</v>
      </c>
      <c r="V610" s="3">
        <f t="shared" si="73"/>
        <v>0.77757799999999999</v>
      </c>
      <c r="Z610" s="1">
        <v>1930.7083</v>
      </c>
      <c r="AA610" s="2">
        <f t="shared" si="77"/>
        <v>-0.303732</v>
      </c>
      <c r="AB610">
        <v>-15.1866</v>
      </c>
      <c r="AE610">
        <v>1930.6666666666206</v>
      </c>
      <c r="AF610">
        <v>0.36689806368279931</v>
      </c>
    </row>
    <row r="611" spans="4:32" x14ac:dyDescent="0.35">
      <c r="D611">
        <v>-0.36322399999999999</v>
      </c>
      <c r="M611">
        <f t="shared" si="78"/>
        <v>610</v>
      </c>
      <c r="N611">
        <f t="shared" si="79"/>
        <v>1930.7499999999538</v>
      </c>
      <c r="O611">
        <f t="shared" si="74"/>
        <v>0</v>
      </c>
      <c r="P611">
        <f t="array" ref="P611">+SUM($G$2:$G$18*SIN(2*PI()*(N611)*$B$1/$F$2:$F$18+$H$2:$H$18))</f>
        <v>0.37132544089284858</v>
      </c>
      <c r="Q611">
        <f t="shared" si="75"/>
        <v>0</v>
      </c>
      <c r="R611">
        <f t="shared" si="76"/>
        <v>2.3753757019316795E-2</v>
      </c>
      <c r="S611">
        <f t="array" ref="S611">+$B$2*SIN(R611*$B$3+$B$4)+0*R611+ SUM($J$2:$J$20*SIN(2*PI()*N611*$I$2:$I$20+$K$2:$K$20))</f>
        <v>0.37141602709878124</v>
      </c>
      <c r="U611" s="3">
        <f t="shared" si="72"/>
        <v>1930.7499999999538</v>
      </c>
      <c r="V611" s="3">
        <f t="shared" si="73"/>
        <v>0.85096400000000005</v>
      </c>
      <c r="Z611" s="1">
        <v>1930.7917</v>
      </c>
      <c r="AA611" s="2">
        <f t="shared" si="77"/>
        <v>-0.188858</v>
      </c>
      <c r="AB611">
        <v>-9.4428999999999998</v>
      </c>
      <c r="AE611">
        <v>1930.7499999999538</v>
      </c>
      <c r="AF611">
        <v>0.37141602709878124</v>
      </c>
    </row>
    <row r="612" spans="4:32" x14ac:dyDescent="0.35">
      <c r="D612">
        <v>-0.303732</v>
      </c>
      <c r="M612">
        <f t="shared" si="78"/>
        <v>611</v>
      </c>
      <c r="N612">
        <f t="shared" si="79"/>
        <v>1930.8333333332871</v>
      </c>
      <c r="O612">
        <f t="shared" si="74"/>
        <v>0</v>
      </c>
      <c r="P612">
        <f t="array" ref="P612">+SUM($G$2:$G$18*SIN(2*PI()*(N612)*$B$1/$F$2:$F$18+$H$2:$H$18))</f>
        <v>3.9864912336493079E-2</v>
      </c>
      <c r="Q612">
        <f t="shared" si="75"/>
        <v>0</v>
      </c>
      <c r="R612">
        <f t="shared" si="76"/>
        <v>2.3717220393398242E-2</v>
      </c>
      <c r="S612">
        <f t="array" ref="S612">+$B$2*SIN(R612*$B$3+$B$4)+0*R612+ SUM($J$2:$J$20*SIN(2*PI()*N612*$I$2:$I$20+$K$2:$K$20))</f>
        <v>0.37590946435892642</v>
      </c>
      <c r="U612" s="3">
        <f t="shared" si="72"/>
        <v>1930.8333333332871</v>
      </c>
      <c r="V612" s="3">
        <f t="shared" si="73"/>
        <v>0.81819599999999992</v>
      </c>
      <c r="Z612" s="1">
        <v>1930.875</v>
      </c>
      <c r="AA612" s="2">
        <f t="shared" si="77"/>
        <v>-0.160138</v>
      </c>
      <c r="AB612">
        <v>-8.0068999999999999</v>
      </c>
      <c r="AE612">
        <v>1930.8333333332871</v>
      </c>
      <c r="AF612">
        <v>0.37590946435892642</v>
      </c>
    </row>
    <row r="613" spans="4:32" x14ac:dyDescent="0.35">
      <c r="D613">
        <v>-0.188858</v>
      </c>
      <c r="M613">
        <f t="shared" si="78"/>
        <v>612</v>
      </c>
      <c r="N613">
        <f t="shared" si="79"/>
        <v>1930.9166666666204</v>
      </c>
      <c r="O613">
        <f t="shared" si="74"/>
        <v>0</v>
      </c>
      <c r="P613">
        <f t="array" ref="P613">+SUM($G$2:$G$18*SIN(2*PI()*(N613)*$B$1/$F$2:$F$18+$H$2:$H$18))</f>
        <v>-0.60351436806624359</v>
      </c>
      <c r="Q613">
        <f t="shared" si="75"/>
        <v>0</v>
      </c>
      <c r="R613">
        <f t="shared" si="76"/>
        <v>2.3680739965959468E-2</v>
      </c>
      <c r="S613">
        <f t="array" ref="S613">+$B$2*SIN(R613*$B$3+$B$4)+0*R613+ SUM($J$2:$J$20*SIN(2*PI()*N613*$I$2:$I$20+$K$2:$K$20))</f>
        <v>0.38037825522192037</v>
      </c>
      <c r="U613" s="3">
        <f t="shared" si="72"/>
        <v>1930.9166666666204</v>
      </c>
      <c r="V613" s="3">
        <f t="shared" si="73"/>
        <v>0.69619399999999998</v>
      </c>
      <c r="Z613" s="1">
        <v>1930.9583</v>
      </c>
      <c r="AA613" s="2">
        <f t="shared" si="77"/>
        <v>8.5819999999999994E-3</v>
      </c>
      <c r="AB613">
        <v>0.42909999999999998</v>
      </c>
      <c r="AE613">
        <v>1930.9166666666204</v>
      </c>
      <c r="AF613">
        <v>0.38037825522192037</v>
      </c>
    </row>
    <row r="614" spans="4:32" x14ac:dyDescent="0.35">
      <c r="D614">
        <v>-0.160138</v>
      </c>
      <c r="M614">
        <f t="shared" si="78"/>
        <v>613</v>
      </c>
      <c r="N614">
        <f t="shared" si="79"/>
        <v>1930.9999999999536</v>
      </c>
      <c r="O614">
        <f t="shared" si="74"/>
        <v>36.637715116165623</v>
      </c>
      <c r="P614">
        <f t="array" ref="P614">+SUM($G$2:$G$18*SIN(2*PI()*(N614)*$B$1/$F$2:$F$18+$H$2:$H$18))</f>
        <v>-0.74865661794815908</v>
      </c>
      <c r="Q614">
        <f t="shared" si="75"/>
        <v>-27.4290678882167</v>
      </c>
      <c r="R614">
        <f t="shared" si="76"/>
        <v>-1.8545456346830084E-2</v>
      </c>
      <c r="S614">
        <f t="array" ref="S614">+$B$2*SIN(R614*$B$3+$B$4)+0*R614+ SUM($J$2:$J$20*SIN(2*PI()*N614*$I$2:$I$20+$K$2:$K$20))</f>
        <v>0.6112036070103043</v>
      </c>
      <c r="U614" s="3">
        <f t="shared" si="72"/>
        <v>1930.9999999999536</v>
      </c>
      <c r="V614" s="3">
        <f t="shared" si="73"/>
        <v>0.84188599999999991</v>
      </c>
      <c r="Z614" s="1">
        <v>1931.0417</v>
      </c>
      <c r="AA614" s="2">
        <f t="shared" si="77"/>
        <v>0.26191400000000004</v>
      </c>
      <c r="AB614">
        <v>13.095700000000001</v>
      </c>
      <c r="AE614">
        <v>1930.9999999999536</v>
      </c>
      <c r="AF614">
        <v>0.6112036070103043</v>
      </c>
    </row>
    <row r="615" spans="4:32" x14ac:dyDescent="0.35">
      <c r="D615">
        <v>8.5819999999999994E-3</v>
      </c>
      <c r="M615">
        <f t="shared" si="78"/>
        <v>614</v>
      </c>
      <c r="N615">
        <f t="shared" si="79"/>
        <v>1931.0833333332869</v>
      </c>
      <c r="O615">
        <f t="shared" si="74"/>
        <v>0</v>
      </c>
      <c r="P615">
        <f t="array" ref="P615">+SUM($G$2:$G$18*SIN(2*PI()*(N615)*$B$1/$F$2:$F$18+$H$2:$H$18))</f>
        <v>-0.32688416180932511</v>
      </c>
      <c r="Q615">
        <f t="shared" si="75"/>
        <v>0</v>
      </c>
      <c r="R615">
        <f t="shared" si="76"/>
        <v>-1.8516930821352917E-2</v>
      </c>
      <c r="S615">
        <f t="array" ref="S615">+$B$2*SIN(R615*$B$3+$B$4)+0*R615+ SUM($J$2:$J$20*SIN(2*PI()*N615*$I$2:$I$20+$K$2:$K$20))</f>
        <v>0.6135536340169212</v>
      </c>
      <c r="U615" s="3">
        <f t="shared" si="72"/>
        <v>1931.0833333332869</v>
      </c>
      <c r="V615" s="3">
        <f t="shared" si="73"/>
        <v>0.82603599999999999</v>
      </c>
      <c r="Z615" s="1">
        <v>1931.125</v>
      </c>
      <c r="AA615" s="2">
        <f t="shared" si="77"/>
        <v>0.28601599999999999</v>
      </c>
      <c r="AB615">
        <v>14.300800000000001</v>
      </c>
      <c r="AE615">
        <v>1931.0833333332869</v>
      </c>
      <c r="AF615">
        <v>0.6135536340169212</v>
      </c>
    </row>
    <row r="616" spans="4:32" x14ac:dyDescent="0.35">
      <c r="D616">
        <v>0.26191400000000004</v>
      </c>
      <c r="M616">
        <f t="shared" si="78"/>
        <v>615</v>
      </c>
      <c r="N616">
        <f t="shared" si="79"/>
        <v>1931.1666666666201</v>
      </c>
      <c r="O616">
        <f t="shared" si="74"/>
        <v>0</v>
      </c>
      <c r="P616">
        <f t="array" ref="P616">+SUM($G$2:$G$18*SIN(2*PI()*(N616)*$B$1/$F$2:$F$18+$H$2:$H$18))</f>
        <v>5.3552048634947905E-2</v>
      </c>
      <c r="Q616">
        <f t="shared" si="75"/>
        <v>0</v>
      </c>
      <c r="R616">
        <f t="shared" si="76"/>
        <v>-1.8488449172154042E-2</v>
      </c>
      <c r="S616">
        <f t="array" ref="S616">+$B$2*SIN(R616*$B$3+$B$4)+0*R616+ SUM($J$2:$J$20*SIN(2*PI()*N616*$I$2:$I$20+$K$2:$K$20))</f>
        <v>0.61588240182967147</v>
      </c>
      <c r="U616" s="3">
        <f t="shared" si="72"/>
        <v>1931.1666666666201</v>
      </c>
      <c r="V616" s="3">
        <f t="shared" si="73"/>
        <v>0.48557</v>
      </c>
      <c r="Z616" s="1">
        <v>1931.2083</v>
      </c>
      <c r="AA616" s="2">
        <f t="shared" si="77"/>
        <v>0.391654</v>
      </c>
      <c r="AB616">
        <v>19.582699999999999</v>
      </c>
      <c r="AE616">
        <v>1931.1666666666201</v>
      </c>
      <c r="AF616">
        <v>0.61588240182967147</v>
      </c>
    </row>
    <row r="617" spans="4:32" x14ac:dyDescent="0.35">
      <c r="D617">
        <v>0.28601599999999999</v>
      </c>
      <c r="M617">
        <f t="shared" si="78"/>
        <v>616</v>
      </c>
      <c r="N617">
        <f t="shared" si="79"/>
        <v>1931.2499999999534</v>
      </c>
      <c r="O617">
        <f t="shared" si="74"/>
        <v>0</v>
      </c>
      <c r="P617">
        <f t="array" ref="P617">+SUM($G$2:$G$18*SIN(2*PI()*(N617)*$B$1/$F$2:$F$18+$H$2:$H$18))</f>
        <v>0.16430771686713053</v>
      </c>
      <c r="Q617">
        <f t="shared" si="75"/>
        <v>0</v>
      </c>
      <c r="R617">
        <f t="shared" si="76"/>
        <v>-1.846001133174556E-2</v>
      </c>
      <c r="S617">
        <f t="array" ref="S617">+$B$2*SIN(R617*$B$3+$B$4)+0*R617+ SUM($J$2:$J$20*SIN(2*PI()*N617*$I$2:$I$20+$K$2:$K$20))</f>
        <v>0.618189930620755</v>
      </c>
      <c r="U617" s="3">
        <f t="shared" si="72"/>
        <v>1931.2499999999534</v>
      </c>
      <c r="V617" s="3">
        <f t="shared" si="73"/>
        <v>0.38202599999999998</v>
      </c>
      <c r="Z617" s="1">
        <v>1931.2917</v>
      </c>
      <c r="AA617" s="2">
        <f t="shared" si="77"/>
        <v>0.55728999999999995</v>
      </c>
      <c r="AB617">
        <v>27.8645</v>
      </c>
      <c r="AE617">
        <v>1931.2499999999534</v>
      </c>
      <c r="AF617">
        <v>0.618189930620755</v>
      </c>
    </row>
    <row r="618" spans="4:32" x14ac:dyDescent="0.35">
      <c r="D618">
        <v>0.391654</v>
      </c>
      <c r="M618">
        <f t="shared" si="78"/>
        <v>617</v>
      </c>
      <c r="N618">
        <f t="shared" si="79"/>
        <v>1931.3333333332866</v>
      </c>
      <c r="O618">
        <f t="shared" si="74"/>
        <v>0</v>
      </c>
      <c r="P618">
        <f t="array" ref="P618">+SUM($G$2:$G$18*SIN(2*PI()*(N618)*$B$1/$F$2:$F$18+$H$2:$H$18))</f>
        <v>2.5881870939198165E-2</v>
      </c>
      <c r="Q618">
        <f t="shared" si="75"/>
        <v>0</v>
      </c>
      <c r="R618">
        <f t="shared" si="76"/>
        <v>-1.8431617232743381E-2</v>
      </c>
      <c r="S618">
        <f t="array" ref="S618">+$B$2*SIN(R618*$B$3+$B$4)+0*R618+ SUM($J$2:$J$20*SIN(2*PI()*N618*$I$2:$I$20+$K$2:$K$20))</f>
        <v>0.62047624138212665</v>
      </c>
      <c r="U618" s="3">
        <f t="shared" si="72"/>
        <v>1931.3333333332866</v>
      </c>
      <c r="V618" s="3">
        <f t="shared" si="73"/>
        <v>9.079000000000001E-2</v>
      </c>
      <c r="Z618" s="1">
        <v>1931.375</v>
      </c>
      <c r="AA618" s="2">
        <f t="shared" si="77"/>
        <v>0.59061999999999992</v>
      </c>
      <c r="AB618">
        <v>29.530999999999999</v>
      </c>
      <c r="AE618">
        <v>1931.3333333332866</v>
      </c>
      <c r="AF618">
        <v>0.62047624138212665</v>
      </c>
    </row>
    <row r="619" spans="4:32" x14ac:dyDescent="0.35">
      <c r="D619">
        <v>0.55728999999999995</v>
      </c>
      <c r="M619">
        <f t="shared" si="78"/>
        <v>618</v>
      </c>
      <c r="N619">
        <f t="shared" si="79"/>
        <v>1931.4166666666199</v>
      </c>
      <c r="O619">
        <f t="shared" si="74"/>
        <v>0</v>
      </c>
      <c r="P619">
        <f t="array" ref="P619">+SUM($G$2:$G$18*SIN(2*PI()*(N619)*$B$1/$F$2:$F$18+$H$2:$H$18))</f>
        <v>-2.9833122231195497E-2</v>
      </c>
      <c r="Q619">
        <f t="shared" si="75"/>
        <v>0</v>
      </c>
      <c r="R619">
        <f t="shared" si="76"/>
        <v>-1.8403266807867052E-2</v>
      </c>
      <c r="S619">
        <f t="array" ref="S619">+$B$2*SIN(R619*$B$3+$B$4)+0*R619+ SUM($J$2:$J$20*SIN(2*PI()*N619*$I$2:$I$20+$K$2:$K$20))</f>
        <v>0.6227413559166558</v>
      </c>
      <c r="U619" s="3">
        <f t="shared" si="72"/>
        <v>1931.4166666666199</v>
      </c>
      <c r="V619" s="3">
        <f t="shared" si="73"/>
        <v>8.8782E-2</v>
      </c>
      <c r="Z619" s="1">
        <v>1931.4583</v>
      </c>
      <c r="AA619" s="2">
        <f t="shared" si="77"/>
        <v>0.31779399999999997</v>
      </c>
      <c r="AB619">
        <v>15.889699999999999</v>
      </c>
      <c r="AE619">
        <v>1931.4166666666199</v>
      </c>
      <c r="AF619">
        <v>0.6227413559166558</v>
      </c>
    </row>
    <row r="620" spans="4:32" x14ac:dyDescent="0.35">
      <c r="D620">
        <v>0.59061999999999992</v>
      </c>
      <c r="M620">
        <f t="shared" si="78"/>
        <v>619</v>
      </c>
      <c r="N620">
        <f t="shared" si="79"/>
        <v>1931.4999999999532</v>
      </c>
      <c r="O620">
        <f t="shared" si="74"/>
        <v>0</v>
      </c>
      <c r="P620">
        <f t="array" ref="P620">+SUM($G$2:$G$18*SIN(2*PI()*(N620)*$B$1/$F$2:$F$18+$H$2:$H$18))</f>
        <v>6.087590608771886E-2</v>
      </c>
      <c r="Q620">
        <f t="shared" si="75"/>
        <v>0</v>
      </c>
      <c r="R620">
        <f t="shared" si="76"/>
        <v>-1.8374959989939616E-2</v>
      </c>
      <c r="S620">
        <f t="array" ref="S620">+$B$2*SIN(R620*$B$3+$B$4)+0*R620+ SUM($J$2:$J$20*SIN(2*PI()*N620*$I$2:$I$20+$K$2:$K$20))</f>
        <v>0.62498529682933013</v>
      </c>
      <c r="U620" s="3">
        <f t="shared" si="72"/>
        <v>1931.4999999999532</v>
      </c>
      <c r="V620" s="3">
        <f t="shared" si="73"/>
        <v>3.7541999999999999E-2</v>
      </c>
      <c r="Z620" s="1">
        <v>1931.5417</v>
      </c>
      <c r="AA620" s="2">
        <f t="shared" si="77"/>
        <v>0.41881000000000002</v>
      </c>
      <c r="AB620">
        <v>20.9405</v>
      </c>
      <c r="AE620">
        <v>1931.4999999999532</v>
      </c>
      <c r="AF620">
        <v>0.62498529682933013</v>
      </c>
    </row>
    <row r="621" spans="4:32" x14ac:dyDescent="0.35">
      <c r="D621">
        <v>0.31779399999999997</v>
      </c>
      <c r="M621">
        <f t="shared" si="78"/>
        <v>620</v>
      </c>
      <c r="N621">
        <f t="shared" si="79"/>
        <v>1931.5833333332864</v>
      </c>
      <c r="O621">
        <f t="shared" si="74"/>
        <v>0</v>
      </c>
      <c r="P621">
        <f t="array" ref="P621">+SUM($G$2:$G$18*SIN(2*PI()*(N621)*$B$1/$F$2:$F$18+$H$2:$H$18))</f>
        <v>-0.339242054789479</v>
      </c>
      <c r="Q621">
        <f t="shared" si="75"/>
        <v>0</v>
      </c>
      <c r="R621">
        <f t="shared" si="76"/>
        <v>-1.8346696711887441E-2</v>
      </c>
      <c r="S621">
        <f t="array" ref="S621">+$B$2*SIN(R621*$B$3+$B$4)+0*R621+ SUM($J$2:$J$20*SIN(2*PI()*N621*$I$2:$I$20+$K$2:$K$20))</f>
        <v>0.62720808751849266</v>
      </c>
      <c r="U621" s="3">
        <f t="shared" si="72"/>
        <v>1931.5833333332864</v>
      </c>
      <c r="V621" s="3">
        <f t="shared" si="73"/>
        <v>-5.2157999999999996E-2</v>
      </c>
      <c r="Z621" s="1">
        <v>1931.625</v>
      </c>
      <c r="AA621" s="2">
        <f t="shared" si="77"/>
        <v>0.68444400000000005</v>
      </c>
      <c r="AB621">
        <v>34.222200000000001</v>
      </c>
      <c r="AE621">
        <v>1931.5833333332864</v>
      </c>
      <c r="AF621">
        <v>0.62720808751849266</v>
      </c>
    </row>
    <row r="622" spans="4:32" x14ac:dyDescent="0.35">
      <c r="D622">
        <v>0.41881000000000002</v>
      </c>
      <c r="M622">
        <f t="shared" si="78"/>
        <v>621</v>
      </c>
      <c r="N622">
        <f t="shared" si="79"/>
        <v>1931.6666666666197</v>
      </c>
      <c r="O622">
        <f t="shared" si="74"/>
        <v>0</v>
      </c>
      <c r="P622">
        <f t="array" ref="P622">+SUM($G$2:$G$18*SIN(2*PI()*(N622)*$B$1/$F$2:$F$18+$H$2:$H$18))</f>
        <v>-0.97646874479258827</v>
      </c>
      <c r="Q622">
        <f t="shared" si="75"/>
        <v>0</v>
      </c>
      <c r="R622">
        <f t="shared" si="76"/>
        <v>-1.8318476906740058E-2</v>
      </c>
      <c r="S622">
        <f t="array" ref="S622">+$B$2*SIN(R622*$B$3+$B$4)+0*R622+ SUM($J$2:$J$20*SIN(2*PI()*N622*$I$2:$I$20+$K$2:$K$20))</f>
        <v>0.62940975216712569</v>
      </c>
      <c r="U622" s="3">
        <f t="shared" si="72"/>
        <v>1931.6666666666197</v>
      </c>
      <c r="V622" s="3">
        <f t="shared" si="73"/>
        <v>4.4290000000000003E-2</v>
      </c>
      <c r="Z622" s="1">
        <v>1931.7083</v>
      </c>
      <c r="AA622" s="2">
        <f t="shared" si="77"/>
        <v>0.82084599999999996</v>
      </c>
      <c r="AB622">
        <v>41.042299999999997</v>
      </c>
      <c r="AE622">
        <v>1931.6666666666197</v>
      </c>
      <c r="AF622">
        <v>0.62940975216712569</v>
      </c>
    </row>
    <row r="623" spans="4:32" x14ac:dyDescent="0.35">
      <c r="D623">
        <v>0.68444400000000005</v>
      </c>
      <c r="M623">
        <f t="shared" si="78"/>
        <v>622</v>
      </c>
      <c r="N623">
        <f t="shared" si="79"/>
        <v>1931.7499999999529</v>
      </c>
      <c r="O623">
        <f t="shared" si="74"/>
        <v>0</v>
      </c>
      <c r="P623">
        <f t="array" ref="P623">+SUM($G$2:$G$18*SIN(2*PI()*(N623)*$B$1/$F$2:$F$18+$H$2:$H$18))</f>
        <v>-0.84845037174359006</v>
      </c>
      <c r="Q623">
        <f t="shared" si="75"/>
        <v>0</v>
      </c>
      <c r="R623">
        <f t="shared" si="76"/>
        <v>-1.8290300507630017E-2</v>
      </c>
      <c r="S623">
        <f t="array" ref="S623">+$B$2*SIN(R623*$B$3+$B$4)+0*R623+ SUM($J$2:$J$20*SIN(2*PI()*N623*$I$2:$I$20+$K$2:$K$20))</f>
        <v>0.63159031573416524</v>
      </c>
      <c r="U623" s="3">
        <f t="shared" si="72"/>
        <v>1931.7499999999529</v>
      </c>
      <c r="V623" s="3">
        <f t="shared" si="73"/>
        <v>0.18843199999999999</v>
      </c>
      <c r="Z623" s="1">
        <v>1931.7917</v>
      </c>
      <c r="AA623" s="2">
        <f t="shared" si="77"/>
        <v>0.85262799999999994</v>
      </c>
      <c r="AB623">
        <v>42.631399999999999</v>
      </c>
      <c r="AE623">
        <v>1931.7499999999529</v>
      </c>
      <c r="AF623">
        <v>0.63159031573416524</v>
      </c>
    </row>
    <row r="624" spans="4:32" x14ac:dyDescent="0.35">
      <c r="D624">
        <v>0.82084599999999996</v>
      </c>
      <c r="M624">
        <f t="shared" si="78"/>
        <v>623</v>
      </c>
      <c r="N624">
        <f t="shared" si="79"/>
        <v>1931.8333333332862</v>
      </c>
      <c r="O624">
        <f t="shared" si="74"/>
        <v>0</v>
      </c>
      <c r="P624">
        <f t="array" ref="P624">+SUM($G$2:$G$18*SIN(2*PI()*(N624)*$B$1/$F$2:$F$18+$H$2:$H$18))</f>
        <v>-0.15584931475654532</v>
      </c>
      <c r="Q624">
        <f t="shared" si="75"/>
        <v>0</v>
      </c>
      <c r="R624">
        <f t="shared" si="76"/>
        <v>-1.8262167447792715E-2</v>
      </c>
      <c r="S624">
        <f t="array" ref="S624">+$B$2*SIN(R624*$B$3+$B$4)+0*R624+ SUM($J$2:$J$20*SIN(2*PI()*N624*$I$2:$I$20+$K$2:$K$20))</f>
        <v>0.63374980394586067</v>
      </c>
      <c r="U624" s="3">
        <f t="shared" si="72"/>
        <v>1931.8333333332862</v>
      </c>
      <c r="V624" s="3">
        <f t="shared" si="73"/>
        <v>0.25719000000000003</v>
      </c>
      <c r="Z624" s="1">
        <v>1931.875</v>
      </c>
      <c r="AA624" s="2">
        <f t="shared" si="77"/>
        <v>0.92133600000000004</v>
      </c>
      <c r="AB624">
        <v>46.066800000000001</v>
      </c>
      <c r="AE624">
        <v>1931.8333333332862</v>
      </c>
      <c r="AF624">
        <v>0.63374980394586067</v>
      </c>
    </row>
    <row r="625" spans="4:32" x14ac:dyDescent="0.35">
      <c r="D625">
        <v>0.85262799999999994</v>
      </c>
      <c r="M625">
        <f t="shared" si="78"/>
        <v>624</v>
      </c>
      <c r="N625">
        <f t="shared" si="79"/>
        <v>1931.9166666666194</v>
      </c>
      <c r="O625">
        <f t="shared" si="74"/>
        <v>0</v>
      </c>
      <c r="P625">
        <f t="array" ref="P625">+SUM($G$2:$G$18*SIN(2*PI()*(N625)*$B$1/$F$2:$F$18+$H$2:$H$18))</f>
        <v>0.26525733560561254</v>
      </c>
      <c r="Q625">
        <f t="shared" si="75"/>
        <v>0</v>
      </c>
      <c r="R625">
        <f t="shared" si="76"/>
        <v>-1.8234077660566242E-2</v>
      </c>
      <c r="S625">
        <f t="array" ref="S625">+$B$2*SIN(R625*$B$3+$B$4)+0*R625+ SUM($J$2:$J$20*SIN(2*PI()*N625*$I$2:$I$20+$K$2:$K$20))</f>
        <v>0.63588824328717397</v>
      </c>
      <c r="U625" s="3">
        <f t="shared" si="72"/>
        <v>1931.9166666666194</v>
      </c>
      <c r="V625" s="3">
        <f t="shared" si="73"/>
        <v>0.32902000000000003</v>
      </c>
      <c r="Z625" s="1">
        <v>1931.9583</v>
      </c>
      <c r="AA625" s="2">
        <f t="shared" si="77"/>
        <v>1.039272</v>
      </c>
      <c r="AB625">
        <v>51.9636</v>
      </c>
      <c r="AE625">
        <v>1931.9166666666194</v>
      </c>
      <c r="AF625">
        <v>0.63588824328717397</v>
      </c>
    </row>
    <row r="626" spans="4:32" x14ac:dyDescent="0.35">
      <c r="D626">
        <v>0.92133600000000004</v>
      </c>
      <c r="M626">
        <f t="shared" si="78"/>
        <v>625</v>
      </c>
      <c r="N626">
        <f t="shared" si="79"/>
        <v>1931.9999999999527</v>
      </c>
      <c r="O626">
        <f t="shared" si="74"/>
        <v>36.637715116165623</v>
      </c>
      <c r="P626">
        <f t="array" ref="P626">+SUM($G$2:$G$18*SIN(2*PI()*(N626)*$B$1/$F$2:$F$18+$H$2:$H$18))</f>
        <v>0.16265826198593375</v>
      </c>
      <c r="Q626">
        <f t="shared" si="75"/>
        <v>5.9594270639312734</v>
      </c>
      <c r="R626">
        <f t="shared" si="76"/>
        <v>-9.0395923915369096E-3</v>
      </c>
      <c r="S626">
        <f t="array" ref="S626">+$B$2*SIN(R626*$B$3+$B$4)+0*R626+ SUM($J$2:$J$20*SIN(2*PI()*N626*$I$2:$I$20+$K$2:$K$20))</f>
        <v>0.29654779540623405</v>
      </c>
      <c r="U626" s="3">
        <f t="shared" si="72"/>
        <v>1931.9999999999527</v>
      </c>
      <c r="V626" s="3">
        <f t="shared" si="73"/>
        <v>0.317774</v>
      </c>
      <c r="Z626" s="1">
        <v>1932.0417</v>
      </c>
      <c r="AA626" s="2">
        <f t="shared" si="77"/>
        <v>1.164898</v>
      </c>
      <c r="AB626">
        <v>58.244900000000001</v>
      </c>
      <c r="AE626">
        <v>1931.9999999999527</v>
      </c>
      <c r="AF626">
        <v>0.29654779540623405</v>
      </c>
    </row>
    <row r="627" spans="4:32" x14ac:dyDescent="0.35">
      <c r="D627">
        <v>1.039272</v>
      </c>
      <c r="M627">
        <f t="shared" si="78"/>
        <v>626</v>
      </c>
      <c r="N627">
        <f t="shared" si="79"/>
        <v>1932.083333333286</v>
      </c>
      <c r="O627">
        <f t="shared" si="74"/>
        <v>0</v>
      </c>
      <c r="P627">
        <f t="array" ref="P627">+SUM($G$2:$G$18*SIN(2*PI()*(N627)*$B$1/$F$2:$F$18+$H$2:$H$18))</f>
        <v>-0.18482571933385611</v>
      </c>
      <c r="Q627">
        <f t="shared" si="75"/>
        <v>0</v>
      </c>
      <c r="R627">
        <f t="shared" si="76"/>
        <v>-9.025688224486737E-3</v>
      </c>
      <c r="S627">
        <f t="array" ref="S627">+$B$2*SIN(R627*$B$3+$B$4)+0*R627+ SUM($J$2:$J$20*SIN(2*PI()*N627*$I$2:$I$20+$K$2:$K$20))</f>
        <v>0.29473624215497091</v>
      </c>
      <c r="U627" s="3">
        <f t="shared" si="72"/>
        <v>1932.083333333286</v>
      </c>
      <c r="V627" s="3">
        <f t="shared" si="73"/>
        <v>0.25268200000000002</v>
      </c>
      <c r="Z627" s="1">
        <v>1932.125</v>
      </c>
      <c r="AA627" s="2">
        <f t="shared" si="77"/>
        <v>1.2074480000000001</v>
      </c>
      <c r="AB627">
        <v>60.372399999999999</v>
      </c>
      <c r="AE627">
        <v>1932.083333333286</v>
      </c>
      <c r="AF627">
        <v>0.29473624215497091</v>
      </c>
    </row>
    <row r="628" spans="4:32" x14ac:dyDescent="0.35">
      <c r="D628">
        <v>1.164898</v>
      </c>
      <c r="M628">
        <f t="shared" si="78"/>
        <v>627</v>
      </c>
      <c r="N628">
        <f t="shared" si="79"/>
        <v>1932.1666666666192</v>
      </c>
      <c r="O628">
        <f t="shared" si="74"/>
        <v>0</v>
      </c>
      <c r="P628">
        <f t="array" ref="P628">+SUM($G$2:$G$18*SIN(2*PI()*(N628)*$B$1/$F$2:$F$18+$H$2:$H$18))</f>
        <v>-0.20697282443325377</v>
      </c>
      <c r="Q628">
        <f t="shared" si="75"/>
        <v>0</v>
      </c>
      <c r="R628">
        <f t="shared" si="76"/>
        <v>-9.0118054440050058E-3</v>
      </c>
      <c r="S628">
        <f t="array" ref="S628">+$B$2*SIN(R628*$B$3+$B$4)+0*R628+ SUM($J$2:$J$20*SIN(2*PI()*N628*$I$2:$I$20+$K$2:$K$20))</f>
        <v>0.29292546152694038</v>
      </c>
      <c r="U628" s="3">
        <f t="shared" si="72"/>
        <v>1932.1666666666192</v>
      </c>
      <c r="V628" s="3">
        <f t="shared" si="73"/>
        <v>0.24143200000000001</v>
      </c>
      <c r="Z628" s="1">
        <v>1932.2083</v>
      </c>
      <c r="AA628" s="2">
        <f t="shared" si="77"/>
        <v>1.143842</v>
      </c>
      <c r="AB628">
        <v>57.192100000000003</v>
      </c>
      <c r="AE628">
        <v>1932.1666666666192</v>
      </c>
      <c r="AF628">
        <v>0.29292546152694038</v>
      </c>
    </row>
    <row r="629" spans="4:32" x14ac:dyDescent="0.35">
      <c r="D629">
        <v>1.2074480000000001</v>
      </c>
      <c r="M629">
        <f t="shared" si="78"/>
        <v>628</v>
      </c>
      <c r="N629">
        <f t="shared" si="79"/>
        <v>1932.2499999999525</v>
      </c>
      <c r="O629">
        <f t="shared" si="74"/>
        <v>0</v>
      </c>
      <c r="P629">
        <f t="array" ref="P629">+SUM($G$2:$G$18*SIN(2*PI()*(N629)*$B$1/$F$2:$F$18+$H$2:$H$18))</f>
        <v>-7.8628832255844355E-2</v>
      </c>
      <c r="Q629">
        <f t="shared" si="75"/>
        <v>0</v>
      </c>
      <c r="R629">
        <f t="shared" si="76"/>
        <v>-8.9979440171961602E-3</v>
      </c>
      <c r="S629">
        <f t="array" ref="S629">+$B$2*SIN(R629*$B$3+$B$4)+0*R629+ SUM($J$2:$J$20*SIN(2*PI()*N629*$I$2:$I$20+$K$2:$K$20))</f>
        <v>0.29111547085817696</v>
      </c>
      <c r="U629" s="3">
        <f t="shared" si="72"/>
        <v>1932.2499999999525</v>
      </c>
      <c r="V629" s="3">
        <f t="shared" si="73"/>
        <v>0.22248999999999999</v>
      </c>
      <c r="Z629" s="1">
        <v>1932.2917</v>
      </c>
      <c r="AA629" s="2">
        <f t="shared" si="77"/>
        <v>1.120234</v>
      </c>
      <c r="AB629">
        <v>56.011699999999998</v>
      </c>
      <c r="AE629">
        <v>1932.2499999999525</v>
      </c>
      <c r="AF629">
        <v>0.29111547085817696</v>
      </c>
    </row>
    <row r="630" spans="4:32" x14ac:dyDescent="0.35">
      <c r="D630">
        <v>1.143842</v>
      </c>
      <c r="M630">
        <f t="shared" si="78"/>
        <v>629</v>
      </c>
      <c r="N630">
        <f t="shared" si="79"/>
        <v>1932.3333333332857</v>
      </c>
      <c r="O630">
        <f t="shared" si="74"/>
        <v>0</v>
      </c>
      <c r="P630">
        <f t="array" ref="P630">+SUM($G$2:$G$18*SIN(2*PI()*(N630)*$B$1/$F$2:$F$18+$H$2:$H$18))</f>
        <v>-0.51164044890204441</v>
      </c>
      <c r="Q630">
        <f t="shared" si="75"/>
        <v>0</v>
      </c>
      <c r="R630">
        <f t="shared" si="76"/>
        <v>-8.9841039112152406E-3</v>
      </c>
      <c r="S630">
        <f t="array" ref="S630">+$B$2*SIN(R630*$B$3+$B$4)+0*R630+ SUM($J$2:$J$20*SIN(2*PI()*N630*$I$2:$I$20+$K$2:$K$20))</f>
        <v>0.28930628735783037</v>
      </c>
      <c r="U630" s="3">
        <f t="shared" si="72"/>
        <v>1932.3333333332857</v>
      </c>
      <c r="V630" s="3">
        <f t="shared" si="73"/>
        <v>0.14662600000000001</v>
      </c>
      <c r="Z630" s="1">
        <v>1932.375</v>
      </c>
      <c r="AA630" s="2">
        <f t="shared" si="77"/>
        <v>0.85816400000000004</v>
      </c>
      <c r="AB630">
        <v>42.908200000000001</v>
      </c>
      <c r="AE630">
        <v>1932.3333333332857</v>
      </c>
      <c r="AF630">
        <v>0.28930628735783037</v>
      </c>
    </row>
    <row r="631" spans="4:32" x14ac:dyDescent="0.35">
      <c r="D631">
        <v>1.120234</v>
      </c>
      <c r="M631">
        <f t="shared" si="78"/>
        <v>630</v>
      </c>
      <c r="N631">
        <f t="shared" si="79"/>
        <v>1932.416666666619</v>
      </c>
      <c r="O631">
        <f t="shared" si="74"/>
        <v>0</v>
      </c>
      <c r="P631">
        <f t="array" ref="P631">+SUM($G$2:$G$18*SIN(2*PI()*(N631)*$B$1/$F$2:$F$18+$H$2:$H$18))</f>
        <v>-0.93510332273519314</v>
      </c>
      <c r="Q631">
        <f t="shared" si="75"/>
        <v>0</v>
      </c>
      <c r="R631">
        <f t="shared" si="76"/>
        <v>-8.9702850932678081E-3</v>
      </c>
      <c r="S631">
        <f t="array" ref="S631">+$B$2*SIN(R631*$B$3+$B$4)+0*R631+ SUM($J$2:$J$20*SIN(2*PI()*N631*$I$2:$I$20+$K$2:$K$20))</f>
        <v>0.28749792810869884</v>
      </c>
      <c r="U631" s="3">
        <f t="shared" si="72"/>
        <v>1932.416666666619</v>
      </c>
      <c r="V631" s="3">
        <f t="shared" si="73"/>
        <v>0.48460199999999998</v>
      </c>
      <c r="Z631" s="1">
        <v>1932.4583</v>
      </c>
      <c r="AA631" s="2">
        <f t="shared" si="77"/>
        <v>0.79455600000000004</v>
      </c>
      <c r="AB631">
        <v>39.727800000000002</v>
      </c>
      <c r="AE631">
        <v>1932.416666666619</v>
      </c>
      <c r="AF631">
        <v>0.28749792810869884</v>
      </c>
    </row>
    <row r="632" spans="4:32" x14ac:dyDescent="0.35">
      <c r="D632">
        <v>0.85816400000000004</v>
      </c>
      <c r="M632">
        <f t="shared" si="78"/>
        <v>631</v>
      </c>
      <c r="N632">
        <f t="shared" si="79"/>
        <v>1932.4999999999523</v>
      </c>
      <c r="O632">
        <f t="shared" si="74"/>
        <v>0</v>
      </c>
      <c r="P632">
        <f t="array" ref="P632">+SUM($G$2:$G$18*SIN(2*PI()*(N632)*$B$1/$F$2:$F$18+$H$2:$H$18))</f>
        <v>-0.46932339082680163</v>
      </c>
      <c r="Q632">
        <f t="shared" si="75"/>
        <v>0</v>
      </c>
      <c r="R632">
        <f t="shared" si="76"/>
        <v>-8.9564875306098694E-3</v>
      </c>
      <c r="S632">
        <f t="array" ref="S632">+$B$2*SIN(R632*$B$3+$B$4)+0*R632+ SUM($J$2:$J$20*SIN(2*PI()*N632*$I$2:$I$20+$K$2:$K$20))</f>
        <v>0.2856904100677673</v>
      </c>
      <c r="U632" s="3">
        <f t="shared" si="72"/>
        <v>1932.4999999999523</v>
      </c>
      <c r="V632" s="3">
        <f t="shared" si="73"/>
        <v>0.54565799999999998</v>
      </c>
      <c r="Z632" s="1">
        <v>1932.5417</v>
      </c>
      <c r="AA632" s="2">
        <f t="shared" si="77"/>
        <v>0.73094399999999993</v>
      </c>
      <c r="AB632">
        <v>36.547199999999997</v>
      </c>
      <c r="AE632">
        <v>1932.4999999999523</v>
      </c>
      <c r="AF632">
        <v>0.2856904100677673</v>
      </c>
    </row>
    <row r="633" spans="4:32" x14ac:dyDescent="0.35">
      <c r="D633">
        <v>0.79455600000000004</v>
      </c>
      <c r="M633">
        <f t="shared" si="78"/>
        <v>632</v>
      </c>
      <c r="N633">
        <f t="shared" si="79"/>
        <v>1932.5833333332855</v>
      </c>
      <c r="O633">
        <f t="shared" si="74"/>
        <v>0</v>
      </c>
      <c r="P633">
        <f t="array" ref="P633">+SUM($G$2:$G$18*SIN(2*PI()*(N633)*$B$1/$F$2:$F$18+$H$2:$H$18))</f>
        <v>0.31602489119950472</v>
      </c>
      <c r="Q633">
        <f t="shared" si="75"/>
        <v>0</v>
      </c>
      <c r="R633">
        <f t="shared" si="76"/>
        <v>-8.9427111905477918E-3</v>
      </c>
      <c r="S633">
        <f t="array" ref="S633">+$B$2*SIN(R633*$B$3+$B$4)+0*R633+ SUM($J$2:$J$20*SIN(2*PI()*N633*$I$2:$I$20+$K$2:$K$20))</f>
        <v>0.28388375006674099</v>
      </c>
      <c r="U633" s="3">
        <f t="shared" si="72"/>
        <v>1932.5833333332855</v>
      </c>
      <c r="V633" s="3">
        <f t="shared" si="73"/>
        <v>0.68825199999999997</v>
      </c>
      <c r="Z633" s="1">
        <v>1932.625</v>
      </c>
      <c r="AA633" s="2">
        <f t="shared" si="77"/>
        <v>0.73194800000000004</v>
      </c>
      <c r="AB633">
        <v>36.5974</v>
      </c>
      <c r="AE633">
        <v>1932.5833333332855</v>
      </c>
      <c r="AF633">
        <v>0.28388375006674099</v>
      </c>
    </row>
    <row r="634" spans="4:32" x14ac:dyDescent="0.35">
      <c r="D634">
        <v>0.73094399999999993</v>
      </c>
      <c r="M634">
        <f t="shared" si="78"/>
        <v>633</v>
      </c>
      <c r="N634">
        <f t="shared" si="79"/>
        <v>1932.6666666666188</v>
      </c>
      <c r="O634">
        <f t="shared" si="74"/>
        <v>0</v>
      </c>
      <c r="P634">
        <f t="array" ref="P634">+SUM($G$2:$G$18*SIN(2*PI()*(N634)*$B$1/$F$2:$F$18+$H$2:$H$18))</f>
        <v>0.58096550860666951</v>
      </c>
      <c r="Q634">
        <f t="shared" si="75"/>
        <v>0</v>
      </c>
      <c r="R634">
        <f t="shared" si="76"/>
        <v>-8.9289560404382327E-3</v>
      </c>
      <c r="S634">
        <f t="array" ref="S634">+$B$2*SIN(R634*$B$3+$B$4)+0*R634+ SUM($J$2:$J$20*SIN(2*PI()*N634*$I$2:$I$20+$K$2:$K$20))</f>
        <v>0.28207796481258246</v>
      </c>
      <c r="U634" s="3">
        <f t="shared" si="72"/>
        <v>1932.6666666666188</v>
      </c>
      <c r="V634" s="3">
        <f t="shared" si="73"/>
        <v>0.77391799999999999</v>
      </c>
      <c r="Z634" s="1">
        <v>1932.7083</v>
      </c>
      <c r="AA634" s="2">
        <f t="shared" si="77"/>
        <v>0.18526000000000001</v>
      </c>
      <c r="AB634">
        <v>9.2629999999999999</v>
      </c>
      <c r="AE634">
        <v>1932.6666666666188</v>
      </c>
      <c r="AF634">
        <v>0.28207796481258246</v>
      </c>
    </row>
    <row r="635" spans="4:32" x14ac:dyDescent="0.35">
      <c r="D635">
        <v>0.73194800000000004</v>
      </c>
      <c r="M635">
        <f t="shared" si="78"/>
        <v>634</v>
      </c>
      <c r="N635">
        <f t="shared" si="79"/>
        <v>1932.749999999952</v>
      </c>
      <c r="O635">
        <f t="shared" si="74"/>
        <v>0</v>
      </c>
      <c r="P635">
        <f t="array" ref="P635">+SUM($G$2:$G$18*SIN(2*PI()*(N635)*$B$1/$F$2:$F$18+$H$2:$H$18))</f>
        <v>0.24811537743592332</v>
      </c>
      <c r="Q635">
        <f t="shared" si="75"/>
        <v>0</v>
      </c>
      <c r="R635">
        <f t="shared" si="76"/>
        <v>-8.9152220476880588E-3</v>
      </c>
      <c r="S635">
        <f t="array" ref="S635">+$B$2*SIN(R635*$B$3+$B$4)+0*R635+ SUM($J$2:$J$20*SIN(2*PI()*N635*$I$2:$I$20+$K$2:$K$20))</f>
        <v>0.28027307088804387</v>
      </c>
      <c r="U635" s="3">
        <f t="shared" ref="U635:U698" si="80">+N635</f>
        <v>1932.749999999952</v>
      </c>
      <c r="V635" s="3">
        <f t="shared" ref="V635:V698" si="81">+D593</f>
        <v>0.60727799999999998</v>
      </c>
      <c r="Z635" s="1">
        <v>1932.7917</v>
      </c>
      <c r="AA635" s="2">
        <f t="shared" si="77"/>
        <v>0.40779799999999999</v>
      </c>
      <c r="AB635">
        <v>20.389900000000001</v>
      </c>
      <c r="AE635">
        <v>1932.749999999952</v>
      </c>
      <c r="AF635">
        <v>0.28027307088804387</v>
      </c>
    </row>
    <row r="636" spans="4:32" x14ac:dyDescent="0.35">
      <c r="D636">
        <v>0.18526000000000001</v>
      </c>
      <c r="M636">
        <f t="shared" si="78"/>
        <v>635</v>
      </c>
      <c r="N636">
        <f t="shared" si="79"/>
        <v>1932.8333333332853</v>
      </c>
      <c r="O636">
        <f t="shared" si="74"/>
        <v>0</v>
      </c>
      <c r="P636">
        <f t="array" ref="P636">+SUM($G$2:$G$18*SIN(2*PI()*(N636)*$B$1/$F$2:$F$18+$H$2:$H$18))</f>
        <v>-0.18258650674454149</v>
      </c>
      <c r="Q636">
        <f t="shared" si="75"/>
        <v>0</v>
      </c>
      <c r="R636">
        <f t="shared" si="76"/>
        <v>-8.9015091797542689E-3</v>
      </c>
      <c r="S636">
        <f t="array" ref="S636">+$B$2*SIN(R636*$B$3+$B$4)+0*R636+ SUM($J$2:$J$20*SIN(2*PI()*N636*$I$2:$I$20+$K$2:$K$20))</f>
        <v>0.27846908475220067</v>
      </c>
      <c r="U636" s="3">
        <f t="shared" si="80"/>
        <v>1932.8333333332853</v>
      </c>
      <c r="V636" s="3">
        <f t="shared" si="81"/>
        <v>0.50063599999999997</v>
      </c>
      <c r="Z636" s="1">
        <v>1932.875</v>
      </c>
      <c r="AA636" s="2">
        <f t="shared" si="77"/>
        <v>0.39341399999999999</v>
      </c>
      <c r="AB636">
        <v>19.6707</v>
      </c>
      <c r="AE636">
        <v>1932.8333333332853</v>
      </c>
      <c r="AF636">
        <v>0.27846908475220067</v>
      </c>
    </row>
    <row r="637" spans="4:32" x14ac:dyDescent="0.35">
      <c r="D637">
        <v>0.40779799999999999</v>
      </c>
      <c r="M637">
        <f t="shared" si="78"/>
        <v>636</v>
      </c>
      <c r="N637">
        <f t="shared" si="79"/>
        <v>1932.9166666666185</v>
      </c>
      <c r="O637">
        <f t="shared" si="74"/>
        <v>0</v>
      </c>
      <c r="P637">
        <f t="array" ref="P637">+SUM($G$2:$G$18*SIN(2*PI()*(N637)*$B$1/$F$2:$F$18+$H$2:$H$18))</f>
        <v>-0.12451675759528813</v>
      </c>
      <c r="Q637">
        <f t="shared" si="75"/>
        <v>0</v>
      </c>
      <c r="R637">
        <f t="shared" si="76"/>
        <v>-8.8878174041439207E-3</v>
      </c>
      <c r="S637">
        <f t="array" ref="S637">+$B$2*SIN(R637*$B$3+$B$4)+0*R637+ SUM($J$2:$J$20*SIN(2*PI()*N637*$I$2:$I$20+$K$2:$K$20))</f>
        <v>0.27666602274098689</v>
      </c>
      <c r="U637" s="3">
        <f t="shared" si="80"/>
        <v>1932.9166666666185</v>
      </c>
      <c r="V637" s="3">
        <f t="shared" si="81"/>
        <v>0.48475999999999997</v>
      </c>
      <c r="Z637" s="1">
        <v>1932.9583</v>
      </c>
      <c r="AA637" s="2">
        <f t="shared" si="77"/>
        <v>0.371338</v>
      </c>
      <c r="AB637">
        <v>18.5669</v>
      </c>
      <c r="AE637">
        <v>1932.9166666666185</v>
      </c>
      <c r="AF637">
        <v>0.27666602274098689</v>
      </c>
    </row>
    <row r="638" spans="4:32" x14ac:dyDescent="0.35">
      <c r="D638">
        <v>0.39341399999999999</v>
      </c>
      <c r="M638">
        <f t="shared" si="78"/>
        <v>637</v>
      </c>
      <c r="N638">
        <f t="shared" si="79"/>
        <v>1932.9999999999518</v>
      </c>
      <c r="O638">
        <f t="shared" si="74"/>
        <v>36.637715116165623</v>
      </c>
      <c r="P638">
        <f t="array" ref="P638">+SUM($G$2:$G$18*SIN(2*PI()*(N638)*$B$1/$F$2:$F$18+$H$2:$H$18))</f>
        <v>-3.9905125609482617E-3</v>
      </c>
      <c r="Q638">
        <f t="shared" si="75"/>
        <v>-0.14620326237550291</v>
      </c>
      <c r="R638">
        <f t="shared" si="76"/>
        <v>-9.0990279104094466E-3</v>
      </c>
      <c r="S638">
        <f t="array" ref="S638">+$B$2*SIN(R638*$B$3+$B$4)+0*R638+ SUM($J$2:$J$20*SIN(2*PI()*N638*$I$2:$I$20+$K$2:$K$20))</f>
        <v>0.30426851320538811</v>
      </c>
      <c r="U638" s="3">
        <f t="shared" si="80"/>
        <v>1932.9999999999518</v>
      </c>
      <c r="V638" s="3">
        <f t="shared" si="81"/>
        <v>0.37042400000000003</v>
      </c>
      <c r="Z638" s="1">
        <v>1933.0417</v>
      </c>
      <c r="AA638" s="2">
        <f t="shared" si="77"/>
        <v>0.37541200000000002</v>
      </c>
      <c r="AB638">
        <v>18.770600000000002</v>
      </c>
      <c r="AE638">
        <v>1932.9999999999518</v>
      </c>
      <c r="AF638">
        <v>0.30426851320538811</v>
      </c>
    </row>
    <row r="639" spans="4:32" x14ac:dyDescent="0.35">
      <c r="D639">
        <v>0.371338</v>
      </c>
      <c r="M639">
        <f t="shared" si="78"/>
        <v>638</v>
      </c>
      <c r="N639">
        <f t="shared" si="79"/>
        <v>1933.0833333332851</v>
      </c>
      <c r="O639">
        <f t="shared" si="74"/>
        <v>0</v>
      </c>
      <c r="P639">
        <f t="array" ref="P639">+SUM($G$2:$G$18*SIN(2*PI()*(N639)*$B$1/$F$2:$F$18+$H$2:$H$18))</f>
        <v>-0.41019253765635788</v>
      </c>
      <c r="Q639">
        <f t="shared" si="75"/>
        <v>0</v>
      </c>
      <c r="R639">
        <f t="shared" si="76"/>
        <v>-9.085032323154987E-3</v>
      </c>
      <c r="S639">
        <f t="array" ref="S639">+$B$2*SIN(R639*$B$3+$B$4)+0*R639+ SUM($J$2:$J$20*SIN(2*PI()*N639*$I$2:$I$20+$K$2:$K$20))</f>
        <v>0.30245386759735188</v>
      </c>
      <c r="U639" s="3">
        <f t="shared" si="80"/>
        <v>1933.0833333332851</v>
      </c>
      <c r="V639" s="3">
        <f t="shared" si="81"/>
        <v>0.19300999999999999</v>
      </c>
      <c r="Z639" s="1">
        <v>1933.125</v>
      </c>
      <c r="AA639" s="2">
        <f t="shared" si="77"/>
        <v>0.508718</v>
      </c>
      <c r="AB639">
        <v>25.4359</v>
      </c>
      <c r="AE639">
        <v>1933.0833333332851</v>
      </c>
      <c r="AF639">
        <v>0.30245386759735188</v>
      </c>
    </row>
    <row r="640" spans="4:32" x14ac:dyDescent="0.35">
      <c r="D640">
        <v>0.37541200000000002</v>
      </c>
      <c r="M640">
        <f t="shared" si="78"/>
        <v>639</v>
      </c>
      <c r="N640">
        <f t="shared" si="79"/>
        <v>1933.1666666666183</v>
      </c>
      <c r="O640">
        <f t="shared" si="74"/>
        <v>0</v>
      </c>
      <c r="P640">
        <f t="array" ref="P640">+SUM($G$2:$G$18*SIN(2*PI()*(N640)*$B$1/$F$2:$F$18+$H$2:$H$18))</f>
        <v>-0.54135743355921018</v>
      </c>
      <c r="Q640">
        <f t="shared" si="75"/>
        <v>0</v>
      </c>
      <c r="R640">
        <f t="shared" si="76"/>
        <v>-9.0710582630861257E-3</v>
      </c>
      <c r="S640">
        <f t="array" ref="S640">+$B$2*SIN(R640*$B$3+$B$4)+0*R640+ SUM($J$2:$J$20*SIN(2*PI()*N640*$I$2:$I$20+$K$2:$K$20))</f>
        <v>0.30063991937379136</v>
      </c>
      <c r="U640" s="3">
        <f t="shared" si="80"/>
        <v>1933.1666666666183</v>
      </c>
      <c r="V640" s="3">
        <f t="shared" si="81"/>
        <v>-1.0562E-2</v>
      </c>
      <c r="Z640" s="1">
        <v>1933.2083</v>
      </c>
      <c r="AA640" s="2">
        <f t="shared" si="77"/>
        <v>0.48509799999999997</v>
      </c>
      <c r="AB640">
        <v>24.254899999999999</v>
      </c>
      <c r="AE640">
        <v>1933.1666666666183</v>
      </c>
      <c r="AF640">
        <v>0.30063991937379136</v>
      </c>
    </row>
    <row r="641" spans="4:32" x14ac:dyDescent="0.35">
      <c r="D641">
        <v>0.508718</v>
      </c>
      <c r="M641">
        <f t="shared" si="78"/>
        <v>640</v>
      </c>
      <c r="N641">
        <f t="shared" si="79"/>
        <v>1933.2499999999516</v>
      </c>
      <c r="O641">
        <f t="shared" si="74"/>
        <v>0</v>
      </c>
      <c r="P641">
        <f t="array" ref="P641">+SUM($G$2:$G$18*SIN(2*PI()*(N641)*$B$1/$F$2:$F$18+$H$2:$H$18))</f>
        <v>0.15545076347443726</v>
      </c>
      <c r="Q641">
        <f t="shared" si="75"/>
        <v>0</v>
      </c>
      <c r="R641">
        <f t="shared" si="76"/>
        <v>-9.0571056970910179E-3</v>
      </c>
      <c r="S641">
        <f t="array" ref="S641">+$B$2*SIN(R641*$B$3+$B$4)+0*R641+ SUM($J$2:$J$20*SIN(2*PI()*N641*$I$2:$I$20+$K$2:$K$20))</f>
        <v>0.29882668641695798</v>
      </c>
      <c r="U641" s="3">
        <f t="shared" si="80"/>
        <v>1933.2499999999516</v>
      </c>
      <c r="V641" s="3">
        <f t="shared" si="81"/>
        <v>-8.1823999999999994E-2</v>
      </c>
      <c r="Z641" s="1">
        <v>1933.2917</v>
      </c>
      <c r="AA641" s="2">
        <f t="shared" si="77"/>
        <v>0.270706</v>
      </c>
      <c r="AB641">
        <v>13.535299999999999</v>
      </c>
      <c r="AE641">
        <v>1933.2499999999516</v>
      </c>
      <c r="AF641">
        <v>0.29882668641695798</v>
      </c>
    </row>
    <row r="642" spans="4:32" x14ac:dyDescent="0.35">
      <c r="D642">
        <v>0.48509799999999997</v>
      </c>
      <c r="M642">
        <f t="shared" si="78"/>
        <v>641</v>
      </c>
      <c r="N642">
        <f t="shared" si="79"/>
        <v>1933.3333333332848</v>
      </c>
      <c r="O642">
        <f t="shared" ref="O642:O705" si="82">+IF(MOD(M642,$B$5)=1, $B$6, 0)</f>
        <v>0</v>
      </c>
      <c r="P642">
        <f t="array" ref="P642">+SUM($G$2:$G$18*SIN(2*PI()*(N642)*$B$1/$F$2:$F$18+$H$2:$H$18))</f>
        <v>0.84544956743995447</v>
      </c>
      <c r="Q642">
        <f t="shared" si="75"/>
        <v>0</v>
      </c>
      <c r="R642">
        <f t="shared" si="76"/>
        <v>-9.0431745921087485E-3</v>
      </c>
      <c r="S642">
        <f t="array" ref="S642">+$B$2*SIN(R642*$B$3+$B$4)+0*R642+ SUM($J$2:$J$20*SIN(2*PI()*N642*$I$2:$I$20+$K$2:$K$20))</f>
        <v>0.29701418647992656</v>
      </c>
      <c r="U642" s="3">
        <f t="shared" si="80"/>
        <v>1933.3333333332848</v>
      </c>
      <c r="V642" s="3">
        <f t="shared" si="81"/>
        <v>-2.3180000000000002E-3</v>
      </c>
      <c r="Z642" s="1">
        <v>1933.375</v>
      </c>
      <c r="AA642" s="2">
        <f t="shared" si="77"/>
        <v>7.9394000000000006E-2</v>
      </c>
      <c r="AB642">
        <v>3.9697</v>
      </c>
      <c r="AE642">
        <v>1933.3333333332848</v>
      </c>
      <c r="AF642">
        <v>0.29701418647992656</v>
      </c>
    </row>
    <row r="643" spans="4:32" x14ac:dyDescent="0.35">
      <c r="D643">
        <v>0.270706</v>
      </c>
      <c r="M643">
        <f t="shared" si="78"/>
        <v>642</v>
      </c>
      <c r="N643">
        <f t="shared" si="79"/>
        <v>1933.4166666666181</v>
      </c>
      <c r="O643">
        <f t="shared" si="82"/>
        <v>0</v>
      </c>
      <c r="P643">
        <f t="array" ref="P643">+SUM($G$2:$G$18*SIN(2*PI()*(N643)*$B$1/$F$2:$F$18+$H$2:$H$18))</f>
        <v>0.86139198359552127</v>
      </c>
      <c r="Q643">
        <f t="shared" ref="Q643:Q706" si="83">+O643*P643</f>
        <v>0</v>
      </c>
      <c r="R643">
        <f t="shared" ref="R643:R706" si="84">+(1-$B$7)*R642+($B$7)*Q643</f>
        <v>-9.0292649151292575E-3</v>
      </c>
      <c r="S643">
        <f t="array" ref="S643">+$B$2*SIN(R643*$B$3+$B$4)+0*R643+ SUM($J$2:$J$20*SIN(2*PI()*N643*$I$2:$I$20+$K$2:$K$20))</f>
        <v>0.29520243718713829</v>
      </c>
      <c r="U643" s="3">
        <f t="shared" si="80"/>
        <v>1933.4166666666181</v>
      </c>
      <c r="V643" s="3">
        <f t="shared" si="81"/>
        <v>0.115646</v>
      </c>
      <c r="Z643" s="1">
        <v>1933.4583</v>
      </c>
      <c r="AA643" s="2">
        <f t="shared" ref="AA643:AA706" si="85">+AB643/50</f>
        <v>3.4234000000000001E-2</v>
      </c>
      <c r="AB643">
        <v>1.7117</v>
      </c>
      <c r="AE643">
        <v>1933.4166666666181</v>
      </c>
      <c r="AF643">
        <v>0.29520243718713829</v>
      </c>
    </row>
    <row r="644" spans="4:32" x14ac:dyDescent="0.35">
      <c r="D644">
        <v>7.9394000000000006E-2</v>
      </c>
      <c r="M644">
        <f t="shared" ref="M644:M707" si="86">+M643+1</f>
        <v>643</v>
      </c>
      <c r="N644">
        <f t="shared" ref="N644:N707" si="87">+N643+1/12</f>
        <v>1933.4999999999513</v>
      </c>
      <c r="O644">
        <f t="shared" si="82"/>
        <v>0</v>
      </c>
      <c r="P644">
        <f t="array" ref="P644">+SUM($G$2:$G$18*SIN(2*PI()*(N644)*$B$1/$F$2:$F$18+$H$2:$H$18))</f>
        <v>0.32042673831563939</v>
      </c>
      <c r="Q644">
        <f t="shared" si="83"/>
        <v>0</v>
      </c>
      <c r="R644">
        <f t="shared" si="84"/>
        <v>-9.0153766331932551E-3</v>
      </c>
      <c r="S644">
        <f t="array" ref="S644">+$B$2*SIN(R644*$B$3+$B$4)+0*R644+ SUM($J$2:$J$20*SIN(2*PI()*N644*$I$2:$I$20+$K$2:$K$20))</f>
        <v>0.29339145603493466</v>
      </c>
      <c r="U644" s="3">
        <f t="shared" si="80"/>
        <v>1933.4999999999513</v>
      </c>
      <c r="V644" s="3">
        <f t="shared" si="81"/>
        <v>-1.7158E-2</v>
      </c>
      <c r="Z644" s="1">
        <v>1933.5417</v>
      </c>
      <c r="AA644" s="2">
        <f t="shared" si="85"/>
        <v>-0.20323799999999997</v>
      </c>
      <c r="AB644">
        <v>-10.161899999999999</v>
      </c>
      <c r="AE644">
        <v>1933.4999999999513</v>
      </c>
      <c r="AF644">
        <v>0.29339145603493466</v>
      </c>
    </row>
    <row r="645" spans="4:32" x14ac:dyDescent="0.35">
      <c r="D645">
        <v>3.4234000000000001E-2</v>
      </c>
      <c r="M645">
        <f t="shared" si="86"/>
        <v>644</v>
      </c>
      <c r="N645">
        <f t="shared" si="87"/>
        <v>1933.5833333332846</v>
      </c>
      <c r="O645">
        <f t="shared" si="82"/>
        <v>0</v>
      </c>
      <c r="P645">
        <f t="array" ref="P645">+SUM($G$2:$G$18*SIN(2*PI()*(N645)*$B$1/$F$2:$F$18+$H$2:$H$18))</f>
        <v>-0.1331452178090935</v>
      </c>
      <c r="Q645">
        <f t="shared" si="83"/>
        <v>0</v>
      </c>
      <c r="R645">
        <f t="shared" si="84"/>
        <v>-9.0015097133921487E-3</v>
      </c>
      <c r="S645">
        <f t="array" ref="S645">+$B$2*SIN(R645*$B$3+$B$4)+0*R645+ SUM($J$2:$J$20*SIN(2*PI()*N645*$I$2:$I$20+$K$2:$K$20))</f>
        <v>0.29158126039209631</v>
      </c>
      <c r="U645" s="3">
        <f t="shared" si="80"/>
        <v>1933.5833333332846</v>
      </c>
      <c r="V645" s="3">
        <f t="shared" si="81"/>
        <v>-7.4577999999999992E-2</v>
      </c>
      <c r="Z645" s="1">
        <v>1933.625</v>
      </c>
      <c r="AA645" s="2">
        <f t="shared" si="85"/>
        <v>-9.3016000000000001E-2</v>
      </c>
      <c r="AB645">
        <v>-4.6508000000000003</v>
      </c>
      <c r="AE645">
        <v>1933.5833333332846</v>
      </c>
      <c r="AF645">
        <v>0.29158126039209631</v>
      </c>
    </row>
    <row r="646" spans="4:32" x14ac:dyDescent="0.35">
      <c r="D646">
        <v>-0.20323799999999997</v>
      </c>
      <c r="M646">
        <f t="shared" si="86"/>
        <v>645</v>
      </c>
      <c r="N646">
        <f t="shared" si="87"/>
        <v>1933.6666666666179</v>
      </c>
      <c r="O646">
        <f t="shared" si="82"/>
        <v>0</v>
      </c>
      <c r="P646">
        <f t="array" ref="P646">+SUM($G$2:$G$18*SIN(2*PI()*(N646)*$B$1/$F$2:$F$18+$H$2:$H$18))</f>
        <v>1.4916302708615131E-2</v>
      </c>
      <c r="Q646">
        <f t="shared" si="83"/>
        <v>0</v>
      </c>
      <c r="R646">
        <f t="shared" si="84"/>
        <v>-8.9876641228679652E-3</v>
      </c>
      <c r="S646">
        <f t="array" ref="S646">+$B$2*SIN(R646*$B$3+$B$4)+0*R646+ SUM($J$2:$J$20*SIN(2*PI()*N646*$I$2:$I$20+$K$2:$K$20))</f>
        <v>0.28977186750037925</v>
      </c>
      <c r="U646" s="3">
        <f t="shared" si="80"/>
        <v>1933.6666666666179</v>
      </c>
      <c r="V646" s="3">
        <f t="shared" si="81"/>
        <v>3.382E-3</v>
      </c>
      <c r="Z646" s="1">
        <v>1933.7083</v>
      </c>
      <c r="AA646" s="2">
        <f t="shared" si="85"/>
        <v>-0.15972</v>
      </c>
      <c r="AB646">
        <v>-7.9859999999999998</v>
      </c>
      <c r="AE646">
        <v>1933.6666666666179</v>
      </c>
      <c r="AF646">
        <v>0.28977186750037925</v>
      </c>
    </row>
    <row r="647" spans="4:32" x14ac:dyDescent="0.35">
      <c r="D647">
        <v>-9.3016000000000001E-2</v>
      </c>
      <c r="M647">
        <f t="shared" si="86"/>
        <v>646</v>
      </c>
      <c r="N647">
        <f t="shared" si="87"/>
        <v>1933.7499999999511</v>
      </c>
      <c r="O647">
        <f t="shared" si="82"/>
        <v>0</v>
      </c>
      <c r="P647">
        <f t="array" ref="P647">+SUM($G$2:$G$18*SIN(2*PI()*(N647)*$B$1/$F$2:$F$18+$H$2:$H$18))</f>
        <v>0.14238956264593317</v>
      </c>
      <c r="Q647">
        <f t="shared" si="83"/>
        <v>0</v>
      </c>
      <c r="R647">
        <f t="shared" si="84"/>
        <v>-8.9738398288132706E-3</v>
      </c>
      <c r="S647">
        <f t="array" ref="S647">+$B$2*SIN(R647*$B$3+$B$4)+0*R647+ SUM($J$2:$J$20*SIN(2*PI()*N647*$I$2:$I$20+$K$2:$K$20))</f>
        <v>0.28796329447505264</v>
      </c>
      <c r="U647" s="3">
        <f t="shared" si="80"/>
        <v>1933.7499999999511</v>
      </c>
      <c r="V647" s="3">
        <f t="shared" si="81"/>
        <v>7.4960000000000001E-3</v>
      </c>
      <c r="Z647" s="1">
        <v>1933.7917</v>
      </c>
      <c r="AA647" s="2">
        <f t="shared" si="85"/>
        <v>-0.23257999999999998</v>
      </c>
      <c r="AB647">
        <v>-11.629</v>
      </c>
      <c r="AE647">
        <v>1933.7499999999511</v>
      </c>
      <c r="AF647">
        <v>0.28796329447505264</v>
      </c>
    </row>
    <row r="648" spans="4:32" x14ac:dyDescent="0.35">
      <c r="D648">
        <v>-0.15972</v>
      </c>
      <c r="M648">
        <f t="shared" si="86"/>
        <v>647</v>
      </c>
      <c r="N648">
        <f t="shared" si="87"/>
        <v>1933.8333333332844</v>
      </c>
      <c r="O648">
        <f t="shared" si="82"/>
        <v>0</v>
      </c>
      <c r="P648">
        <f t="array" ref="P648">+SUM($G$2:$G$18*SIN(2*PI()*(N648)*$B$1/$F$2:$F$18+$H$2:$H$18))</f>
        <v>-0.18209603244948477</v>
      </c>
      <c r="Q648">
        <f t="shared" si="83"/>
        <v>0</v>
      </c>
      <c r="R648">
        <f t="shared" si="84"/>
        <v>-8.9600367984710924E-3</v>
      </c>
      <c r="S648">
        <f t="array" ref="S648">+$B$2*SIN(R648*$B$3+$B$4)+0*R648+ SUM($J$2:$J$20*SIN(2*PI()*N648*$I$2:$I$20+$K$2:$K$20))</f>
        <v>0.28615555830543193</v>
      </c>
      <c r="U648" s="3">
        <f t="shared" si="80"/>
        <v>1933.8333333332844</v>
      </c>
      <c r="V648" s="3">
        <f t="shared" si="81"/>
        <v>-3.6082000000000003E-2</v>
      </c>
      <c r="Z648" s="1">
        <v>1933.875</v>
      </c>
      <c r="AA648" s="2">
        <f t="shared" si="85"/>
        <v>-0.45620600000000006</v>
      </c>
      <c r="AB648">
        <v>-22.810300000000002</v>
      </c>
      <c r="AE648">
        <v>1933.8333333332844</v>
      </c>
      <c r="AF648">
        <v>0.28615555830543193</v>
      </c>
    </row>
    <row r="649" spans="4:32" x14ac:dyDescent="0.35">
      <c r="D649">
        <v>-0.23257999999999998</v>
      </c>
      <c r="M649">
        <f t="shared" si="86"/>
        <v>648</v>
      </c>
      <c r="N649">
        <f t="shared" si="87"/>
        <v>1933.9166666666176</v>
      </c>
      <c r="O649">
        <f t="shared" si="82"/>
        <v>0</v>
      </c>
      <c r="P649">
        <f t="array" ref="P649">+SUM($G$2:$G$18*SIN(2*PI()*(N649)*$B$1/$F$2:$F$18+$H$2:$H$18))</f>
        <v>-9.9289960421455728E-2</v>
      </c>
      <c r="Q649">
        <f t="shared" si="83"/>
        <v>0</v>
      </c>
      <c r="R649">
        <f t="shared" si="84"/>
        <v>-8.946254999134845E-3</v>
      </c>
      <c r="S649">
        <f t="array" ref="S649">+$B$2*SIN(R649*$B$3+$B$4)+0*R649+ SUM($J$2:$J$20*SIN(2*PI()*N649*$I$2:$I$20+$K$2:$K$20))</f>
        <v>0.28434867585541712</v>
      </c>
      <c r="U649" s="3">
        <f t="shared" si="80"/>
        <v>1933.9166666666176</v>
      </c>
      <c r="V649" s="3">
        <f t="shared" si="81"/>
        <v>-0.23350799999999999</v>
      </c>
      <c r="Z649" s="1">
        <v>1933.9583</v>
      </c>
      <c r="AA649" s="2">
        <f t="shared" si="85"/>
        <v>-0.38906599999999997</v>
      </c>
      <c r="AB649">
        <v>-19.453299999999999</v>
      </c>
      <c r="AE649">
        <v>1933.9166666666176</v>
      </c>
      <c r="AF649">
        <v>0.28434867585541712</v>
      </c>
    </row>
    <row r="650" spans="4:32" x14ac:dyDescent="0.35">
      <c r="D650">
        <v>-0.45620600000000006</v>
      </c>
      <c r="M650">
        <f t="shared" si="86"/>
        <v>649</v>
      </c>
      <c r="N650">
        <f t="shared" si="87"/>
        <v>1933.9999999999509</v>
      </c>
      <c r="O650">
        <f t="shared" si="82"/>
        <v>36.637715116165623</v>
      </c>
      <c r="P650">
        <f t="array" ref="P650">+SUM($G$2:$G$18*SIN(2*PI()*(N650)*$B$1/$F$2:$F$18+$H$2:$H$18))</f>
        <v>0.6205892565301292</v>
      </c>
      <c r="Q650">
        <f t="shared" si="83"/>
        <v>22.7369723849039</v>
      </c>
      <c r="R650">
        <f t="shared" si="84"/>
        <v>2.6040173456967873E-2</v>
      </c>
      <c r="S650">
        <f t="array" ref="S650">+$B$2*SIN(R650*$B$3+$B$4)+0*R650+ SUM($J$2:$J$20*SIN(2*PI()*N650*$I$2:$I$20+$K$2:$K$20))</f>
        <v>6.4423381252205231E-2</v>
      </c>
      <c r="U650" s="3">
        <f t="shared" si="80"/>
        <v>1933.9999999999509</v>
      </c>
      <c r="V650" s="3">
        <f t="shared" si="81"/>
        <v>-0.18785799999999997</v>
      </c>
      <c r="Z650" s="1">
        <v>1934.0417</v>
      </c>
      <c r="AA650" s="2">
        <f t="shared" si="85"/>
        <v>-0.237314</v>
      </c>
      <c r="AB650">
        <v>-11.8657</v>
      </c>
      <c r="AE650">
        <v>1933.9999999999509</v>
      </c>
      <c r="AF650">
        <v>6.4423381252205231E-2</v>
      </c>
    </row>
    <row r="651" spans="4:32" x14ac:dyDescent="0.35">
      <c r="D651">
        <v>-0.38906599999999997</v>
      </c>
      <c r="M651">
        <f t="shared" si="86"/>
        <v>650</v>
      </c>
      <c r="N651">
        <f t="shared" si="87"/>
        <v>1934.0833333332841</v>
      </c>
      <c r="O651">
        <f t="shared" si="82"/>
        <v>0</v>
      </c>
      <c r="P651">
        <f t="array" ref="P651">+SUM($G$2:$G$18*SIN(2*PI()*(N651)*$B$1/$F$2:$F$18+$H$2:$H$18))</f>
        <v>1.1178195604528496</v>
      </c>
      <c r="Q651">
        <f t="shared" si="83"/>
        <v>0</v>
      </c>
      <c r="R651">
        <f t="shared" si="84"/>
        <v>2.6000120000342981E-2</v>
      </c>
      <c r="S651">
        <f t="array" ref="S651">+$B$2*SIN(R651*$B$3+$B$4)+0*R651+ SUM($J$2:$J$20*SIN(2*PI()*N651*$I$2:$I$20+$K$2:$K$20))</f>
        <v>7.0075177658022195E-2</v>
      </c>
      <c r="U651" s="3">
        <f t="shared" si="80"/>
        <v>1934.0833333332841</v>
      </c>
      <c r="V651" s="3">
        <f t="shared" si="81"/>
        <v>-0.26990200000000003</v>
      </c>
      <c r="Z651" s="1">
        <v>1934.125</v>
      </c>
      <c r="AA651" s="2">
        <f t="shared" si="85"/>
        <v>-0.13786799999999999</v>
      </c>
      <c r="AB651">
        <v>-6.8933999999999997</v>
      </c>
      <c r="AE651">
        <v>1934.0833333332841</v>
      </c>
      <c r="AF651">
        <v>7.0075177658022195E-2</v>
      </c>
    </row>
    <row r="652" spans="4:32" x14ac:dyDescent="0.35">
      <c r="D652">
        <v>-0.237314</v>
      </c>
      <c r="M652">
        <f t="shared" si="86"/>
        <v>651</v>
      </c>
      <c r="N652">
        <f t="shared" si="87"/>
        <v>1934.1666666666174</v>
      </c>
      <c r="O652">
        <f t="shared" si="82"/>
        <v>0</v>
      </c>
      <c r="P652">
        <f t="array" ref="P652">+SUM($G$2:$G$18*SIN(2*PI()*(N652)*$B$1/$F$2:$F$18+$H$2:$H$18))</f>
        <v>0.92431070170256657</v>
      </c>
      <c r="Q652">
        <f t="shared" si="83"/>
        <v>0</v>
      </c>
      <c r="R652">
        <f t="shared" si="84"/>
        <v>2.596012815157912E-2</v>
      </c>
      <c r="S652">
        <f t="array" ref="S652">+$B$2*SIN(R652*$B$3+$B$4)+0*R652+ SUM($J$2:$J$20*SIN(2*PI()*N652*$I$2:$I$20+$K$2:$K$20))</f>
        <v>7.5714307826712512E-2</v>
      </c>
      <c r="U652" s="3">
        <f t="shared" si="80"/>
        <v>1934.1666666666174</v>
      </c>
      <c r="V652" s="3">
        <f t="shared" si="81"/>
        <v>-0.15656400000000001</v>
      </c>
      <c r="Z652" s="1">
        <v>1934.2083</v>
      </c>
      <c r="AA652" s="2">
        <f t="shared" si="85"/>
        <v>-0.41688600000000003</v>
      </c>
      <c r="AB652">
        <v>-20.8443</v>
      </c>
      <c r="AE652">
        <v>1934.1666666666174</v>
      </c>
      <c r="AF652">
        <v>7.5714307826712512E-2</v>
      </c>
    </row>
    <row r="653" spans="4:32" x14ac:dyDescent="0.35">
      <c r="D653">
        <v>-0.13786799999999999</v>
      </c>
      <c r="M653">
        <f t="shared" si="86"/>
        <v>652</v>
      </c>
      <c r="N653">
        <f t="shared" si="87"/>
        <v>1934.2499999999507</v>
      </c>
      <c r="O653">
        <f t="shared" si="82"/>
        <v>0</v>
      </c>
      <c r="P653">
        <f t="array" ref="P653">+SUM($G$2:$G$18*SIN(2*PI()*(N653)*$B$1/$F$2:$F$18+$H$2:$H$18))</f>
        <v>0.21676386428485128</v>
      </c>
      <c r="Q653">
        <f t="shared" si="83"/>
        <v>0</v>
      </c>
      <c r="R653">
        <f t="shared" si="84"/>
        <v>2.592019781591472E-2</v>
      </c>
      <c r="S653">
        <f t="array" ref="S653">+$B$2*SIN(R653*$B$3+$B$4)+0*R653+ SUM($J$2:$J$20*SIN(2*PI()*N653*$I$2:$I$20+$K$2:$K$20))</f>
        <v>8.1340484706743085E-2</v>
      </c>
      <c r="U653" s="3">
        <f t="shared" si="80"/>
        <v>1934.2499999999507</v>
      </c>
      <c r="V653" s="3">
        <f t="shared" si="81"/>
        <v>-0.36322399999999999</v>
      </c>
      <c r="Z653" s="1">
        <v>1934.2917</v>
      </c>
      <c r="AA653" s="2">
        <f t="shared" si="85"/>
        <v>-0.54205999999999999</v>
      </c>
      <c r="AB653">
        <v>-27.103000000000002</v>
      </c>
      <c r="AE653">
        <v>1934.2499999999507</v>
      </c>
      <c r="AF653">
        <v>8.1340484706743085E-2</v>
      </c>
    </row>
    <row r="654" spans="4:32" x14ac:dyDescent="0.35">
      <c r="D654">
        <v>-0.41688600000000003</v>
      </c>
      <c r="M654">
        <f t="shared" si="86"/>
        <v>653</v>
      </c>
      <c r="N654">
        <f t="shared" si="87"/>
        <v>1934.3333333332839</v>
      </c>
      <c r="O654">
        <f t="shared" si="82"/>
        <v>0</v>
      </c>
      <c r="P654">
        <f t="array" ref="P654">+SUM($G$2:$G$18*SIN(2*PI()*(N654)*$B$1/$F$2:$F$18+$H$2:$H$18))</f>
        <v>-0.25472046607944365</v>
      </c>
      <c r="Q654">
        <f t="shared" si="83"/>
        <v>0</v>
      </c>
      <c r="R654">
        <f t="shared" si="84"/>
        <v>2.5880328898733963E-2</v>
      </c>
      <c r="S654">
        <f t="array" ref="S654">+$B$2*SIN(R654*$B$3+$B$4)+0*R654+ SUM($J$2:$J$20*SIN(2*PI()*N654*$I$2:$I$20+$K$2:$K$20))</f>
        <v>8.695342434007082E-2</v>
      </c>
      <c r="U654" s="3">
        <f t="shared" si="80"/>
        <v>1934.3333333332839</v>
      </c>
      <c r="V654" s="3">
        <f t="shared" si="81"/>
        <v>-0.303732</v>
      </c>
      <c r="Z654" s="1">
        <v>1934.375</v>
      </c>
      <c r="AA654" s="2">
        <f t="shared" si="85"/>
        <v>-0.27954000000000001</v>
      </c>
      <c r="AB654">
        <v>-13.977</v>
      </c>
      <c r="AE654">
        <v>1934.3333333332839</v>
      </c>
      <c r="AF654">
        <v>8.695342434007082E-2</v>
      </c>
    </row>
    <row r="655" spans="4:32" x14ac:dyDescent="0.35">
      <c r="D655">
        <v>-0.54205999999999999</v>
      </c>
      <c r="M655">
        <f t="shared" si="86"/>
        <v>654</v>
      </c>
      <c r="N655">
        <f t="shared" si="87"/>
        <v>1934.4166666666172</v>
      </c>
      <c r="O655">
        <f t="shared" si="82"/>
        <v>0</v>
      </c>
      <c r="P655">
        <f t="array" ref="P655">+SUM($G$2:$G$18*SIN(2*PI()*(N655)*$B$1/$F$2:$F$18+$H$2:$H$18))</f>
        <v>-7.4936339114055339E-3</v>
      </c>
      <c r="Q655">
        <f t="shared" si="83"/>
        <v>0</v>
      </c>
      <c r="R655">
        <f t="shared" si="84"/>
        <v>2.5840521305566567E-2</v>
      </c>
      <c r="S655">
        <f t="array" ref="S655">+$B$2*SIN(R655*$B$3+$B$4)+0*R655+ SUM($J$2:$J$20*SIN(2*PI()*N655*$I$2:$I$20+$K$2:$K$20))</f>
        <v>9.2552845857684474E-2</v>
      </c>
      <c r="U655" s="3">
        <f t="shared" si="80"/>
        <v>1934.4166666666172</v>
      </c>
      <c r="V655" s="3">
        <f t="shared" si="81"/>
        <v>-0.188858</v>
      </c>
      <c r="Z655" s="1">
        <v>1934.4583</v>
      </c>
      <c r="AA655" s="2">
        <f t="shared" si="85"/>
        <v>-0.39702199999999999</v>
      </c>
      <c r="AB655">
        <v>-19.851099999999999</v>
      </c>
      <c r="AE655">
        <v>1934.4166666666172</v>
      </c>
      <c r="AF655">
        <v>9.2552845857684474E-2</v>
      </c>
    </row>
    <row r="656" spans="4:32" x14ac:dyDescent="0.35">
      <c r="D656">
        <v>-0.27954000000000001</v>
      </c>
      <c r="M656">
        <f t="shared" si="86"/>
        <v>655</v>
      </c>
      <c r="N656">
        <f t="shared" si="87"/>
        <v>1934.4999999999504</v>
      </c>
      <c r="O656">
        <f t="shared" si="82"/>
        <v>0</v>
      </c>
      <c r="P656">
        <f t="array" ref="P656">+SUM($G$2:$G$18*SIN(2*PI()*(N656)*$B$1/$F$2:$F$18+$H$2:$H$18))</f>
        <v>0.19580651938287802</v>
      </c>
      <c r="Q656">
        <f t="shared" si="83"/>
        <v>0</v>
      </c>
      <c r="R656">
        <f t="shared" si="84"/>
        <v>2.5800774942087556E-2</v>
      </c>
      <c r="S656">
        <f t="array" ref="S656">+$B$2*SIN(R656*$B$3+$B$4)+0*R656+ SUM($J$2:$J$20*SIN(2*PI()*N656*$I$2:$I$20+$K$2:$K$20))</f>
        <v>9.8138471474862918E-2</v>
      </c>
      <c r="U656" s="3">
        <f t="shared" si="80"/>
        <v>1934.4999999999504</v>
      </c>
      <c r="V656" s="3">
        <f t="shared" si="81"/>
        <v>-0.160138</v>
      </c>
      <c r="Z656" s="1">
        <v>1934.5417</v>
      </c>
      <c r="AA656" s="2">
        <f t="shared" si="85"/>
        <v>-0.50835399999999997</v>
      </c>
      <c r="AB656">
        <v>-25.4177</v>
      </c>
      <c r="AE656">
        <v>1934.4999999999504</v>
      </c>
      <c r="AF656">
        <v>9.8138471474862918E-2</v>
      </c>
    </row>
    <row r="657" spans="4:32" x14ac:dyDescent="0.35">
      <c r="D657">
        <v>-0.39702199999999999</v>
      </c>
      <c r="M657">
        <f t="shared" si="86"/>
        <v>656</v>
      </c>
      <c r="N657">
        <f t="shared" si="87"/>
        <v>1934.5833333332837</v>
      </c>
      <c r="O657">
        <f t="shared" si="82"/>
        <v>0</v>
      </c>
      <c r="P657">
        <f t="array" ref="P657">+SUM($G$2:$G$18*SIN(2*PI()*(N657)*$B$1/$F$2:$F$18+$H$2:$H$18))</f>
        <v>-2.2581683676641692E-2</v>
      </c>
      <c r="Q657">
        <f t="shared" si="83"/>
        <v>0</v>
      </c>
      <c r="R657">
        <f t="shared" si="84"/>
        <v>2.5761089714117041E-2</v>
      </c>
      <c r="S657">
        <f t="array" ref="S657">+$B$2*SIN(R657*$B$3+$B$4)+0*R657+ SUM($J$2:$J$20*SIN(2*PI()*N657*$I$2:$I$20+$K$2:$K$20))</f>
        <v>0.10371002648615572</v>
      </c>
      <c r="U657" s="3">
        <f t="shared" si="80"/>
        <v>1934.5833333332837</v>
      </c>
      <c r="V657" s="3">
        <f t="shared" si="81"/>
        <v>8.5819999999999994E-3</v>
      </c>
      <c r="Z657" s="1">
        <v>1934.625</v>
      </c>
      <c r="AA657" s="2">
        <f t="shared" si="85"/>
        <v>-0.23045400000000002</v>
      </c>
      <c r="AB657">
        <v>-11.5227</v>
      </c>
      <c r="AE657">
        <v>1934.5833333332837</v>
      </c>
      <c r="AF657">
        <v>0.10371002648615572</v>
      </c>
    </row>
    <row r="658" spans="4:32" x14ac:dyDescent="0.35">
      <c r="D658">
        <v>-0.50835399999999997</v>
      </c>
      <c r="M658">
        <f t="shared" si="86"/>
        <v>657</v>
      </c>
      <c r="N658">
        <f t="shared" si="87"/>
        <v>1934.6666666666169</v>
      </c>
      <c r="O658">
        <f t="shared" si="82"/>
        <v>0</v>
      </c>
      <c r="P658">
        <f t="array" ref="P658">+SUM($G$2:$G$18*SIN(2*PI()*(N658)*$B$1/$F$2:$F$18+$H$2:$H$18))</f>
        <v>0.10130414904688749</v>
      </c>
      <c r="Q658">
        <f t="shared" si="83"/>
        <v>0</v>
      </c>
      <c r="R658">
        <f t="shared" si="84"/>
        <v>2.5721465527619992E-2</v>
      </c>
      <c r="S658">
        <f t="array" ref="S658">+$B$2*SIN(R658*$B$3+$B$4)+0*R658+ SUM($J$2:$J$20*SIN(2*PI()*N658*$I$2:$I$20+$K$2:$K$20))</f>
        <v>0.10926723926008536</v>
      </c>
      <c r="U658" s="3">
        <f t="shared" si="80"/>
        <v>1934.6666666666169</v>
      </c>
      <c r="V658" s="3">
        <f t="shared" si="81"/>
        <v>0.26191400000000004</v>
      </c>
      <c r="Z658" s="1">
        <v>1934.7083</v>
      </c>
      <c r="AA658" s="2">
        <f t="shared" si="85"/>
        <v>-0.28947600000000001</v>
      </c>
      <c r="AB658">
        <v>-14.473800000000001</v>
      </c>
      <c r="AE658">
        <v>1934.6666666666169</v>
      </c>
      <c r="AF658">
        <v>0.10926723926008536</v>
      </c>
    </row>
    <row r="659" spans="4:32" x14ac:dyDescent="0.35">
      <c r="D659">
        <v>-0.23045400000000002</v>
      </c>
      <c r="M659">
        <f t="shared" si="86"/>
        <v>658</v>
      </c>
      <c r="N659">
        <f t="shared" si="87"/>
        <v>1934.7499999999502</v>
      </c>
      <c r="O659">
        <f t="shared" si="82"/>
        <v>0</v>
      </c>
      <c r="P659">
        <f t="array" ref="P659">+SUM($G$2:$G$18*SIN(2*PI()*(N659)*$B$1/$F$2:$F$18+$H$2:$H$18))</f>
        <v>0.65759022785481902</v>
      </c>
      <c r="Q659">
        <f t="shared" si="83"/>
        <v>0</v>
      </c>
      <c r="R659">
        <f t="shared" si="84"/>
        <v>2.5681902288706024E-2</v>
      </c>
      <c r="S659">
        <f t="array" ref="S659">+$B$2*SIN(R659*$B$3+$B$4)+0*R659+ SUM($J$2:$J$20*SIN(2*PI()*N659*$I$2:$I$20+$K$2:$K$20))</f>
        <v>0.11480984123357979</v>
      </c>
      <c r="U659" s="3">
        <f t="shared" si="80"/>
        <v>1934.7499999999502</v>
      </c>
      <c r="V659" s="3">
        <f t="shared" si="81"/>
        <v>0.28601599999999999</v>
      </c>
      <c r="Z659" s="1">
        <v>1934.7917</v>
      </c>
      <c r="AA659" s="2">
        <f t="shared" si="85"/>
        <v>-0.25312000000000001</v>
      </c>
      <c r="AB659">
        <v>-12.656000000000001</v>
      </c>
      <c r="AE659">
        <v>1934.7499999999502</v>
      </c>
      <c r="AF659">
        <v>0.11480984123357979</v>
      </c>
    </row>
    <row r="660" spans="4:32" x14ac:dyDescent="0.35">
      <c r="D660">
        <v>-0.28947600000000001</v>
      </c>
      <c r="M660">
        <f t="shared" si="86"/>
        <v>659</v>
      </c>
      <c r="N660">
        <f t="shared" si="87"/>
        <v>1934.8333333332835</v>
      </c>
      <c r="O660">
        <f t="shared" si="82"/>
        <v>0</v>
      </c>
      <c r="P660">
        <f t="array" ref="P660">+SUM($G$2:$G$18*SIN(2*PI()*(N660)*$B$1/$F$2:$F$18+$H$2:$H$18))</f>
        <v>0.99587174214121454</v>
      </c>
      <c r="Q660">
        <f t="shared" si="83"/>
        <v>0</v>
      </c>
      <c r="R660">
        <f t="shared" si="84"/>
        <v>2.5642399903629161E-2</v>
      </c>
      <c r="S660">
        <f t="array" ref="S660">+$B$2*SIN(R660*$B$3+$B$4)+0*R660+ SUM($J$2:$J$20*SIN(2*PI()*N660*$I$2:$I$20+$K$2:$K$20))</f>
        <v>0.12033756690614103</v>
      </c>
      <c r="U660" s="3">
        <f t="shared" si="80"/>
        <v>1934.8333333332835</v>
      </c>
      <c r="V660" s="3">
        <f t="shared" si="81"/>
        <v>0.391654</v>
      </c>
      <c r="Z660" s="1">
        <v>1934.875</v>
      </c>
      <c r="AA660" s="2">
        <f t="shared" si="85"/>
        <v>-4.9067999999999994E-2</v>
      </c>
      <c r="AB660">
        <v>-2.4533999999999998</v>
      </c>
      <c r="AE660">
        <v>1934.8333333332835</v>
      </c>
      <c r="AF660">
        <v>0.12033756690614103</v>
      </c>
    </row>
    <row r="661" spans="4:32" x14ac:dyDescent="0.35">
      <c r="D661">
        <v>-0.25312000000000001</v>
      </c>
      <c r="M661">
        <f t="shared" si="86"/>
        <v>660</v>
      </c>
      <c r="N661">
        <f t="shared" si="87"/>
        <v>1934.9166666666167</v>
      </c>
      <c r="O661">
        <f t="shared" si="82"/>
        <v>0</v>
      </c>
      <c r="P661">
        <f t="array" ref="P661">+SUM($G$2:$G$18*SIN(2*PI()*(N661)*$B$1/$F$2:$F$18+$H$2:$H$18))</f>
        <v>0.72057918541633259</v>
      </c>
      <c r="Q661">
        <f t="shared" si="83"/>
        <v>0</v>
      </c>
      <c r="R661">
        <f t="shared" si="84"/>
        <v>2.5602958278787627E-2</v>
      </c>
      <c r="S661">
        <f t="array" ref="S661">+$B$2*SIN(R661*$B$3+$B$4)+0*R661+ SUM($J$2:$J$20*SIN(2*PI()*N661*$I$2:$I$20+$K$2:$K$20))</f>
        <v>0.12585015383374629</v>
      </c>
      <c r="U661" s="3">
        <f t="shared" si="80"/>
        <v>1934.9166666666167</v>
      </c>
      <c r="V661" s="3">
        <f t="shared" si="81"/>
        <v>0.55728999999999995</v>
      </c>
      <c r="Z661" s="1">
        <v>1934.9583</v>
      </c>
      <c r="AA661" s="2">
        <f t="shared" si="85"/>
        <v>1.1360000000000001E-3</v>
      </c>
      <c r="AB661">
        <v>5.6800000000000003E-2</v>
      </c>
      <c r="AE661">
        <v>1934.9166666666167</v>
      </c>
      <c r="AF661">
        <v>0.12585015383374629</v>
      </c>
    </row>
    <row r="662" spans="4:32" x14ac:dyDescent="0.35">
      <c r="D662">
        <v>-4.9067999999999994E-2</v>
      </c>
      <c r="M662">
        <f t="shared" si="86"/>
        <v>661</v>
      </c>
      <c r="N662">
        <f t="shared" si="87"/>
        <v>1934.99999999995</v>
      </c>
      <c r="O662">
        <f t="shared" si="82"/>
        <v>36.637715116165623</v>
      </c>
      <c r="P662">
        <f t="array" ref="P662">+SUM($G$2:$G$18*SIN(2*PI()*(N662)*$B$1/$F$2:$F$18+$H$2:$H$18))</f>
        <v>-0.10117681567702867</v>
      </c>
      <c r="Q662">
        <f t="shared" si="83"/>
        <v>-3.7068873491357763</v>
      </c>
      <c r="R662">
        <f t="shared" si="84"/>
        <v>1.986186216520313E-2</v>
      </c>
      <c r="S662">
        <f t="array" ref="S662">+$B$2*SIN(R662*$B$3+$B$4)+0*R662+ SUM($J$2:$J$20*SIN(2*PI()*N662*$I$2:$I$20+$K$2:$K$20))</f>
        <v>0.71397985716974977</v>
      </c>
      <c r="U662" s="3">
        <f t="shared" si="80"/>
        <v>1934.99999999995</v>
      </c>
      <c r="V662" s="3">
        <f t="shared" si="81"/>
        <v>0.59061999999999992</v>
      </c>
      <c r="Z662" s="1">
        <v>1935.0417</v>
      </c>
      <c r="AA662" s="2">
        <f t="shared" si="85"/>
        <v>0.13749</v>
      </c>
      <c r="AB662">
        <v>6.8745000000000003</v>
      </c>
      <c r="AE662">
        <v>1934.99999999995</v>
      </c>
      <c r="AF662">
        <v>0.71397985716974977</v>
      </c>
    </row>
    <row r="663" spans="4:32" x14ac:dyDescent="0.35">
      <c r="D663">
        <v>1.1360000000000001E-3</v>
      </c>
      <c r="M663">
        <f t="shared" si="86"/>
        <v>662</v>
      </c>
      <c r="N663">
        <f t="shared" si="87"/>
        <v>1935.0833333332832</v>
      </c>
      <c r="O663">
        <f t="shared" si="82"/>
        <v>0</v>
      </c>
      <c r="P663">
        <f t="array" ref="P663">+SUM($G$2:$G$18*SIN(2*PI()*(N663)*$B$1/$F$2:$F$18+$H$2:$H$18))</f>
        <v>-0.58928783390501227</v>
      </c>
      <c r="Q663">
        <f t="shared" si="83"/>
        <v>0</v>
      </c>
      <c r="R663">
        <f t="shared" si="84"/>
        <v>1.9831311822055907E-2</v>
      </c>
      <c r="S663">
        <f t="array" ref="S663">+$B$2*SIN(R663*$B$3+$B$4)+0*R663+ SUM($J$2:$J$20*SIN(2*PI()*N663*$I$2:$I$20+$K$2:$K$20))</f>
        <v>0.71533887848248667</v>
      </c>
      <c r="U663" s="3">
        <f t="shared" si="80"/>
        <v>1935.0833333332832</v>
      </c>
      <c r="V663" s="3">
        <f t="shared" si="81"/>
        <v>0.31779399999999997</v>
      </c>
      <c r="Z663" s="1">
        <v>1935.125</v>
      </c>
      <c r="AA663" s="2">
        <f t="shared" si="85"/>
        <v>0.23076799999999997</v>
      </c>
      <c r="AB663">
        <v>11.538399999999999</v>
      </c>
      <c r="AE663">
        <v>1935.0833333332832</v>
      </c>
      <c r="AF663">
        <v>0.71533887848248667</v>
      </c>
    </row>
    <row r="664" spans="4:32" x14ac:dyDescent="0.35">
      <c r="D664">
        <v>0.13749</v>
      </c>
      <c r="M664">
        <f t="shared" si="86"/>
        <v>663</v>
      </c>
      <c r="N664">
        <f t="shared" si="87"/>
        <v>1935.1666666666165</v>
      </c>
      <c r="O664">
        <f t="shared" si="82"/>
        <v>0</v>
      </c>
      <c r="P664">
        <f t="array" ref="P664">+SUM($G$2:$G$18*SIN(2*PI()*(N664)*$B$1/$F$2:$F$18+$H$2:$H$18))</f>
        <v>-0.21714422914937956</v>
      </c>
      <c r="Q664">
        <f t="shared" si="83"/>
        <v>0</v>
      </c>
      <c r="R664">
        <f t="shared" si="84"/>
        <v>1.9800808469641912E-2</v>
      </c>
      <c r="S664">
        <f t="array" ref="S664">+$B$2*SIN(R664*$B$3+$B$4)+0*R664+ SUM($J$2:$J$20*SIN(2*PI()*N664*$I$2:$I$20+$K$2:$K$20))</f>
        <v>0.71667221364942846</v>
      </c>
      <c r="U664" s="3">
        <f t="shared" si="80"/>
        <v>1935.1666666666165</v>
      </c>
      <c r="V664" s="3">
        <f t="shared" si="81"/>
        <v>0.41881000000000002</v>
      </c>
      <c r="Z664" s="1">
        <v>1935.2083</v>
      </c>
      <c r="AA664" s="2">
        <f t="shared" si="85"/>
        <v>4.8659999999999995E-2</v>
      </c>
      <c r="AB664">
        <v>2.4329999999999998</v>
      </c>
      <c r="AE664">
        <v>1935.1666666666165</v>
      </c>
      <c r="AF664">
        <v>0.71667221364942846</v>
      </c>
    </row>
    <row r="665" spans="4:32" x14ac:dyDescent="0.35">
      <c r="D665">
        <v>0.23076799999999997</v>
      </c>
      <c r="M665">
        <f t="shared" si="86"/>
        <v>664</v>
      </c>
      <c r="N665">
        <f t="shared" si="87"/>
        <v>1935.2499999999498</v>
      </c>
      <c r="O665">
        <f t="shared" si="82"/>
        <v>0</v>
      </c>
      <c r="P665">
        <f t="array" ref="P665">+SUM($G$2:$G$18*SIN(2*PI()*(N665)*$B$1/$F$2:$F$18+$H$2:$H$18))</f>
        <v>0.13065174772583077</v>
      </c>
      <c r="Q665">
        <f t="shared" si="83"/>
        <v>0</v>
      </c>
      <c r="R665">
        <f t="shared" si="84"/>
        <v>1.9770352035682774E-2</v>
      </c>
      <c r="S665">
        <f t="array" ref="S665">+$B$2*SIN(R665*$B$3+$B$4)+0*R665+ SUM($J$2:$J$20*SIN(2*PI()*N665*$I$2:$I$20+$K$2:$K$20))</f>
        <v>0.71797993086478029</v>
      </c>
      <c r="U665" s="3">
        <f t="shared" si="80"/>
        <v>1935.2499999999498</v>
      </c>
      <c r="V665" s="3">
        <f t="shared" si="81"/>
        <v>0.68444400000000005</v>
      </c>
      <c r="Z665" s="1">
        <v>1935.2917</v>
      </c>
      <c r="AA665" s="2">
        <f t="shared" si="85"/>
        <v>0.16808800000000002</v>
      </c>
      <c r="AB665">
        <v>8.4044000000000008</v>
      </c>
      <c r="AE665">
        <v>1935.2499999999498</v>
      </c>
      <c r="AF665">
        <v>0.71797993086478029</v>
      </c>
    </row>
    <row r="666" spans="4:32" x14ac:dyDescent="0.35">
      <c r="D666">
        <v>4.8659999999999995E-2</v>
      </c>
      <c r="M666">
        <f t="shared" si="86"/>
        <v>665</v>
      </c>
      <c r="N666">
        <f t="shared" si="87"/>
        <v>1935.333333333283</v>
      </c>
      <c r="O666">
        <f t="shared" si="82"/>
        <v>0</v>
      </c>
      <c r="P666">
        <f t="array" ref="P666">+SUM($G$2:$G$18*SIN(2*PI()*(N666)*$B$1/$F$2:$F$18+$H$2:$H$18))</f>
        <v>4.9710098364402766E-4</v>
      </c>
      <c r="Q666">
        <f t="shared" si="83"/>
        <v>0</v>
      </c>
      <c r="R666">
        <f t="shared" si="84"/>
        <v>1.9739942448011298E-2</v>
      </c>
      <c r="S666">
        <f t="array" ref="S666">+$B$2*SIN(R666*$B$3+$B$4)+0*R666+ SUM($J$2:$J$20*SIN(2*PI()*N666*$I$2:$I$20+$K$2:$K$20))</f>
        <v>0.71926209910429284</v>
      </c>
      <c r="U666" s="3">
        <f t="shared" si="80"/>
        <v>1935.333333333283</v>
      </c>
      <c r="V666" s="3">
        <f t="shared" si="81"/>
        <v>0.82084599999999996</v>
      </c>
      <c r="Z666" s="1">
        <v>1935.375</v>
      </c>
      <c r="AA666" s="2">
        <f t="shared" si="85"/>
        <v>0.14751600000000001</v>
      </c>
      <c r="AB666">
        <v>7.3757999999999999</v>
      </c>
      <c r="AE666">
        <v>1935.333333333283</v>
      </c>
      <c r="AF666">
        <v>0.71926209910429284</v>
      </c>
    </row>
    <row r="667" spans="4:32" x14ac:dyDescent="0.35">
      <c r="D667">
        <v>0.16808800000000002</v>
      </c>
      <c r="M667">
        <f t="shared" si="86"/>
        <v>666</v>
      </c>
      <c r="N667">
        <f t="shared" si="87"/>
        <v>1935.4166666666163</v>
      </c>
      <c r="O667">
        <f t="shared" si="82"/>
        <v>0</v>
      </c>
      <c r="P667">
        <f t="array" ref="P667">+SUM($G$2:$G$18*SIN(2*PI()*(N667)*$B$1/$F$2:$F$18+$H$2:$H$18))</f>
        <v>5.8987071542411229E-3</v>
      </c>
      <c r="Q667">
        <f t="shared" si="83"/>
        <v>0</v>
      </c>
      <c r="R667">
        <f t="shared" si="84"/>
        <v>1.9709579634571293E-2</v>
      </c>
      <c r="S667">
        <f t="array" ref="S667">+$B$2*SIN(R667*$B$3+$B$4)+0*R667+ SUM($J$2:$J$20*SIN(2*PI()*N667*$I$2:$I$20+$K$2:$K$20))</f>
        <v>0.72051878811350356</v>
      </c>
      <c r="U667" s="3">
        <f t="shared" si="80"/>
        <v>1935.4166666666163</v>
      </c>
      <c r="V667" s="3">
        <f t="shared" si="81"/>
        <v>0.85262799999999994</v>
      </c>
      <c r="Z667" s="1">
        <v>1935.4583</v>
      </c>
      <c r="AA667" s="2">
        <f t="shared" si="85"/>
        <v>3.4636E-2</v>
      </c>
      <c r="AB667">
        <v>1.7318</v>
      </c>
      <c r="AE667">
        <v>1935.4166666666163</v>
      </c>
      <c r="AF667">
        <v>0.72051878811350356</v>
      </c>
    </row>
    <row r="668" spans="4:32" x14ac:dyDescent="0.35">
      <c r="D668">
        <v>0.14751600000000001</v>
      </c>
      <c r="M668">
        <f t="shared" si="86"/>
        <v>667</v>
      </c>
      <c r="N668">
        <f t="shared" si="87"/>
        <v>1935.4999999999495</v>
      </c>
      <c r="O668">
        <f t="shared" si="82"/>
        <v>0</v>
      </c>
      <c r="P668">
        <f t="array" ref="P668">+SUM($G$2:$G$18*SIN(2*PI()*(N668)*$B$1/$F$2:$F$18+$H$2:$H$18))</f>
        <v>0.32674111248286841</v>
      </c>
      <c r="Q668">
        <f t="shared" si="83"/>
        <v>0</v>
      </c>
      <c r="R668">
        <f t="shared" si="84"/>
        <v>1.9679263523417395E-2</v>
      </c>
      <c r="S668">
        <f t="array" ref="S668">+$B$2*SIN(R668*$B$3+$B$4)+0*R668+ SUM($J$2:$J$20*SIN(2*PI()*N668*$I$2:$I$20+$K$2:$K$20))</f>
        <v>0.72175006839604949</v>
      </c>
      <c r="U668" s="3">
        <f t="shared" si="80"/>
        <v>1935.4999999999495</v>
      </c>
      <c r="V668" s="3">
        <f t="shared" si="81"/>
        <v>0.92133600000000004</v>
      </c>
      <c r="Z668" s="1">
        <v>1935.5417</v>
      </c>
      <c r="AA668" s="2">
        <f t="shared" si="85"/>
        <v>6.0213999999999997E-2</v>
      </c>
      <c r="AB668">
        <v>3.0106999999999999</v>
      </c>
      <c r="AE668">
        <v>1935.4999999999495</v>
      </c>
      <c r="AF668">
        <v>0.72175006839604949</v>
      </c>
    </row>
    <row r="669" spans="4:32" x14ac:dyDescent="0.35">
      <c r="D669">
        <v>3.4636E-2</v>
      </c>
      <c r="M669">
        <f t="shared" si="86"/>
        <v>668</v>
      </c>
      <c r="N669">
        <f t="shared" si="87"/>
        <v>1935.5833333332828</v>
      </c>
      <c r="O669">
        <f t="shared" si="82"/>
        <v>0</v>
      </c>
      <c r="P669">
        <f t="array" ref="P669">+SUM($G$2:$G$18*SIN(2*PI()*(N669)*$B$1/$F$2:$F$18+$H$2:$H$18))</f>
        <v>0.62282095414532546</v>
      </c>
      <c r="Q669">
        <f t="shared" si="83"/>
        <v>0</v>
      </c>
      <c r="R669">
        <f t="shared" si="84"/>
        <v>1.9648994042714911E-2</v>
      </c>
      <c r="S669">
        <f t="array" ref="S669">+$B$2*SIN(R669*$B$3+$B$4)+0*R669+ SUM($J$2:$J$20*SIN(2*PI()*N669*$I$2:$I$20+$K$2:$K$20))</f>
        <v>0.72295601120205122</v>
      </c>
      <c r="U669" s="3">
        <f t="shared" si="80"/>
        <v>1935.5833333332828</v>
      </c>
      <c r="V669" s="3">
        <f t="shared" si="81"/>
        <v>1.039272</v>
      </c>
      <c r="Z669" s="1">
        <v>1935.625</v>
      </c>
      <c r="AA669" s="2">
        <f t="shared" si="85"/>
        <v>0.42117800000000005</v>
      </c>
      <c r="AB669">
        <v>21.058900000000001</v>
      </c>
      <c r="AE669">
        <v>1935.5833333332828</v>
      </c>
      <c r="AF669">
        <v>0.72295601120205122</v>
      </c>
    </row>
    <row r="670" spans="4:32" x14ac:dyDescent="0.35">
      <c r="D670">
        <v>6.0213999999999997E-2</v>
      </c>
      <c r="M670">
        <f t="shared" si="86"/>
        <v>669</v>
      </c>
      <c r="N670">
        <f t="shared" si="87"/>
        <v>1935.666666666616</v>
      </c>
      <c r="O670">
        <f t="shared" si="82"/>
        <v>0</v>
      </c>
      <c r="P670">
        <f t="array" ref="P670">+SUM($G$2:$G$18*SIN(2*PI()*(N670)*$B$1/$F$2:$F$18+$H$2:$H$18))</f>
        <v>0.3910621372455928</v>
      </c>
      <c r="Q670">
        <f t="shared" si="83"/>
        <v>0</v>
      </c>
      <c r="R670">
        <f t="shared" si="84"/>
        <v>1.9618771120739634E-2</v>
      </c>
      <c r="S670">
        <f t="array" ref="S670">+$B$2*SIN(R670*$B$3+$B$4)+0*R670+ SUM($J$2:$J$20*SIN(2*PI()*N670*$I$2:$I$20+$K$2:$K$20))</f>
        <v>0.72413668851656898</v>
      </c>
      <c r="U670" s="3">
        <f t="shared" si="80"/>
        <v>1935.666666666616</v>
      </c>
      <c r="V670" s="3">
        <f t="shared" si="81"/>
        <v>1.164898</v>
      </c>
      <c r="Z670" s="1">
        <v>1935.7083</v>
      </c>
      <c r="AA670" s="2">
        <f t="shared" si="85"/>
        <v>0.24521799999999999</v>
      </c>
      <c r="AB670">
        <v>12.260899999999999</v>
      </c>
      <c r="AE670">
        <v>1935.666666666616</v>
      </c>
      <c r="AF670">
        <v>0.72413668851656898</v>
      </c>
    </row>
    <row r="671" spans="4:32" x14ac:dyDescent="0.35">
      <c r="D671">
        <v>0.42117800000000005</v>
      </c>
      <c r="M671">
        <f t="shared" si="86"/>
        <v>670</v>
      </c>
      <c r="N671">
        <f t="shared" si="87"/>
        <v>1935.7499999999493</v>
      </c>
      <c r="O671">
        <f t="shared" si="82"/>
        <v>0</v>
      </c>
      <c r="P671">
        <f t="array" ref="P671">+SUM($G$2:$G$18*SIN(2*PI()*(N671)*$B$1/$F$2:$F$18+$H$2:$H$18))</f>
        <v>-0.48195207826347725</v>
      </c>
      <c r="Q671">
        <f t="shared" si="83"/>
        <v>0</v>
      </c>
      <c r="R671">
        <f t="shared" si="84"/>
        <v>1.9588594685877678E-2</v>
      </c>
      <c r="S671">
        <f t="array" ref="S671">+$B$2*SIN(R671*$B$3+$B$4)+0*R671+ SUM($J$2:$J$20*SIN(2*PI()*N671*$I$2:$I$20+$K$2:$K$20))</f>
        <v>0.72529217304813021</v>
      </c>
      <c r="U671" s="3">
        <f t="shared" si="80"/>
        <v>1935.7499999999493</v>
      </c>
      <c r="V671" s="3">
        <f t="shared" si="81"/>
        <v>1.2074480000000001</v>
      </c>
      <c r="Z671" s="1">
        <v>1935.7917</v>
      </c>
      <c r="AA671" s="2">
        <f t="shared" si="85"/>
        <v>0.27540799999999999</v>
      </c>
      <c r="AB671">
        <v>13.7704</v>
      </c>
      <c r="AE671">
        <v>1935.7499999999493</v>
      </c>
      <c r="AF671">
        <v>0.72529217304813021</v>
      </c>
    </row>
    <row r="672" spans="4:32" x14ac:dyDescent="0.35">
      <c r="D672">
        <v>0.24521799999999999</v>
      </c>
      <c r="M672">
        <f t="shared" si="86"/>
        <v>671</v>
      </c>
      <c r="N672">
        <f t="shared" si="87"/>
        <v>1935.8333333332826</v>
      </c>
      <c r="O672">
        <f t="shared" si="82"/>
        <v>0</v>
      </c>
      <c r="P672">
        <f t="array" ref="P672">+SUM($G$2:$G$18*SIN(2*PI()*(N672)*$B$1/$F$2:$F$18+$H$2:$H$18))</f>
        <v>-0.94585456667699641</v>
      </c>
      <c r="Q672">
        <f t="shared" si="83"/>
        <v>0</v>
      </c>
      <c r="R672">
        <f t="shared" si="84"/>
        <v>1.9558464666625312E-2</v>
      </c>
      <c r="S672">
        <f t="array" ref="S672">+$B$2*SIN(R672*$B$3+$B$4)+0*R672+ SUM($J$2:$J$20*SIN(2*PI()*N672*$I$2:$I$20+$K$2:$K$20))</f>
        <v>0.72642253821732927</v>
      </c>
      <c r="U672" s="3">
        <f t="shared" si="80"/>
        <v>1935.8333333332826</v>
      </c>
      <c r="V672" s="3">
        <f t="shared" si="81"/>
        <v>1.143842</v>
      </c>
      <c r="Z672" s="1">
        <v>1935.875</v>
      </c>
      <c r="AA672" s="2">
        <f t="shared" si="85"/>
        <v>0.187138</v>
      </c>
      <c r="AB672">
        <v>9.3568999999999996</v>
      </c>
      <c r="AE672">
        <v>1935.8333333332826</v>
      </c>
      <c r="AF672">
        <v>0.72642253821732927</v>
      </c>
    </row>
    <row r="673" spans="4:32" x14ac:dyDescent="0.35">
      <c r="D673">
        <v>0.27540799999999999</v>
      </c>
      <c r="M673">
        <f t="shared" si="86"/>
        <v>672</v>
      </c>
      <c r="N673">
        <f t="shared" si="87"/>
        <v>1935.9166666666158</v>
      </c>
      <c r="O673">
        <f t="shared" si="82"/>
        <v>0</v>
      </c>
      <c r="P673">
        <f t="array" ref="P673">+SUM($G$2:$G$18*SIN(2*PI()*(N673)*$B$1/$F$2:$F$18+$H$2:$H$18))</f>
        <v>-0.43042508440129618</v>
      </c>
      <c r="Q673">
        <f t="shared" si="83"/>
        <v>0</v>
      </c>
      <c r="R673">
        <f t="shared" si="84"/>
        <v>1.9528380991588785E-2</v>
      </c>
      <c r="S673">
        <f t="array" ref="S673">+$B$2*SIN(R673*$B$3+$B$4)+0*R673+ SUM($J$2:$J$20*SIN(2*PI()*N673*$I$2:$I$20+$K$2:$K$20))</f>
        <v>0.72752785814549925</v>
      </c>
      <c r="U673" s="3">
        <f t="shared" si="80"/>
        <v>1935.9166666666158</v>
      </c>
      <c r="V673" s="3">
        <f t="shared" si="81"/>
        <v>1.120234</v>
      </c>
      <c r="Z673" s="1">
        <v>1935.9583</v>
      </c>
      <c r="AA673" s="2">
        <f t="shared" si="85"/>
        <v>0.27117400000000003</v>
      </c>
      <c r="AB673">
        <v>13.5587</v>
      </c>
      <c r="AE673">
        <v>1935.9166666666158</v>
      </c>
      <c r="AF673">
        <v>0.72752785814549925</v>
      </c>
    </row>
    <row r="674" spans="4:32" x14ac:dyDescent="0.35">
      <c r="D674">
        <v>0.187138</v>
      </c>
      <c r="M674">
        <f t="shared" si="86"/>
        <v>673</v>
      </c>
      <c r="N674">
        <f t="shared" si="87"/>
        <v>1935.9999999999491</v>
      </c>
      <c r="O674">
        <f t="shared" si="82"/>
        <v>36.637715116165623</v>
      </c>
      <c r="P674">
        <f t="array" ref="P674">+SUM($G$2:$G$18*SIN(2*PI()*(N674)*$B$1/$F$2:$F$18+$H$2:$H$18))</f>
        <v>6.0818498705885848E-2</v>
      </c>
      <c r="Q674">
        <f t="shared" si="83"/>
        <v>2.2282508293791334</v>
      </c>
      <c r="R674">
        <f t="shared" si="84"/>
        <v>2.2925707393009004E-2</v>
      </c>
      <c r="S674">
        <f t="array" ref="S674">+$B$2*SIN(R674*$B$3+$B$4)+0*R674+ SUM($J$2:$J$20*SIN(2*PI()*N674*$I$2:$I$20+$K$2:$K$20))</f>
        <v>0.46853901907809387</v>
      </c>
      <c r="U674" s="3">
        <f t="shared" si="80"/>
        <v>1935.9999999999491</v>
      </c>
      <c r="V674" s="3">
        <f t="shared" si="81"/>
        <v>0.85816400000000004</v>
      </c>
      <c r="Z674" s="1">
        <v>1936.0417</v>
      </c>
      <c r="AA674" s="2">
        <f t="shared" si="85"/>
        <v>0.30443799999999999</v>
      </c>
      <c r="AB674">
        <v>15.2219</v>
      </c>
      <c r="AE674">
        <v>1935.9999999999491</v>
      </c>
      <c r="AF674">
        <v>0.46853901907809387</v>
      </c>
    </row>
    <row r="675" spans="4:32" x14ac:dyDescent="0.35">
      <c r="D675">
        <v>0.27117400000000003</v>
      </c>
      <c r="M675">
        <f t="shared" si="86"/>
        <v>674</v>
      </c>
      <c r="N675">
        <f t="shared" si="87"/>
        <v>1936.0833333332823</v>
      </c>
      <c r="O675">
        <f t="shared" si="82"/>
        <v>0</v>
      </c>
      <c r="P675">
        <f t="array" ref="P675">+SUM($G$2:$G$18*SIN(2*PI()*(N675)*$B$1/$F$2:$F$18+$H$2:$H$18))</f>
        <v>-3.1832071524542205E-2</v>
      </c>
      <c r="Q675">
        <f t="shared" si="83"/>
        <v>0</v>
      </c>
      <c r="R675">
        <f t="shared" si="84"/>
        <v>2.2890444424112952E-2</v>
      </c>
      <c r="S675">
        <f t="array" ref="S675">+$B$2*SIN(R675*$B$3+$B$4)+0*R675+ SUM($J$2:$J$20*SIN(2*PI()*N675*$I$2:$I$20+$K$2:$K$20))</f>
        <v>0.47243869079036205</v>
      </c>
      <c r="U675" s="3">
        <f t="shared" si="80"/>
        <v>1936.0833333332823</v>
      </c>
      <c r="V675" s="3">
        <f t="shared" si="81"/>
        <v>0.79455600000000004</v>
      </c>
      <c r="Z675" s="1">
        <v>1936.125</v>
      </c>
      <c r="AA675" s="2">
        <f t="shared" si="85"/>
        <v>0.20385600000000001</v>
      </c>
      <c r="AB675">
        <v>10.1928</v>
      </c>
      <c r="AE675">
        <v>1936.0833333332823</v>
      </c>
      <c r="AF675">
        <v>0.47243869079036205</v>
      </c>
    </row>
    <row r="676" spans="4:32" x14ac:dyDescent="0.35">
      <c r="D676">
        <v>0.30443799999999999</v>
      </c>
      <c r="M676">
        <f t="shared" si="86"/>
        <v>675</v>
      </c>
      <c r="N676">
        <f t="shared" si="87"/>
        <v>1936.1666666666156</v>
      </c>
      <c r="O676">
        <f t="shared" si="82"/>
        <v>0</v>
      </c>
      <c r="P676">
        <f t="array" ref="P676">+SUM($G$2:$G$18*SIN(2*PI()*(N676)*$B$1/$F$2:$F$18+$H$2:$H$18))</f>
        <v>-0.20344673700624311</v>
      </c>
      <c r="Q676">
        <f t="shared" si="83"/>
        <v>0</v>
      </c>
      <c r="R676">
        <f t="shared" si="84"/>
        <v>2.2855235694632683E-2</v>
      </c>
      <c r="S676">
        <f t="array" ref="S676">+$B$2*SIN(R676*$B$3+$B$4)+0*R676+ SUM($J$2:$J$20*SIN(2*PI()*N676*$I$2:$I$20+$K$2:$K$20))</f>
        <v>0.4763116021373856</v>
      </c>
      <c r="U676" s="3">
        <f t="shared" si="80"/>
        <v>1936.1666666666156</v>
      </c>
      <c r="V676" s="3">
        <f t="shared" si="81"/>
        <v>0.73094399999999993</v>
      </c>
      <c r="Z676" s="1">
        <v>1936.2083</v>
      </c>
      <c r="AA676" s="2">
        <f t="shared" si="85"/>
        <v>0.10173600000000001</v>
      </c>
      <c r="AB676">
        <v>5.0868000000000002</v>
      </c>
      <c r="AE676">
        <v>1936.1666666666156</v>
      </c>
      <c r="AF676">
        <v>0.4763116021373856</v>
      </c>
    </row>
    <row r="677" spans="4:32" x14ac:dyDescent="0.35">
      <c r="D677">
        <v>0.20385600000000001</v>
      </c>
      <c r="M677">
        <f t="shared" si="86"/>
        <v>676</v>
      </c>
      <c r="N677">
        <f t="shared" si="87"/>
        <v>1936.2499999999488</v>
      </c>
      <c r="O677">
        <f t="shared" si="82"/>
        <v>0</v>
      </c>
      <c r="P677">
        <f t="array" ref="P677">+SUM($G$2:$G$18*SIN(2*PI()*(N677)*$B$1/$F$2:$F$18+$H$2:$H$18))</f>
        <v>-6.4132946830839643E-2</v>
      </c>
      <c r="Q677">
        <f t="shared" si="83"/>
        <v>0</v>
      </c>
      <c r="R677">
        <f t="shared" si="84"/>
        <v>2.2820081121140326E-2</v>
      </c>
      <c r="S677">
        <f t="array" ref="S677">+$B$2*SIN(R677*$B$3+$B$4)+0*R677+ SUM($J$2:$J$20*SIN(2*PI()*N677*$I$2:$I$20+$K$2:$K$20))</f>
        <v>0.48015768842135786</v>
      </c>
      <c r="U677" s="3">
        <f t="shared" si="80"/>
        <v>1936.2499999999488</v>
      </c>
      <c r="V677" s="3">
        <f t="shared" si="81"/>
        <v>0.73194800000000004</v>
      </c>
      <c r="Z677" s="1">
        <v>1936.2917</v>
      </c>
      <c r="AA677" s="2">
        <f t="shared" si="85"/>
        <v>0.20268799999999998</v>
      </c>
      <c r="AB677">
        <v>10.134399999999999</v>
      </c>
      <c r="AE677">
        <v>1936.2499999999488</v>
      </c>
      <c r="AF677">
        <v>0.48015768842135786</v>
      </c>
    </row>
    <row r="678" spans="4:32" x14ac:dyDescent="0.35">
      <c r="D678">
        <v>0.10173600000000001</v>
      </c>
      <c r="M678">
        <f t="shared" si="86"/>
        <v>677</v>
      </c>
      <c r="N678">
        <f t="shared" si="87"/>
        <v>1936.3333333332821</v>
      </c>
      <c r="O678">
        <f t="shared" si="82"/>
        <v>0</v>
      </c>
      <c r="P678">
        <f t="array" ref="P678">+SUM($G$2:$G$18*SIN(2*PI()*(N678)*$B$1/$F$2:$F$18+$H$2:$H$18))</f>
        <v>0.28644950440896833</v>
      </c>
      <c r="Q678">
        <f t="shared" si="83"/>
        <v>0</v>
      </c>
      <c r="R678">
        <f t="shared" si="84"/>
        <v>2.2784980620336345E-2</v>
      </c>
      <c r="S678">
        <f t="array" ref="S678">+$B$2*SIN(R678*$B$3+$B$4)+0*R678+ SUM($J$2:$J$20*SIN(2*PI()*N678*$I$2:$I$20+$K$2:$K$20))</f>
        <v>0.48397688706260622</v>
      </c>
      <c r="U678" s="3">
        <f t="shared" si="80"/>
        <v>1936.3333333332821</v>
      </c>
      <c r="V678" s="3">
        <f t="shared" si="81"/>
        <v>0.18526000000000001</v>
      </c>
      <c r="Z678" s="1">
        <v>1936.375</v>
      </c>
      <c r="AA678" s="2">
        <f t="shared" si="85"/>
        <v>0.137488</v>
      </c>
      <c r="AB678">
        <v>6.8743999999999996</v>
      </c>
      <c r="AE678">
        <v>1936.3333333332821</v>
      </c>
      <c r="AF678">
        <v>0.48397688706260622</v>
      </c>
    </row>
    <row r="679" spans="4:32" x14ac:dyDescent="0.35">
      <c r="D679">
        <v>0.20268799999999998</v>
      </c>
      <c r="M679">
        <f t="shared" si="86"/>
        <v>678</v>
      </c>
      <c r="N679">
        <f t="shared" si="87"/>
        <v>1936.4166666666154</v>
      </c>
      <c r="O679">
        <f t="shared" si="82"/>
        <v>0</v>
      </c>
      <c r="P679">
        <f t="array" ref="P679">+SUM($G$2:$G$18*SIN(2*PI()*(N679)*$B$1/$F$2:$F$18+$H$2:$H$18))</f>
        <v>0.14156751262881981</v>
      </c>
      <c r="Q679">
        <f t="shared" si="83"/>
        <v>0</v>
      </c>
      <c r="R679">
        <f t="shared" si="84"/>
        <v>2.2749934109049321E-2</v>
      </c>
      <c r="S679">
        <f t="array" ref="S679">+$B$2*SIN(R679*$B$3+$B$4)+0*R679+ SUM($J$2:$J$20*SIN(2*PI()*N679*$I$2:$I$20+$K$2:$K$20))</f>
        <v>0.48776913758405172</v>
      </c>
      <c r="U679" s="3">
        <f t="shared" si="80"/>
        <v>1936.4166666666154</v>
      </c>
      <c r="V679" s="3">
        <f t="shared" si="81"/>
        <v>0.40779799999999999</v>
      </c>
      <c r="Z679" s="1">
        <v>1936.4583</v>
      </c>
      <c r="AA679" s="2">
        <f t="shared" si="85"/>
        <v>5.0747999999999995E-2</v>
      </c>
      <c r="AB679">
        <v>2.5373999999999999</v>
      </c>
      <c r="AE679">
        <v>1936.4166666666154</v>
      </c>
      <c r="AF679">
        <v>0.48776913758405172</v>
      </c>
    </row>
    <row r="680" spans="4:32" x14ac:dyDescent="0.35">
      <c r="D680">
        <v>0.137488</v>
      </c>
      <c r="M680">
        <f t="shared" si="86"/>
        <v>679</v>
      </c>
      <c r="N680">
        <f t="shared" si="87"/>
        <v>1936.4999999999486</v>
      </c>
      <c r="O680">
        <f t="shared" si="82"/>
        <v>0</v>
      </c>
      <c r="P680">
        <f t="array" ref="P680">+SUM($G$2:$G$18*SIN(2*PI()*(N680)*$B$1/$F$2:$F$18+$H$2:$H$18))</f>
        <v>-0.70789337730024327</v>
      </c>
      <c r="Q680">
        <f t="shared" si="83"/>
        <v>0</v>
      </c>
      <c r="R680">
        <f t="shared" si="84"/>
        <v>2.271494150423577E-2</v>
      </c>
      <c r="S680">
        <f t="array" ref="S680">+$B$2*SIN(R680*$B$3+$B$4)+0*R680+ SUM($J$2:$J$20*SIN(2*PI()*N680*$I$2:$I$20+$K$2:$K$20))</f>
        <v>0.49153438159564222</v>
      </c>
      <c r="U680" s="3">
        <f t="shared" si="80"/>
        <v>1936.4999999999486</v>
      </c>
      <c r="V680" s="3">
        <f t="shared" si="81"/>
        <v>0.39341399999999999</v>
      </c>
      <c r="Z680" s="1">
        <v>1936.5417</v>
      </c>
      <c r="AA680" s="2">
        <f t="shared" si="85"/>
        <v>2.862E-2</v>
      </c>
      <c r="AB680">
        <v>1.431</v>
      </c>
      <c r="AE680">
        <v>1936.4999999999486</v>
      </c>
      <c r="AF680">
        <v>0.49153438159564222</v>
      </c>
    </row>
    <row r="681" spans="4:32" x14ac:dyDescent="0.35">
      <c r="D681">
        <v>5.0747999999999995E-2</v>
      </c>
      <c r="M681">
        <f t="shared" si="86"/>
        <v>680</v>
      </c>
      <c r="N681">
        <f t="shared" si="87"/>
        <v>1936.5833333332819</v>
      </c>
      <c r="O681">
        <f t="shared" si="82"/>
        <v>0</v>
      </c>
      <c r="P681">
        <f t="array" ref="P681">+SUM($G$2:$G$18*SIN(2*PI()*(N681)*$B$1/$F$2:$F$18+$H$2:$H$18))</f>
        <v>-1.0660766761037854</v>
      </c>
      <c r="Q681">
        <f t="shared" si="83"/>
        <v>0</v>
      </c>
      <c r="R681">
        <f t="shared" si="84"/>
        <v>2.2680002722979941E-2</v>
      </c>
      <c r="S681">
        <f t="array" ref="S681">+$B$2*SIN(R681*$B$3+$B$4)+0*R681+ SUM($J$2:$J$20*SIN(2*PI()*N681*$I$2:$I$20+$K$2:$K$20))</f>
        <v>0.49527256277878118</v>
      </c>
      <c r="U681" s="3">
        <f t="shared" si="80"/>
        <v>1936.5833333332819</v>
      </c>
      <c r="V681" s="3">
        <f t="shared" si="81"/>
        <v>0.371338</v>
      </c>
      <c r="Z681" s="1">
        <v>1936.625</v>
      </c>
      <c r="AA681" s="2">
        <f t="shared" si="85"/>
        <v>-0.22889199999999998</v>
      </c>
      <c r="AB681">
        <v>-11.444599999999999</v>
      </c>
      <c r="AE681">
        <v>1936.5833333332819</v>
      </c>
      <c r="AF681">
        <v>0.49527256277878118</v>
      </c>
    </row>
    <row r="682" spans="4:32" x14ac:dyDescent="0.35">
      <c r="D682">
        <v>2.862E-2</v>
      </c>
      <c r="M682">
        <f t="shared" si="86"/>
        <v>681</v>
      </c>
      <c r="N682">
        <f t="shared" si="87"/>
        <v>1936.6666666666151</v>
      </c>
      <c r="O682">
        <f t="shared" si="82"/>
        <v>0</v>
      </c>
      <c r="P682">
        <f t="array" ref="P682">+SUM($G$2:$G$18*SIN(2*PI()*(N682)*$B$1/$F$2:$F$18+$H$2:$H$18))</f>
        <v>-0.44010582177608859</v>
      </c>
      <c r="Q682">
        <f t="shared" si="83"/>
        <v>0</v>
      </c>
      <c r="R682">
        <f t="shared" si="84"/>
        <v>2.2645117682493613E-2</v>
      </c>
      <c r="S682">
        <f t="array" ref="S682">+$B$2*SIN(R682*$B$3+$B$4)+0*R682+ SUM($J$2:$J$20*SIN(2*PI()*N682*$I$2:$I$20+$K$2:$K$20))</f>
        <v>0.49898362687073977</v>
      </c>
      <c r="U682" s="3">
        <f t="shared" si="80"/>
        <v>1936.6666666666151</v>
      </c>
      <c r="V682" s="3">
        <f t="shared" si="81"/>
        <v>0.37541200000000002</v>
      </c>
      <c r="Z682" s="1">
        <v>1936.7083</v>
      </c>
      <c r="AA682" s="2">
        <f t="shared" si="85"/>
        <v>-0.49871200000000004</v>
      </c>
      <c r="AB682">
        <v>-24.935600000000001</v>
      </c>
      <c r="AE682">
        <v>1936.6666666666151</v>
      </c>
      <c r="AF682">
        <v>0.49898362687073977</v>
      </c>
    </row>
    <row r="683" spans="4:32" x14ac:dyDescent="0.35">
      <c r="D683">
        <v>-0.22889199999999998</v>
      </c>
      <c r="M683">
        <f t="shared" si="86"/>
        <v>682</v>
      </c>
      <c r="N683">
        <f t="shared" si="87"/>
        <v>1936.7499999999484</v>
      </c>
      <c r="O683">
        <f t="shared" si="82"/>
        <v>0</v>
      </c>
      <c r="P683">
        <f t="array" ref="P683">+SUM($G$2:$G$18*SIN(2*PI()*(N683)*$B$1/$F$2:$F$18+$H$2:$H$18))</f>
        <v>9.3039799919302335E-2</v>
      </c>
      <c r="Q683">
        <f t="shared" si="83"/>
        <v>0</v>
      </c>
      <c r="R683">
        <f t="shared" si="84"/>
        <v>2.2610286300115912E-2</v>
      </c>
      <c r="S683">
        <f t="array" ref="S683">+$B$2*SIN(R683*$B$3+$B$4)+0*R683+ SUM($J$2:$J$20*SIN(2*PI()*N683*$I$2:$I$20+$K$2:$K$20))</f>
        <v>0.50266752164905282</v>
      </c>
      <c r="U683" s="3">
        <f t="shared" si="80"/>
        <v>1936.7499999999484</v>
      </c>
      <c r="V683" s="3">
        <f t="shared" si="81"/>
        <v>0.508718</v>
      </c>
      <c r="Z683" s="1">
        <v>1936.7917</v>
      </c>
      <c r="AA683" s="2">
        <f t="shared" si="85"/>
        <v>-0.43469000000000002</v>
      </c>
      <c r="AB683">
        <v>-21.734500000000001</v>
      </c>
      <c r="AE683">
        <v>1936.7499999999484</v>
      </c>
      <c r="AF683">
        <v>0.50266752164905282</v>
      </c>
    </row>
    <row r="684" spans="4:32" x14ac:dyDescent="0.35">
      <c r="D684">
        <v>-0.49871200000000004</v>
      </c>
      <c r="M684">
        <f t="shared" si="86"/>
        <v>683</v>
      </c>
      <c r="N684">
        <f t="shared" si="87"/>
        <v>1936.8333333332816</v>
      </c>
      <c r="O684">
        <f t="shared" si="82"/>
        <v>0</v>
      </c>
      <c r="P684">
        <f t="array" ref="P684">+SUM($G$2:$G$18*SIN(2*PI()*(N684)*$B$1/$F$2:$F$18+$H$2:$H$18))</f>
        <v>-1.5568943648472375E-2</v>
      </c>
      <c r="Q684">
        <f t="shared" si="83"/>
        <v>0</v>
      </c>
      <c r="R684">
        <f t="shared" si="84"/>
        <v>2.25755084933131E-2</v>
      </c>
      <c r="S684">
        <f t="array" ref="S684">+$B$2*SIN(R684*$B$3+$B$4)+0*R684+ SUM($J$2:$J$20*SIN(2*PI()*N684*$I$2:$I$20+$K$2:$K$20))</f>
        <v>0.50632419691591657</v>
      </c>
      <c r="U684" s="3">
        <f t="shared" si="80"/>
        <v>1936.8333333332816</v>
      </c>
      <c r="V684" s="3">
        <f t="shared" si="81"/>
        <v>0.48509799999999997</v>
      </c>
      <c r="Z684" s="1">
        <v>1936.875</v>
      </c>
      <c r="AA684" s="2">
        <f t="shared" si="85"/>
        <v>-0.60604999999999998</v>
      </c>
      <c r="AB684">
        <v>-30.302499999999998</v>
      </c>
      <c r="AE684">
        <v>1936.8333333332816</v>
      </c>
      <c r="AF684">
        <v>0.50632419691591657</v>
      </c>
    </row>
    <row r="685" spans="4:32" x14ac:dyDescent="0.35">
      <c r="D685">
        <v>-0.43469000000000002</v>
      </c>
      <c r="M685">
        <f t="shared" si="86"/>
        <v>684</v>
      </c>
      <c r="N685">
        <f t="shared" si="87"/>
        <v>1936.9166666666149</v>
      </c>
      <c r="O685">
        <f t="shared" si="82"/>
        <v>0</v>
      </c>
      <c r="P685">
        <f t="array" ref="P685">+SUM($G$2:$G$18*SIN(2*PI()*(N685)*$B$1/$F$2:$F$18+$H$2:$H$18))</f>
        <v>-0.29970172025647446</v>
      </c>
      <c r="Q685">
        <f t="shared" si="83"/>
        <v>0</v>
      </c>
      <c r="R685">
        <f t="shared" si="84"/>
        <v>2.2540784179678398E-2</v>
      </c>
      <c r="S685">
        <f t="array" ref="S685">+$B$2*SIN(R685*$B$3+$B$4)+0*R685+ SUM($J$2:$J$20*SIN(2*PI()*N685*$I$2:$I$20+$K$2:$K$20))</f>
        <v>0.50995360448256888</v>
      </c>
      <c r="U685" s="3">
        <f t="shared" si="80"/>
        <v>1936.9166666666149</v>
      </c>
      <c r="V685" s="3">
        <f t="shared" si="81"/>
        <v>0.270706</v>
      </c>
      <c r="Z685" s="1">
        <v>1936.9583</v>
      </c>
      <c r="AA685" s="2">
        <f t="shared" si="85"/>
        <v>-0.61587400000000003</v>
      </c>
      <c r="AB685">
        <v>-30.793700000000001</v>
      </c>
      <c r="AE685">
        <v>1936.9166666666149</v>
      </c>
      <c r="AF685">
        <v>0.50995360448256888</v>
      </c>
    </row>
    <row r="686" spans="4:32" x14ac:dyDescent="0.35">
      <c r="D686">
        <v>-0.60604999999999998</v>
      </c>
      <c r="M686">
        <f t="shared" si="86"/>
        <v>685</v>
      </c>
      <c r="N686">
        <f t="shared" si="87"/>
        <v>1936.9999999999482</v>
      </c>
      <c r="O686">
        <f t="shared" si="82"/>
        <v>36.637715116165623</v>
      </c>
      <c r="P686">
        <f t="array" ref="P686">+SUM($G$2:$G$18*SIN(2*PI()*(N686)*$B$1/$F$2:$F$18+$H$2:$H$18))</f>
        <v>-0.22661990610150484</v>
      </c>
      <c r="Q686">
        <f t="shared" si="83"/>
        <v>-8.3028355593991385</v>
      </c>
      <c r="R686">
        <f t="shared" si="84"/>
        <v>9.7351820659098247E-3</v>
      </c>
      <c r="S686">
        <f t="array" ref="S686">+$B$2*SIN(R686*$B$3+$B$4)+0*R686+ SUM($J$2:$J$20*SIN(2*PI()*N686*$I$2:$I$20+$K$2:$K$20))</f>
        <v>-9.7048189483104931E-3</v>
      </c>
      <c r="U686" s="3">
        <f t="shared" si="80"/>
        <v>1936.9999999999482</v>
      </c>
      <c r="V686" s="3">
        <f t="shared" si="81"/>
        <v>7.9394000000000006E-2</v>
      </c>
      <c r="Z686" s="1">
        <v>1937.0417</v>
      </c>
      <c r="AA686" s="2">
        <f t="shared" si="85"/>
        <v>-0.42877799999999999</v>
      </c>
      <c r="AB686">
        <v>-21.4389</v>
      </c>
      <c r="AE686">
        <v>1936.9999999999482</v>
      </c>
      <c r="AF686">
        <v>-9.7048189483104931E-3</v>
      </c>
    </row>
    <row r="687" spans="4:32" x14ac:dyDescent="0.35">
      <c r="D687">
        <v>-0.61587400000000003</v>
      </c>
      <c r="M687">
        <f t="shared" si="86"/>
        <v>686</v>
      </c>
      <c r="N687">
        <f t="shared" si="87"/>
        <v>1937.0833333332814</v>
      </c>
      <c r="O687">
        <f t="shared" si="82"/>
        <v>0</v>
      </c>
      <c r="P687">
        <f t="array" ref="P687">+SUM($G$2:$G$18*SIN(2*PI()*(N687)*$B$1/$F$2:$F$18+$H$2:$H$18))</f>
        <v>0.17219740426534866</v>
      </c>
      <c r="Q687">
        <f t="shared" si="83"/>
        <v>0</v>
      </c>
      <c r="R687">
        <f t="shared" si="84"/>
        <v>9.7202079839108432E-3</v>
      </c>
      <c r="S687">
        <f t="array" ref="S687">+$B$2*SIN(R687*$B$3+$B$4)+0*R687+ SUM($J$2:$J$20*SIN(2*PI()*N687*$I$2:$I$20+$K$2:$K$20))</f>
        <v>-1.1826027442504125E-2</v>
      </c>
      <c r="U687" s="3">
        <f t="shared" si="80"/>
        <v>1937.0833333332814</v>
      </c>
      <c r="V687" s="3">
        <f t="shared" si="81"/>
        <v>3.4234000000000001E-2</v>
      </c>
      <c r="Z687" s="1">
        <v>1937.125</v>
      </c>
      <c r="AA687" s="2">
        <f t="shared" si="85"/>
        <v>-0.30321799999999999</v>
      </c>
      <c r="AB687">
        <v>-15.1609</v>
      </c>
      <c r="AE687">
        <v>1937.0833333332814</v>
      </c>
      <c r="AF687">
        <v>-1.1826027442504125E-2</v>
      </c>
    </row>
    <row r="688" spans="4:32" x14ac:dyDescent="0.35">
      <c r="D688">
        <v>-0.42877799999999999</v>
      </c>
      <c r="M688">
        <f t="shared" si="86"/>
        <v>687</v>
      </c>
      <c r="N688">
        <f t="shared" si="87"/>
        <v>1937.1666666666147</v>
      </c>
      <c r="O688">
        <f t="shared" si="82"/>
        <v>0</v>
      </c>
      <c r="P688">
        <f t="array" ref="P688">+SUM($G$2:$G$18*SIN(2*PI()*(N688)*$B$1/$F$2:$F$18+$H$2:$H$18))</f>
        <v>5.8461520484269225E-2</v>
      </c>
      <c r="Q688">
        <f t="shared" si="83"/>
        <v>0</v>
      </c>
      <c r="R688">
        <f t="shared" si="84"/>
        <v>9.7052569341602776E-3</v>
      </c>
      <c r="S688">
        <f t="array" ref="S688">+$B$2*SIN(R688*$B$3+$B$4)+0*R688+ SUM($J$2:$J$20*SIN(2*PI()*N688*$I$2:$I$20+$K$2:$K$20))</f>
        <v>-1.3943879512315028E-2</v>
      </c>
      <c r="U688" s="3">
        <f t="shared" si="80"/>
        <v>1937.1666666666147</v>
      </c>
      <c r="V688" s="3">
        <f t="shared" si="81"/>
        <v>-0.20323799999999997</v>
      </c>
      <c r="Z688" s="1">
        <v>1937.2083</v>
      </c>
      <c r="AA688" s="2">
        <f t="shared" si="85"/>
        <v>-0.30073800000000001</v>
      </c>
      <c r="AB688">
        <v>-15.036899999999999</v>
      </c>
      <c r="AE688">
        <v>1937.1666666666147</v>
      </c>
      <c r="AF688">
        <v>-1.3943879512315028E-2</v>
      </c>
    </row>
    <row r="689" spans="4:32" x14ac:dyDescent="0.35">
      <c r="D689">
        <v>-0.30321799999999999</v>
      </c>
      <c r="M689">
        <f t="shared" si="86"/>
        <v>688</v>
      </c>
      <c r="N689">
        <f t="shared" si="87"/>
        <v>1937.2499999999479</v>
      </c>
      <c r="O689">
        <f t="shared" si="82"/>
        <v>0</v>
      </c>
      <c r="P689">
        <f t="array" ref="P689">+SUM($G$2:$G$18*SIN(2*PI()*(N689)*$B$1/$F$2:$F$18+$H$2:$H$18))</f>
        <v>-0.68302562220432406</v>
      </c>
      <c r="Q689">
        <f t="shared" si="83"/>
        <v>0</v>
      </c>
      <c r="R689">
        <f t="shared" si="84"/>
        <v>9.6903288812312822E-3</v>
      </c>
      <c r="S689">
        <f t="array" ref="S689">+$B$2*SIN(R689*$B$3+$B$4)+0*R689+ SUM($J$2:$J$20*SIN(2*PI()*N689*$I$2:$I$20+$K$2:$K$20))</f>
        <v>-1.6058363877093525E-2</v>
      </c>
      <c r="U689" s="3">
        <f t="shared" si="80"/>
        <v>1937.2499999999479</v>
      </c>
      <c r="V689" s="3">
        <f t="shared" si="81"/>
        <v>-9.3016000000000001E-2</v>
      </c>
      <c r="Z689" s="1">
        <v>1937.2917</v>
      </c>
      <c r="AA689" s="2">
        <f t="shared" si="85"/>
        <v>-0.39672199999999996</v>
      </c>
      <c r="AB689">
        <v>-19.836099999999998</v>
      </c>
      <c r="AE689">
        <v>1937.2499999999479</v>
      </c>
      <c r="AF689">
        <v>-1.6058363877093525E-2</v>
      </c>
    </row>
    <row r="690" spans="4:32" x14ac:dyDescent="0.35">
      <c r="D690">
        <v>-0.30073800000000001</v>
      </c>
      <c r="M690">
        <f t="shared" si="86"/>
        <v>689</v>
      </c>
      <c r="N690">
        <f t="shared" si="87"/>
        <v>1937.3333333332812</v>
      </c>
      <c r="O690">
        <f t="shared" si="82"/>
        <v>0</v>
      </c>
      <c r="P690">
        <f t="array" ref="P690">+SUM($G$2:$G$18*SIN(2*PI()*(N690)*$B$1/$F$2:$F$18+$H$2:$H$18))</f>
        <v>-0.85050626401155061</v>
      </c>
      <c r="Q690">
        <f t="shared" si="83"/>
        <v>0</v>
      </c>
      <c r="R690">
        <f t="shared" si="84"/>
        <v>9.6754237897515062E-3</v>
      </c>
      <c r="S690">
        <f t="array" ref="S690">+$B$2*SIN(R690*$B$3+$B$4)+0*R690+ SUM($J$2:$J$20*SIN(2*PI()*N690*$I$2:$I$20+$K$2:$K$20))</f>
        <v>-1.8169469402040003E-2</v>
      </c>
      <c r="U690" s="3">
        <f t="shared" si="80"/>
        <v>1937.3333333332812</v>
      </c>
      <c r="V690" s="3">
        <f t="shared" si="81"/>
        <v>-0.15972</v>
      </c>
      <c r="Z690" s="1">
        <v>1937.375</v>
      </c>
      <c r="AA690" s="2">
        <f t="shared" si="85"/>
        <v>-0.41731999999999997</v>
      </c>
      <c r="AB690">
        <v>-20.866</v>
      </c>
      <c r="AE690">
        <v>1937.3333333332812</v>
      </c>
      <c r="AF690">
        <v>-1.8169469402040003E-2</v>
      </c>
    </row>
    <row r="691" spans="4:32" x14ac:dyDescent="0.35">
      <c r="D691">
        <v>-0.39672199999999996</v>
      </c>
      <c r="M691">
        <f t="shared" si="86"/>
        <v>690</v>
      </c>
      <c r="N691">
        <f t="shared" si="87"/>
        <v>1937.4166666666144</v>
      </c>
      <c r="O691">
        <f t="shared" si="82"/>
        <v>0</v>
      </c>
      <c r="P691">
        <f t="array" ref="P691">+SUM($G$2:$G$18*SIN(2*PI()*(N691)*$B$1/$F$2:$F$18+$H$2:$H$18))</f>
        <v>-0.21553465584446091</v>
      </c>
      <c r="Q691">
        <f t="shared" si="83"/>
        <v>0</v>
      </c>
      <c r="R691">
        <f t="shared" si="84"/>
        <v>9.6605416244030049E-3</v>
      </c>
      <c r="S691">
        <f t="array" ref="S691">+$B$2*SIN(R691*$B$3+$B$4)+0*R691+ SUM($J$2:$J$20*SIN(2*PI()*N691*$I$2:$I$20+$K$2:$K$20))</f>
        <v>-2.0277185097353191E-2</v>
      </c>
      <c r="U691" s="3">
        <f t="shared" si="80"/>
        <v>1937.4166666666144</v>
      </c>
      <c r="V691" s="3">
        <f t="shared" si="81"/>
        <v>-0.23257999999999998</v>
      </c>
      <c r="Z691" s="1">
        <v>1937.4583</v>
      </c>
      <c r="AA691" s="2">
        <f t="shared" si="85"/>
        <v>-0.41330399999999995</v>
      </c>
      <c r="AB691">
        <v>-20.665199999999999</v>
      </c>
      <c r="AE691">
        <v>1937.4166666666144</v>
      </c>
      <c r="AF691">
        <v>-2.0277185097353191E-2</v>
      </c>
    </row>
    <row r="692" spans="4:32" x14ac:dyDescent="0.35">
      <c r="D692">
        <v>-0.41731999999999997</v>
      </c>
      <c r="M692">
        <f t="shared" si="86"/>
        <v>691</v>
      </c>
      <c r="N692">
        <f t="shared" si="87"/>
        <v>1937.4999999999477</v>
      </c>
      <c r="O692">
        <f t="shared" si="82"/>
        <v>0</v>
      </c>
      <c r="P692">
        <f t="array" ref="P692">+SUM($G$2:$G$18*SIN(2*PI()*(N692)*$B$1/$F$2:$F$18+$H$2:$H$18))</f>
        <v>0.19884779629683769</v>
      </c>
      <c r="Q692">
        <f t="shared" si="83"/>
        <v>0</v>
      </c>
      <c r="R692">
        <f t="shared" si="84"/>
        <v>9.6456823499221564E-3</v>
      </c>
      <c r="S692">
        <f t="array" ref="S692">+$B$2*SIN(R692*$B$3+$B$4)+0*R692+ SUM($J$2:$J$20*SIN(2*PI()*N692*$I$2:$I$20+$K$2:$K$20))</f>
        <v>-2.2381500117379129E-2</v>
      </c>
      <c r="U692" s="3">
        <f t="shared" si="80"/>
        <v>1937.4999999999477</v>
      </c>
      <c r="V692" s="3">
        <f t="shared" si="81"/>
        <v>-0.45620600000000006</v>
      </c>
      <c r="Z692" s="1">
        <v>1937.5417</v>
      </c>
      <c r="AA692" s="2">
        <f t="shared" si="85"/>
        <v>-0.42006199999999999</v>
      </c>
      <c r="AB692">
        <v>-21.0031</v>
      </c>
      <c r="AE692">
        <v>1937.4999999999477</v>
      </c>
      <c r="AF692">
        <v>-2.2381500117379129E-2</v>
      </c>
    </row>
    <row r="693" spans="4:32" x14ac:dyDescent="0.35">
      <c r="D693">
        <v>-0.41330399999999995</v>
      </c>
      <c r="M693">
        <f t="shared" si="86"/>
        <v>692</v>
      </c>
      <c r="N693">
        <f t="shared" si="87"/>
        <v>1937.583333333281</v>
      </c>
      <c r="O693">
        <f t="shared" si="82"/>
        <v>0</v>
      </c>
      <c r="P693">
        <f t="array" ref="P693">+SUM($G$2:$G$18*SIN(2*PI()*(N693)*$B$1/$F$2:$F$18+$H$2:$H$18))</f>
        <v>5.5335784748232648E-2</v>
      </c>
      <c r="Q693">
        <f t="shared" si="83"/>
        <v>0</v>
      </c>
      <c r="R693">
        <f t="shared" si="84"/>
        <v>9.6308459310995801E-3</v>
      </c>
      <c r="S693">
        <f t="array" ref="S693">+$B$2*SIN(R693*$B$3+$B$4)+0*R693+ SUM($J$2:$J$20*SIN(2*PI()*N693*$I$2:$I$20+$K$2:$K$20))</f>
        <v>-2.4482403759762419E-2</v>
      </c>
      <c r="U693" s="3">
        <f t="shared" si="80"/>
        <v>1937.583333333281</v>
      </c>
      <c r="V693" s="3">
        <f t="shared" si="81"/>
        <v>-0.38906599999999997</v>
      </c>
      <c r="Z693" s="1">
        <v>1937.625</v>
      </c>
      <c r="AA693" s="2">
        <f t="shared" si="85"/>
        <v>-0.32989400000000002</v>
      </c>
      <c r="AB693">
        <v>-16.494700000000002</v>
      </c>
      <c r="AE693">
        <v>1937.583333333281</v>
      </c>
      <c r="AF693">
        <v>-2.4482403759762419E-2</v>
      </c>
    </row>
    <row r="694" spans="4:32" x14ac:dyDescent="0.35">
      <c r="D694">
        <v>-0.42006199999999999</v>
      </c>
      <c r="M694">
        <f t="shared" si="86"/>
        <v>693</v>
      </c>
      <c r="N694">
        <f t="shared" si="87"/>
        <v>1937.6666666666142</v>
      </c>
      <c r="O694">
        <f t="shared" si="82"/>
        <v>0</v>
      </c>
      <c r="P694">
        <f t="array" ref="P694">+SUM($G$2:$G$18*SIN(2*PI()*(N694)*$B$1/$F$2:$F$18+$H$2:$H$18))</f>
        <v>-0.20150518165998452</v>
      </c>
      <c r="Q694">
        <f t="shared" si="83"/>
        <v>0</v>
      </c>
      <c r="R694">
        <f t="shared" si="84"/>
        <v>9.6160323327800536E-3</v>
      </c>
      <c r="S694">
        <f t="array" ref="S694">+$B$2*SIN(R694*$B$3+$B$4)+0*R694+ SUM($J$2:$J$20*SIN(2*PI()*N694*$I$2:$I$20+$K$2:$K$20))</f>
        <v>-2.6579885464602018E-2</v>
      </c>
      <c r="U694" s="3">
        <f t="shared" si="80"/>
        <v>1937.6666666666142</v>
      </c>
      <c r="V694" s="3">
        <f t="shared" si="81"/>
        <v>-0.237314</v>
      </c>
      <c r="Z694" s="1">
        <v>1937.7083</v>
      </c>
      <c r="AA694" s="2">
        <f t="shared" si="85"/>
        <v>4.335E-2</v>
      </c>
      <c r="AB694">
        <v>2.1675</v>
      </c>
      <c r="AE694">
        <v>1937.6666666666142</v>
      </c>
      <c r="AF694">
        <v>-2.6579885464602018E-2</v>
      </c>
    </row>
    <row r="695" spans="4:32" x14ac:dyDescent="0.35">
      <c r="D695">
        <v>-0.32989400000000002</v>
      </c>
      <c r="M695">
        <f t="shared" si="86"/>
        <v>694</v>
      </c>
      <c r="N695">
        <f t="shared" si="87"/>
        <v>1937.7499999999475</v>
      </c>
      <c r="O695">
        <f t="shared" si="82"/>
        <v>0</v>
      </c>
      <c r="P695">
        <f t="array" ref="P695">+SUM($G$2:$G$18*SIN(2*PI()*(N695)*$B$1/$F$2:$F$18+$H$2:$H$18))</f>
        <v>-0.10379631875344954</v>
      </c>
      <c r="Q695">
        <f t="shared" si="83"/>
        <v>0</v>
      </c>
      <c r="R695">
        <f t="shared" si="84"/>
        <v>9.6012415198624256E-3</v>
      </c>
      <c r="S695">
        <f t="array" ref="S695">+$B$2*SIN(R695*$B$3+$B$4)+0*R695+ SUM($J$2:$J$20*SIN(2*PI()*N695*$I$2:$I$20+$K$2:$K$20))</f>
        <v>-2.8673934813607818E-2</v>
      </c>
      <c r="U695" s="3">
        <f t="shared" si="80"/>
        <v>1937.7499999999475</v>
      </c>
      <c r="V695" s="3">
        <f t="shared" si="81"/>
        <v>-0.13786799999999999</v>
      </c>
      <c r="Z695" s="1">
        <v>1937.7917</v>
      </c>
      <c r="AA695" s="2">
        <f t="shared" si="85"/>
        <v>0.53197400000000006</v>
      </c>
      <c r="AB695">
        <v>26.598700000000001</v>
      </c>
      <c r="AE695">
        <v>1937.7499999999475</v>
      </c>
      <c r="AF695">
        <v>-2.8673934813607818E-2</v>
      </c>
    </row>
    <row r="696" spans="4:32" x14ac:dyDescent="0.35">
      <c r="D696">
        <v>4.335E-2</v>
      </c>
      <c r="M696">
        <f t="shared" si="86"/>
        <v>695</v>
      </c>
      <c r="N696">
        <f t="shared" si="87"/>
        <v>1937.8333333332807</v>
      </c>
      <c r="O696">
        <f t="shared" si="82"/>
        <v>0</v>
      </c>
      <c r="P696">
        <f t="array" ref="P696">+SUM($G$2:$G$18*SIN(2*PI()*(N696)*$B$1/$F$2:$F$18+$H$2:$H$18))</f>
        <v>0.23093337032671818</v>
      </c>
      <c r="Q696">
        <f t="shared" si="83"/>
        <v>0</v>
      </c>
      <c r="R696">
        <f t="shared" si="84"/>
        <v>9.5864734572995384E-3</v>
      </c>
      <c r="S696">
        <f t="array" ref="S696">+$B$2*SIN(R696*$B$3+$B$4)+0*R696+ SUM($J$2:$J$20*SIN(2*PI()*N696*$I$2:$I$20+$K$2:$K$20))</f>
        <v>-3.076454152926052E-2</v>
      </c>
      <c r="U696" s="3">
        <f t="shared" si="80"/>
        <v>1937.8333333332807</v>
      </c>
      <c r="V696" s="3">
        <f t="shared" si="81"/>
        <v>-0.41688600000000003</v>
      </c>
      <c r="Z696" s="1">
        <v>1937.875</v>
      </c>
      <c r="AA696" s="2">
        <f t="shared" si="85"/>
        <v>0.668292</v>
      </c>
      <c r="AB696">
        <v>33.4146</v>
      </c>
      <c r="AE696">
        <v>1937.8333333332807</v>
      </c>
      <c r="AF696">
        <v>-3.076454152926052E-2</v>
      </c>
    </row>
    <row r="697" spans="4:32" x14ac:dyDescent="0.35">
      <c r="D697">
        <v>0.53197400000000006</v>
      </c>
      <c r="M697">
        <f t="shared" si="86"/>
        <v>696</v>
      </c>
      <c r="N697">
        <f t="shared" si="87"/>
        <v>1937.916666666614</v>
      </c>
      <c r="O697">
        <f t="shared" si="82"/>
        <v>0</v>
      </c>
      <c r="P697">
        <f t="array" ref="P697">+SUM($G$2:$G$18*SIN(2*PI()*(N697)*$B$1/$F$2:$F$18+$H$2:$H$18))</f>
        <v>4.7935572905472089E-2</v>
      </c>
      <c r="Q697">
        <f t="shared" si="83"/>
        <v>0</v>
      </c>
      <c r="R697">
        <f t="shared" si="84"/>
        <v>9.5717281100981405E-3</v>
      </c>
      <c r="S697">
        <f t="array" ref="S697">+$B$2*SIN(R697*$B$3+$B$4)+0*R697+ SUM($J$2:$J$20*SIN(2*PI()*N697*$I$2:$I$20+$K$2:$K$20))</f>
        <v>-3.2851695473973597E-2</v>
      </c>
      <c r="U697" s="3">
        <f t="shared" si="80"/>
        <v>1937.916666666614</v>
      </c>
      <c r="V697" s="3">
        <f t="shared" si="81"/>
        <v>-0.54205999999999999</v>
      </c>
      <c r="Z697" s="1">
        <v>1937.9583</v>
      </c>
      <c r="AA697" s="2">
        <f t="shared" si="85"/>
        <v>0.85999399999999993</v>
      </c>
      <c r="AB697">
        <v>42.999699999999997</v>
      </c>
      <c r="AE697">
        <v>1937.916666666614</v>
      </c>
      <c r="AF697">
        <v>-3.2851695473973597E-2</v>
      </c>
    </row>
    <row r="698" spans="4:32" x14ac:dyDescent="0.35">
      <c r="D698">
        <v>0.668292</v>
      </c>
      <c r="M698">
        <f t="shared" si="86"/>
        <v>697</v>
      </c>
      <c r="N698">
        <f t="shared" si="87"/>
        <v>1937.9999999999472</v>
      </c>
      <c r="O698">
        <f t="shared" si="82"/>
        <v>36.637715116165623</v>
      </c>
      <c r="P698">
        <f t="array" ref="P698">+SUM($G$2:$G$18*SIN(2*PI()*(N698)*$B$1/$F$2:$F$18+$H$2:$H$18))</f>
        <v>-0.50116992435293162</v>
      </c>
      <c r="Q698">
        <f t="shared" si="83"/>
        <v>-18.361720913232986</v>
      </c>
      <c r="R698">
        <f t="shared" si="84"/>
        <v>-1.8685909043096922E-2</v>
      </c>
      <c r="S698">
        <f t="array" ref="S698">+$B$2*SIN(R698*$B$3+$B$4)+0*R698+ SUM($J$2:$J$20*SIN(2*PI()*N698*$I$2:$I$20+$K$2:$K$20))</f>
        <v>0.5993770314524185</v>
      </c>
      <c r="U698" s="3">
        <f t="shared" si="80"/>
        <v>1937.9999999999472</v>
      </c>
      <c r="V698" s="3">
        <f t="shared" si="81"/>
        <v>-0.27954000000000001</v>
      </c>
      <c r="Z698" s="1">
        <v>1938.0417</v>
      </c>
      <c r="AA698" s="2">
        <f t="shared" si="85"/>
        <v>1.0670759999999999</v>
      </c>
      <c r="AB698">
        <v>53.3538</v>
      </c>
      <c r="AE698">
        <v>1937.9999999999472</v>
      </c>
      <c r="AF698">
        <v>0.5993770314524185</v>
      </c>
    </row>
    <row r="699" spans="4:32" x14ac:dyDescent="0.35">
      <c r="D699">
        <v>0.85999399999999993</v>
      </c>
      <c r="M699">
        <f t="shared" si="86"/>
        <v>698</v>
      </c>
      <c r="N699">
        <f t="shared" si="87"/>
        <v>1938.0833333332805</v>
      </c>
      <c r="O699">
        <f t="shared" si="82"/>
        <v>0</v>
      </c>
      <c r="P699">
        <f t="array" ref="P699">+SUM($G$2:$G$18*SIN(2*PI()*(N699)*$B$1/$F$2:$F$18+$H$2:$H$18))</f>
        <v>-0.43478408250142891</v>
      </c>
      <c r="Q699">
        <f t="shared" si="83"/>
        <v>0</v>
      </c>
      <c r="R699">
        <f t="shared" si="84"/>
        <v>-1.8657167481578862E-2</v>
      </c>
      <c r="S699">
        <f t="array" ref="S699">+$B$2*SIN(R699*$B$3+$B$4)+0*R699+ SUM($J$2:$J$20*SIN(2*PI()*N699*$I$2:$I$20+$K$2:$K$20))</f>
        <v>0.60183152280059127</v>
      </c>
      <c r="U699" s="3">
        <f t="shared" ref="U699:U762" si="88">+N699</f>
        <v>1938.0833333332805</v>
      </c>
      <c r="V699" s="3">
        <f t="shared" ref="V699:V762" si="89">+D657</f>
        <v>-0.39702199999999999</v>
      </c>
      <c r="Z699" s="1">
        <v>1938.125</v>
      </c>
      <c r="AA699" s="2">
        <f t="shared" si="85"/>
        <v>0.94800600000000002</v>
      </c>
      <c r="AB699">
        <v>47.400300000000001</v>
      </c>
      <c r="AE699">
        <v>1938.0833333332805</v>
      </c>
      <c r="AF699">
        <v>0.60183152280059127</v>
      </c>
    </row>
    <row r="700" spans="4:32" x14ac:dyDescent="0.35">
      <c r="D700">
        <v>1.0670759999999999</v>
      </c>
      <c r="M700">
        <f t="shared" si="86"/>
        <v>699</v>
      </c>
      <c r="N700">
        <f t="shared" si="87"/>
        <v>1938.1666666666138</v>
      </c>
      <c r="O700">
        <f t="shared" si="82"/>
        <v>0</v>
      </c>
      <c r="P700">
        <f t="array" ref="P700">+SUM($G$2:$G$18*SIN(2*PI()*(N700)*$B$1/$F$2:$F$18+$H$2:$H$18))</f>
        <v>7.5008063690587989E-2</v>
      </c>
      <c r="Q700">
        <f t="shared" si="83"/>
        <v>0</v>
      </c>
      <c r="R700">
        <f t="shared" si="84"/>
        <v>-1.8628470128632973E-2</v>
      </c>
      <c r="S700">
        <f t="array" ref="S700">+$B$2*SIN(R700*$B$3+$B$4)+0*R700+ SUM($J$2:$J$20*SIN(2*PI()*N700*$I$2:$I$20+$K$2:$K$20))</f>
        <v>0.60426466823463365</v>
      </c>
      <c r="U700" s="3">
        <f t="shared" si="88"/>
        <v>1938.1666666666138</v>
      </c>
      <c r="V700" s="3">
        <f t="shared" si="89"/>
        <v>-0.50835399999999997</v>
      </c>
      <c r="Z700" s="1">
        <v>1938.2083</v>
      </c>
      <c r="AA700" s="2">
        <f t="shared" si="85"/>
        <v>0.90124199999999999</v>
      </c>
      <c r="AB700">
        <v>45.062100000000001</v>
      </c>
      <c r="AE700">
        <v>1938.1666666666138</v>
      </c>
      <c r="AF700">
        <v>0.60426466823463365</v>
      </c>
    </row>
    <row r="701" spans="4:32" x14ac:dyDescent="0.35">
      <c r="D701">
        <v>0.94800600000000002</v>
      </c>
      <c r="M701">
        <f t="shared" si="86"/>
        <v>700</v>
      </c>
      <c r="N701">
        <f t="shared" si="87"/>
        <v>1938.249999999947</v>
      </c>
      <c r="O701">
        <f t="shared" si="82"/>
        <v>0</v>
      </c>
      <c r="P701">
        <f t="array" ref="P701">+SUM($G$2:$G$18*SIN(2*PI()*(N701)*$B$1/$F$2:$F$18+$H$2:$H$18))</f>
        <v>0.24508979324763799</v>
      </c>
      <c r="Q701">
        <f t="shared" si="83"/>
        <v>0</v>
      </c>
      <c r="R701">
        <f t="shared" si="84"/>
        <v>-1.8599816916260239E-2</v>
      </c>
      <c r="S701">
        <f t="array" ref="S701">+$B$2*SIN(R701*$B$3+$B$4)+0*R701+ SUM($J$2:$J$20*SIN(2*PI()*N701*$I$2:$I$20+$K$2:$K$20))</f>
        <v>0.60667648377971573</v>
      </c>
      <c r="U701" s="3">
        <f t="shared" si="88"/>
        <v>1938.249999999947</v>
      </c>
      <c r="V701" s="3">
        <f t="shared" si="89"/>
        <v>-0.23045400000000002</v>
      </c>
      <c r="Z701" s="1">
        <v>1938.2917</v>
      </c>
      <c r="AA701" s="2">
        <f t="shared" si="85"/>
        <v>0.76524400000000004</v>
      </c>
      <c r="AB701">
        <v>38.2622</v>
      </c>
      <c r="AE701">
        <v>1938.249999999947</v>
      </c>
      <c r="AF701">
        <v>0.60667648377971573</v>
      </c>
    </row>
    <row r="702" spans="4:32" x14ac:dyDescent="0.35">
      <c r="D702">
        <v>0.90124199999999999</v>
      </c>
      <c r="M702">
        <f t="shared" si="86"/>
        <v>701</v>
      </c>
      <c r="N702">
        <f t="shared" si="87"/>
        <v>1938.3333333332803</v>
      </c>
      <c r="O702">
        <f t="shared" si="82"/>
        <v>0</v>
      </c>
      <c r="P702">
        <f t="array" ref="P702">+SUM($G$2:$G$18*SIN(2*PI()*(N702)*$B$1/$F$2:$F$18+$H$2:$H$18))</f>
        <v>0.1013347403017977</v>
      </c>
      <c r="Q702">
        <f t="shared" si="83"/>
        <v>0</v>
      </c>
      <c r="R702">
        <f t="shared" si="84"/>
        <v>-1.8571207776566241E-2</v>
      </c>
      <c r="S702">
        <f t="array" ref="S702">+$B$2*SIN(R702*$B$3+$B$4)+0*R702+ SUM($J$2:$J$20*SIN(2*PI()*N702*$I$2:$I$20+$K$2:$K$20))</f>
        <v>0.60906698632462208</v>
      </c>
      <c r="U702" s="3">
        <f t="shared" si="88"/>
        <v>1938.3333333332803</v>
      </c>
      <c r="V702" s="3">
        <f t="shared" si="89"/>
        <v>-0.28947600000000001</v>
      </c>
      <c r="Z702" s="1">
        <v>1938.375</v>
      </c>
      <c r="AA702" s="2">
        <f t="shared" si="85"/>
        <v>0.7415560000000001</v>
      </c>
      <c r="AB702">
        <v>37.077800000000003</v>
      </c>
      <c r="AE702">
        <v>1938.3333333332803</v>
      </c>
      <c r="AF702">
        <v>0.60906698632462208</v>
      </c>
    </row>
    <row r="703" spans="4:32" x14ac:dyDescent="0.35">
      <c r="D703">
        <v>0.76524400000000004</v>
      </c>
      <c r="M703">
        <f t="shared" si="86"/>
        <v>702</v>
      </c>
      <c r="N703">
        <f t="shared" si="87"/>
        <v>1938.4166666666135</v>
      </c>
      <c r="O703">
        <f t="shared" si="82"/>
        <v>0</v>
      </c>
      <c r="P703">
        <f t="array" ref="P703">+SUM($G$2:$G$18*SIN(2*PI()*(N703)*$B$1/$F$2:$F$18+$H$2:$H$18))</f>
        <v>1.3578426922576103E-3</v>
      </c>
      <c r="Q703">
        <f t="shared" si="83"/>
        <v>0</v>
      </c>
      <c r="R703">
        <f t="shared" si="84"/>
        <v>-1.8542642641760983E-2</v>
      </c>
      <c r="S703">
        <f t="array" ref="S703">+$B$2*SIN(R703*$B$3+$B$4)+0*R703+ SUM($J$2:$J$20*SIN(2*PI()*N703*$I$2:$I$20+$K$2:$K$20))</f>
        <v>0.61143619361273005</v>
      </c>
      <c r="U703" s="3">
        <f t="shared" si="88"/>
        <v>1938.4166666666135</v>
      </c>
      <c r="V703" s="3">
        <f t="shared" si="89"/>
        <v>-0.25312000000000001</v>
      </c>
      <c r="Z703" s="1">
        <v>1938.4583</v>
      </c>
      <c r="AA703" s="2">
        <f t="shared" si="85"/>
        <v>0.60555799999999993</v>
      </c>
      <c r="AB703">
        <v>30.277899999999999</v>
      </c>
      <c r="AE703">
        <v>1938.4166666666135</v>
      </c>
      <c r="AF703">
        <v>0.61143619361273005</v>
      </c>
    </row>
    <row r="704" spans="4:32" x14ac:dyDescent="0.35">
      <c r="D704">
        <v>0.7415560000000001</v>
      </c>
      <c r="M704">
        <f t="shared" si="86"/>
        <v>703</v>
      </c>
      <c r="N704">
        <f t="shared" si="87"/>
        <v>1938.4999999999468</v>
      </c>
      <c r="O704">
        <f t="shared" si="82"/>
        <v>0</v>
      </c>
      <c r="P704">
        <f t="array" ref="P704">+SUM($G$2:$G$18*SIN(2*PI()*(N704)*$B$1/$F$2:$F$18+$H$2:$H$18))</f>
        <v>0.13947719990034646</v>
      </c>
      <c r="Q704">
        <f t="shared" si="83"/>
        <v>0</v>
      </c>
      <c r="R704">
        <f t="shared" si="84"/>
        <v>-1.8514121444158746E-2</v>
      </c>
      <c r="S704">
        <f t="array" ref="S704">+$B$2*SIN(R704*$B$3+$B$4)+0*R704+ SUM($J$2:$J$20*SIN(2*PI()*N704*$I$2:$I$20+$K$2:$K$20))</f>
        <v>0.6137841242330242</v>
      </c>
      <c r="U704" s="3">
        <f t="shared" si="88"/>
        <v>1938.4999999999468</v>
      </c>
      <c r="V704" s="3">
        <f t="shared" si="89"/>
        <v>-4.9067999999999994E-2</v>
      </c>
      <c r="Z704" s="1">
        <v>1938.5417</v>
      </c>
      <c r="AA704" s="2">
        <f t="shared" si="85"/>
        <v>0.40801799999999999</v>
      </c>
      <c r="AB704">
        <v>20.4009</v>
      </c>
      <c r="AE704">
        <v>1938.4999999999468</v>
      </c>
      <c r="AF704">
        <v>0.6137841242330242</v>
      </c>
    </row>
    <row r="705" spans="4:32" x14ac:dyDescent="0.35">
      <c r="D705">
        <v>0.60555799999999993</v>
      </c>
      <c r="M705">
        <f t="shared" si="86"/>
        <v>704</v>
      </c>
      <c r="N705">
        <f t="shared" si="87"/>
        <v>1938.5833333332801</v>
      </c>
      <c r="O705">
        <f t="shared" si="82"/>
        <v>0</v>
      </c>
      <c r="P705">
        <f t="array" ref="P705">+SUM($G$2:$G$18*SIN(2*PI()*(N705)*$B$1/$F$2:$F$18+$H$2:$H$18))</f>
        <v>0.26843271091328325</v>
      </c>
      <c r="Q705">
        <f t="shared" si="83"/>
        <v>0</v>
      </c>
      <c r="R705">
        <f t="shared" si="84"/>
        <v>-1.8485644116177924E-2</v>
      </c>
      <c r="S705">
        <f t="array" ref="S705">+$B$2*SIN(R705*$B$3+$B$4)+0*R705+ SUM($J$2:$J$20*SIN(2*PI()*N705*$I$2:$I$20+$K$2:$K$20))</f>
        <v>0.61611079761115084</v>
      </c>
      <c r="U705" s="3">
        <f t="shared" si="88"/>
        <v>1938.5833333332801</v>
      </c>
      <c r="V705" s="3">
        <f t="shared" si="89"/>
        <v>1.1360000000000001E-3</v>
      </c>
      <c r="Z705" s="1">
        <v>1938.625</v>
      </c>
      <c r="AA705" s="2">
        <f t="shared" si="85"/>
        <v>0.43817200000000001</v>
      </c>
      <c r="AB705">
        <v>21.9086</v>
      </c>
      <c r="AE705">
        <v>1938.5833333332801</v>
      </c>
      <c r="AF705">
        <v>0.61611079761115084</v>
      </c>
    </row>
    <row r="706" spans="4:32" x14ac:dyDescent="0.35">
      <c r="D706">
        <v>0.40801799999999999</v>
      </c>
      <c r="M706">
        <f t="shared" si="86"/>
        <v>705</v>
      </c>
      <c r="N706">
        <f t="shared" si="87"/>
        <v>1938.6666666666133</v>
      </c>
      <c r="O706">
        <f t="shared" ref="O706:O769" si="90">+IF(MOD(M706,$B$5)=1, $B$6, 0)</f>
        <v>0</v>
      </c>
      <c r="P706">
        <f t="array" ref="P706">+SUM($G$2:$G$18*SIN(2*PI()*(N706)*$B$1/$F$2:$F$18+$H$2:$H$18))</f>
        <v>-4.5076953632434955E-2</v>
      </c>
      <c r="Q706">
        <f t="shared" si="83"/>
        <v>0</v>
      </c>
      <c r="R706">
        <f t="shared" si="84"/>
        <v>-1.8457210590340851E-2</v>
      </c>
      <c r="S706">
        <f t="array" ref="S706">+$B$2*SIN(R706*$B$3+$B$4)+0*R706+ SUM($J$2:$J$20*SIN(2*PI()*N706*$I$2:$I$20+$K$2:$K$20))</f>
        <v>0.61841623400050794</v>
      </c>
      <c r="U706" s="3">
        <f t="shared" si="88"/>
        <v>1938.6666666666133</v>
      </c>
      <c r="V706" s="3">
        <f t="shared" si="89"/>
        <v>0.13749</v>
      </c>
      <c r="Z706" s="1">
        <v>1938.7083</v>
      </c>
      <c r="AA706" s="2">
        <f t="shared" si="85"/>
        <v>0.42063200000000001</v>
      </c>
      <c r="AB706">
        <v>21.031600000000001</v>
      </c>
      <c r="AE706">
        <v>1938.6666666666133</v>
      </c>
      <c r="AF706">
        <v>0.61841623400050794</v>
      </c>
    </row>
    <row r="707" spans="4:32" x14ac:dyDescent="0.35">
      <c r="D707">
        <v>0.43817200000000001</v>
      </c>
      <c r="M707">
        <f t="shared" si="86"/>
        <v>706</v>
      </c>
      <c r="N707">
        <f t="shared" si="87"/>
        <v>1938.7499999999466</v>
      </c>
      <c r="O707">
        <f t="shared" si="90"/>
        <v>0</v>
      </c>
      <c r="P707">
        <f t="array" ref="P707">+SUM($G$2:$G$18*SIN(2*PI()*(N707)*$B$1/$F$2:$F$18+$H$2:$H$18))</f>
        <v>-0.33680165088177039</v>
      </c>
      <c r="Q707">
        <f t="shared" ref="Q707:Q770" si="91">+O707*P707</f>
        <v>0</v>
      </c>
      <c r="R707">
        <f t="shared" ref="R707:R770" si="92">+(1-$B$7)*R706+($B$7)*Q707</f>
        <v>-1.842882079927366E-2</v>
      </c>
      <c r="S707">
        <f t="array" ref="S707">+$B$2*SIN(R707*$B$3+$B$4)+0*R707+ SUM($J$2:$J$20*SIN(2*PI()*N707*$I$2:$I$20+$K$2:$K$20))</f>
        <v>0.62070045447337341</v>
      </c>
      <c r="U707" s="3">
        <f t="shared" si="88"/>
        <v>1938.7499999999466</v>
      </c>
      <c r="V707" s="3">
        <f t="shared" si="89"/>
        <v>0.23076799999999997</v>
      </c>
      <c r="Z707" s="1">
        <v>1938.7917</v>
      </c>
      <c r="AA707" s="2">
        <f t="shared" ref="AA707:AA770" si="93">+AB707/50</f>
        <v>0.18309</v>
      </c>
      <c r="AB707">
        <v>9.1545000000000005</v>
      </c>
      <c r="AE707">
        <v>1938.7499999999466</v>
      </c>
      <c r="AF707">
        <v>0.62070045447337341</v>
      </c>
    </row>
    <row r="708" spans="4:32" x14ac:dyDescent="0.35">
      <c r="D708">
        <v>0.42063200000000001</v>
      </c>
      <c r="M708">
        <f t="shared" ref="M708:M771" si="94">+M707+1</f>
        <v>707</v>
      </c>
      <c r="N708">
        <f t="shared" ref="N708:N771" si="95">+N707+1/12</f>
        <v>1938.8333333332798</v>
      </c>
      <c r="O708">
        <f t="shared" si="90"/>
        <v>0</v>
      </c>
      <c r="P708">
        <f t="array" ref="P708">+SUM($G$2:$G$18*SIN(2*PI()*(N708)*$B$1/$F$2:$F$18+$H$2:$H$18))</f>
        <v>-5.8518387209033906E-2</v>
      </c>
      <c r="Q708">
        <f t="shared" si="91"/>
        <v>0</v>
      </c>
      <c r="R708">
        <f t="shared" si="92"/>
        <v>-1.8400474675706109E-2</v>
      </c>
      <c r="S708">
        <f t="array" ref="S708">+$B$2*SIN(R708*$B$3+$B$4)+0*R708+ SUM($J$2:$J$20*SIN(2*PI()*N708*$I$2:$I$20+$K$2:$K$20))</f>
        <v>0.62296348091207177</v>
      </c>
      <c r="U708" s="3">
        <f t="shared" si="88"/>
        <v>1938.8333333332798</v>
      </c>
      <c r="V708" s="3">
        <f t="shared" si="89"/>
        <v>4.8659999999999995E-2</v>
      </c>
      <c r="Z708" s="1">
        <v>1938.875</v>
      </c>
      <c r="AA708" s="2">
        <f t="shared" si="93"/>
        <v>-0.26983599999999996</v>
      </c>
      <c r="AB708">
        <v>-13.4918</v>
      </c>
      <c r="AE708">
        <v>1938.8333333332798</v>
      </c>
      <c r="AF708">
        <v>0.62296348091207177</v>
      </c>
    </row>
    <row r="709" spans="4:32" x14ac:dyDescent="0.35">
      <c r="D709">
        <v>0.18309</v>
      </c>
      <c r="M709">
        <f t="shared" si="94"/>
        <v>708</v>
      </c>
      <c r="N709">
        <f t="shared" si="95"/>
        <v>1938.9166666666131</v>
      </c>
      <c r="O709">
        <f t="shared" si="90"/>
        <v>0</v>
      </c>
      <c r="P709">
        <f t="array" ref="P709">+SUM($G$2:$G$18*SIN(2*PI()*(N709)*$B$1/$F$2:$F$18+$H$2:$H$18))</f>
        <v>0.23138658689418348</v>
      </c>
      <c r="Q709">
        <f t="shared" si="91"/>
        <v>0</v>
      </c>
      <c r="R709">
        <f t="shared" si="92"/>
        <v>-1.8372172152471434E-2</v>
      </c>
      <c r="S709">
        <f t="array" ref="S709">+$B$2*SIN(R709*$B$3+$B$4)+0*R709+ SUM($J$2:$J$20*SIN(2*PI()*N709*$I$2:$I$20+$K$2:$K$20))</f>
        <v>0.62520533600017969</v>
      </c>
      <c r="U709" s="3">
        <f t="shared" si="88"/>
        <v>1938.9166666666131</v>
      </c>
      <c r="V709" s="3">
        <f t="shared" si="89"/>
        <v>0.16808800000000002</v>
      </c>
      <c r="Z709" s="1">
        <v>1938.9583</v>
      </c>
      <c r="AA709" s="2">
        <f t="shared" si="93"/>
        <v>-0.29968800000000001</v>
      </c>
      <c r="AB709">
        <v>-14.984400000000001</v>
      </c>
      <c r="AE709">
        <v>1938.9166666666131</v>
      </c>
      <c r="AF709">
        <v>0.62520533600017969</v>
      </c>
    </row>
    <row r="710" spans="4:32" x14ac:dyDescent="0.35">
      <c r="D710">
        <v>-0.26983599999999996</v>
      </c>
      <c r="M710">
        <f t="shared" si="94"/>
        <v>709</v>
      </c>
      <c r="N710">
        <f t="shared" si="95"/>
        <v>1938.9999999999463</v>
      </c>
      <c r="O710">
        <f t="shared" si="90"/>
        <v>36.637715116165623</v>
      </c>
      <c r="P710">
        <f t="array" ref="P710">+SUM($G$2:$G$18*SIN(2*PI()*(N710)*$B$1/$F$2:$F$18+$H$2:$H$18))</f>
        <v>0.14931419495450027</v>
      </c>
      <c r="Q710">
        <f t="shared" si="91"/>
        <v>5.4705309375425957</v>
      </c>
      <c r="R710">
        <f t="shared" si="92"/>
        <v>-9.9294656172894905E-3</v>
      </c>
      <c r="S710">
        <f t="array" ref="S710">+$B$2*SIN(R710*$B$3+$B$4)+0*R710+ SUM($J$2:$J$20*SIN(2*PI()*N710*$I$2:$I$20+$K$2:$K$20))</f>
        <v>0.40773267704330318</v>
      </c>
      <c r="U710" s="3">
        <f t="shared" si="88"/>
        <v>1938.9999999999463</v>
      </c>
      <c r="V710" s="3">
        <f t="shared" si="89"/>
        <v>0.14751600000000001</v>
      </c>
      <c r="Z710" s="1">
        <v>1939.0417</v>
      </c>
      <c r="AA710" s="2">
        <f t="shared" si="93"/>
        <v>-0.28338799999999997</v>
      </c>
      <c r="AB710">
        <v>-14.1694</v>
      </c>
      <c r="AE710">
        <v>1938.9999999999463</v>
      </c>
      <c r="AF710">
        <v>0.40773267704330318</v>
      </c>
    </row>
    <row r="711" spans="4:32" x14ac:dyDescent="0.35">
      <c r="D711">
        <v>-0.29968800000000001</v>
      </c>
      <c r="M711">
        <f t="shared" si="94"/>
        <v>710</v>
      </c>
      <c r="N711">
        <f t="shared" si="95"/>
        <v>1939.0833333332796</v>
      </c>
      <c r="O711">
        <f t="shared" si="90"/>
        <v>0</v>
      </c>
      <c r="P711">
        <f t="array" ref="P711">+SUM($G$2:$G$18*SIN(2*PI()*(N711)*$B$1/$F$2:$F$18+$H$2:$H$18))</f>
        <v>7.3596680536519771E-2</v>
      </c>
      <c r="Q711">
        <f t="shared" si="91"/>
        <v>0</v>
      </c>
      <c r="R711">
        <f t="shared" si="92"/>
        <v>-9.9141926998080575E-3</v>
      </c>
      <c r="S711">
        <f t="array" ref="S711">+$B$2*SIN(R711*$B$3+$B$4)+0*R711+ SUM($J$2:$J$20*SIN(2*PI()*N711*$I$2:$I$20+$K$2:$K$20))</f>
        <v>0.4059121552198437</v>
      </c>
      <c r="U711" s="3">
        <f t="shared" si="88"/>
        <v>1939.0833333332796</v>
      </c>
      <c r="V711" s="3">
        <f t="shared" si="89"/>
        <v>3.4636E-2</v>
      </c>
      <c r="Z711" s="1">
        <v>1939.125</v>
      </c>
      <c r="AA711" s="2">
        <f t="shared" si="93"/>
        <v>-0.396318</v>
      </c>
      <c r="AB711">
        <v>-19.815899999999999</v>
      </c>
      <c r="AE711">
        <v>1939.0833333332796</v>
      </c>
      <c r="AF711">
        <v>0.4059121552198437</v>
      </c>
    </row>
    <row r="712" spans="4:32" x14ac:dyDescent="0.35">
      <c r="D712">
        <v>-0.28338799999999997</v>
      </c>
      <c r="M712">
        <f t="shared" si="94"/>
        <v>711</v>
      </c>
      <c r="N712">
        <f t="shared" si="95"/>
        <v>1939.1666666666129</v>
      </c>
      <c r="O712">
        <f t="shared" si="90"/>
        <v>0</v>
      </c>
      <c r="P712">
        <f t="array" ref="P712">+SUM($G$2:$G$18*SIN(2*PI()*(N712)*$B$1/$F$2:$F$18+$H$2:$H$18))</f>
        <v>0.17343669132551828</v>
      </c>
      <c r="Q712">
        <f t="shared" si="91"/>
        <v>0</v>
      </c>
      <c r="R712">
        <f t="shared" si="92"/>
        <v>-9.8989432742261265E-3</v>
      </c>
      <c r="S712">
        <f t="array" ref="S712">+$B$2*SIN(R712*$B$3+$B$4)+0*R712+ SUM($J$2:$J$20*SIN(2*PI()*N712*$I$2:$I$20+$K$2:$K$20))</f>
        <v>0.40409108728605869</v>
      </c>
      <c r="U712" s="3">
        <f t="shared" si="88"/>
        <v>1939.1666666666129</v>
      </c>
      <c r="V712" s="3">
        <f t="shared" si="89"/>
        <v>6.0213999999999997E-2</v>
      </c>
      <c r="Z712" s="1">
        <v>1939.2083</v>
      </c>
      <c r="AA712" s="2">
        <f t="shared" si="93"/>
        <v>-0.47078600000000004</v>
      </c>
      <c r="AB712">
        <v>-23.539300000000001</v>
      </c>
      <c r="AE712">
        <v>1939.1666666666129</v>
      </c>
      <c r="AF712">
        <v>0.40409108728605869</v>
      </c>
    </row>
    <row r="713" spans="4:32" x14ac:dyDescent="0.35">
      <c r="D713">
        <v>-0.396318</v>
      </c>
      <c r="M713">
        <f t="shared" si="94"/>
        <v>712</v>
      </c>
      <c r="N713">
        <f t="shared" si="95"/>
        <v>1939.2499999999461</v>
      </c>
      <c r="O713">
        <f t="shared" si="90"/>
        <v>0</v>
      </c>
      <c r="P713">
        <f t="array" ref="P713">+SUM($G$2:$G$18*SIN(2*PI()*(N713)*$B$1/$F$2:$F$18+$H$2:$H$18))</f>
        <v>0.29970087373334886</v>
      </c>
      <c r="Q713">
        <f t="shared" si="91"/>
        <v>0</v>
      </c>
      <c r="R713">
        <f t="shared" si="92"/>
        <v>-9.8837173044098465E-3</v>
      </c>
      <c r="S713">
        <f t="array" ref="S713">+$B$2*SIN(R713*$B$3+$B$4)+0*R713+ SUM($J$2:$J$20*SIN(2*PI()*N713*$I$2:$I$20+$K$2:$K$20))</f>
        <v>0.40226949933492478</v>
      </c>
      <c r="U713" s="3">
        <f t="shared" si="88"/>
        <v>1939.2499999999461</v>
      </c>
      <c r="V713" s="3">
        <f t="shared" si="89"/>
        <v>0.42117800000000005</v>
      </c>
      <c r="Z713" s="1">
        <v>1939.2917</v>
      </c>
      <c r="AA713" s="2">
        <f t="shared" si="93"/>
        <v>-0.57756799999999997</v>
      </c>
      <c r="AB713">
        <v>-28.878399999999999</v>
      </c>
      <c r="AE713">
        <v>1939.2499999999461</v>
      </c>
      <c r="AF713">
        <v>0.40226949933492478</v>
      </c>
    </row>
    <row r="714" spans="4:32" x14ac:dyDescent="0.35">
      <c r="D714">
        <v>-0.47078600000000004</v>
      </c>
      <c r="M714">
        <f t="shared" si="94"/>
        <v>713</v>
      </c>
      <c r="N714">
        <f t="shared" si="95"/>
        <v>1939.3333333332794</v>
      </c>
      <c r="O714">
        <f t="shared" si="90"/>
        <v>0</v>
      </c>
      <c r="P714">
        <f t="array" ref="P714">+SUM($G$2:$G$18*SIN(2*PI()*(N714)*$B$1/$F$2:$F$18+$H$2:$H$18))</f>
        <v>0.14987598830503818</v>
      </c>
      <c r="Q714">
        <f t="shared" si="91"/>
        <v>0</v>
      </c>
      <c r="R714">
        <f t="shared" si="92"/>
        <v>-9.8685147542809434E-3</v>
      </c>
      <c r="S714">
        <f t="array" ref="S714">+$B$2*SIN(R714*$B$3+$B$4)+0*R714+ SUM($J$2:$J$20*SIN(2*PI()*N714*$I$2:$I$20+$K$2:$K$20))</f>
        <v>0.40044741729991179</v>
      </c>
      <c r="U714" s="3">
        <f t="shared" si="88"/>
        <v>1939.3333333332794</v>
      </c>
      <c r="V714" s="3">
        <f t="shared" si="89"/>
        <v>0.24521799999999999</v>
      </c>
      <c r="Z714" s="1">
        <v>1939.375</v>
      </c>
      <c r="AA714" s="2">
        <f t="shared" si="93"/>
        <v>-0.95973200000000003</v>
      </c>
      <c r="AB714">
        <v>-47.986600000000003</v>
      </c>
      <c r="AE714">
        <v>1939.3333333332794</v>
      </c>
      <c r="AF714">
        <v>0.40044741729991179</v>
      </c>
    </row>
    <row r="715" spans="4:32" x14ac:dyDescent="0.35">
      <c r="D715">
        <v>-0.57756799999999997</v>
      </c>
      <c r="M715">
        <f t="shared" si="94"/>
        <v>714</v>
      </c>
      <c r="N715">
        <f t="shared" si="95"/>
        <v>1939.4166666666126</v>
      </c>
      <c r="O715">
        <f t="shared" si="90"/>
        <v>0</v>
      </c>
      <c r="P715">
        <f t="array" ref="P715">+SUM($G$2:$G$18*SIN(2*PI()*(N715)*$B$1/$F$2:$F$18+$H$2:$H$18))</f>
        <v>-0.26520143553689873</v>
      </c>
      <c r="Q715">
        <f t="shared" si="91"/>
        <v>0</v>
      </c>
      <c r="R715">
        <f t="shared" si="92"/>
        <v>-9.8533355878166386E-3</v>
      </c>
      <c r="S715">
        <f t="array" ref="S715">+$B$2*SIN(R715*$B$3+$B$4)+0*R715+ SUM($J$2:$J$20*SIN(2*PI()*N715*$I$2:$I$20+$K$2:$K$20))</f>
        <v>0.39862486695550015</v>
      </c>
      <c r="U715" s="3">
        <f t="shared" si="88"/>
        <v>1939.4166666666126</v>
      </c>
      <c r="V715" s="3">
        <f t="shared" si="89"/>
        <v>0.27540799999999999</v>
      </c>
      <c r="Z715" s="1">
        <v>1939.4583</v>
      </c>
      <c r="AA715" s="2">
        <f t="shared" si="93"/>
        <v>-1.0803579999999999</v>
      </c>
      <c r="AB715">
        <v>-54.017899999999997</v>
      </c>
      <c r="AE715">
        <v>1939.4166666666126</v>
      </c>
      <c r="AF715">
        <v>0.39862486695550015</v>
      </c>
    </row>
    <row r="716" spans="4:32" x14ac:dyDescent="0.35">
      <c r="D716">
        <v>-0.95973200000000003</v>
      </c>
      <c r="M716">
        <f t="shared" si="94"/>
        <v>715</v>
      </c>
      <c r="N716">
        <f t="shared" si="95"/>
        <v>1939.4999999999459</v>
      </c>
      <c r="O716">
        <f t="shared" si="90"/>
        <v>0</v>
      </c>
      <c r="P716">
        <f t="array" ref="P716">+SUM($G$2:$G$18*SIN(2*PI()*(N716)*$B$1/$F$2:$F$18+$H$2:$H$18))</f>
        <v>-0.2788991219114072</v>
      </c>
      <c r="Q716">
        <f t="shared" si="91"/>
        <v>0</v>
      </c>
      <c r="R716">
        <f t="shared" si="92"/>
        <v>-9.8381797690495591E-3</v>
      </c>
      <c r="S716">
        <f t="array" ref="S716">+$B$2*SIN(R716*$B$3+$B$4)+0*R716+ SUM($J$2:$J$20*SIN(2*PI()*N716*$I$2:$I$20+$K$2:$K$20))</f>
        <v>0.39680187391769772</v>
      </c>
      <c r="U716" s="3">
        <f t="shared" si="88"/>
        <v>1939.4999999999459</v>
      </c>
      <c r="V716" s="3">
        <f t="shared" si="89"/>
        <v>0.187138</v>
      </c>
      <c r="Z716" s="1">
        <v>1939.5417</v>
      </c>
      <c r="AA716" s="2">
        <f t="shared" si="93"/>
        <v>-1.0240659999999999</v>
      </c>
      <c r="AB716">
        <v>-51.203299999999999</v>
      </c>
      <c r="AE716">
        <v>1939.4999999999459</v>
      </c>
      <c r="AF716">
        <v>0.39680187391769772</v>
      </c>
    </row>
    <row r="717" spans="4:32" x14ac:dyDescent="0.35">
      <c r="D717">
        <v>-1.0803579999999999</v>
      </c>
      <c r="M717">
        <f t="shared" si="94"/>
        <v>716</v>
      </c>
      <c r="N717">
        <f t="shared" si="95"/>
        <v>1939.5833333332791</v>
      </c>
      <c r="O717">
        <f t="shared" si="90"/>
        <v>0</v>
      </c>
      <c r="P717">
        <f t="array" ref="P717">+SUM($G$2:$G$18*SIN(2*PI()*(N717)*$B$1/$F$2:$F$18+$H$2:$H$18))</f>
        <v>0.13402384261978131</v>
      </c>
      <c r="Q717">
        <f t="shared" si="91"/>
        <v>0</v>
      </c>
      <c r="R717">
        <f t="shared" si="92"/>
        <v>-9.8230472620676572E-3</v>
      </c>
      <c r="S717">
        <f t="array" ref="S717">+$B$2*SIN(R717*$B$3+$B$4)+0*R717+ SUM($J$2:$J$20*SIN(2*PI()*N717*$I$2:$I$20+$K$2:$K$20))</f>
        <v>0.3949784636445578</v>
      </c>
      <c r="U717" s="3">
        <f t="shared" si="88"/>
        <v>1939.5833333332791</v>
      </c>
      <c r="V717" s="3">
        <f t="shared" si="89"/>
        <v>0.27117400000000003</v>
      </c>
      <c r="Z717" s="1">
        <v>1939.625</v>
      </c>
      <c r="AA717" s="2">
        <f t="shared" si="93"/>
        <v>-1.1400779999999999</v>
      </c>
      <c r="AB717">
        <v>-57.003900000000002</v>
      </c>
      <c r="AE717">
        <v>1939.5833333332791</v>
      </c>
      <c r="AF717">
        <v>0.3949784636445578</v>
      </c>
    </row>
    <row r="718" spans="4:32" x14ac:dyDescent="0.35">
      <c r="D718">
        <v>-1.0240659999999999</v>
      </c>
      <c r="M718">
        <f t="shared" si="94"/>
        <v>717</v>
      </c>
      <c r="N718">
        <f t="shared" si="95"/>
        <v>1939.6666666666124</v>
      </c>
      <c r="O718">
        <f t="shared" si="90"/>
        <v>0</v>
      </c>
      <c r="P718">
        <f t="array" ref="P718">+SUM($G$2:$G$18*SIN(2*PI()*(N718)*$B$1/$F$2:$F$18+$H$2:$H$18))</f>
        <v>0.20537758148495783</v>
      </c>
      <c r="Q718">
        <f t="shared" si="91"/>
        <v>0</v>
      </c>
      <c r="R718">
        <f t="shared" si="92"/>
        <v>-9.8079380310141205E-3</v>
      </c>
      <c r="S718">
        <f t="array" ref="S718">+$B$2*SIN(R718*$B$3+$B$4)+0*R718+ SUM($J$2:$J$20*SIN(2*PI()*N718*$I$2:$I$20+$K$2:$K$20))</f>
        <v>0.39315466143669714</v>
      </c>
      <c r="U718" s="3">
        <f t="shared" si="88"/>
        <v>1939.6666666666124</v>
      </c>
      <c r="V718" s="3">
        <f t="shared" si="89"/>
        <v>0.30443799999999999</v>
      </c>
      <c r="Z718" s="1">
        <v>1939.7083</v>
      </c>
      <c r="AA718" s="2">
        <f t="shared" si="93"/>
        <v>-1.2468619999999999</v>
      </c>
      <c r="AB718">
        <v>-62.3431</v>
      </c>
      <c r="AE718">
        <v>1939.6666666666124</v>
      </c>
      <c r="AF718">
        <v>0.39315466143669714</v>
      </c>
    </row>
    <row r="719" spans="4:32" x14ac:dyDescent="0.35">
      <c r="D719">
        <v>-1.1400779999999999</v>
      </c>
      <c r="M719">
        <f t="shared" si="94"/>
        <v>718</v>
      </c>
      <c r="N719">
        <f t="shared" si="95"/>
        <v>1939.7499999999457</v>
      </c>
      <c r="O719">
        <f t="shared" si="90"/>
        <v>0</v>
      </c>
      <c r="P719">
        <f t="array" ref="P719">+SUM($G$2:$G$18*SIN(2*PI()*(N719)*$B$1/$F$2:$F$18+$H$2:$H$18))</f>
        <v>-1.1411928012192263E-2</v>
      </c>
      <c r="Q719">
        <f t="shared" si="91"/>
        <v>0</v>
      </c>
      <c r="R719">
        <f t="shared" si="92"/>
        <v>-9.7928520400872923E-3</v>
      </c>
      <c r="S719">
        <f t="array" ref="S719">+$B$2*SIN(R719*$B$3+$B$4)+0*R719+ SUM($J$2:$J$20*SIN(2*PI()*N719*$I$2:$I$20+$K$2:$K$20))</f>
        <v>0.39133049243782009</v>
      </c>
      <c r="U719" s="3">
        <f t="shared" si="88"/>
        <v>1939.7499999999457</v>
      </c>
      <c r="V719" s="3">
        <f t="shared" si="89"/>
        <v>0.20385600000000001</v>
      </c>
      <c r="Z719" s="1">
        <v>1939.7917</v>
      </c>
      <c r="AA719" s="2">
        <f t="shared" si="93"/>
        <v>-1.515188</v>
      </c>
      <c r="AB719">
        <v>-75.759399999999999</v>
      </c>
      <c r="AE719">
        <v>1939.7499999999457</v>
      </c>
      <c r="AF719">
        <v>0.39133049243782009</v>
      </c>
    </row>
    <row r="720" spans="4:32" x14ac:dyDescent="0.35">
      <c r="D720">
        <v>-1.2468619999999999</v>
      </c>
      <c r="M720">
        <f t="shared" si="94"/>
        <v>719</v>
      </c>
      <c r="N720">
        <f t="shared" si="95"/>
        <v>1939.8333333332789</v>
      </c>
      <c r="O720">
        <f t="shared" si="90"/>
        <v>0</v>
      </c>
      <c r="P720">
        <f t="array" ref="P720">+SUM($G$2:$G$18*SIN(2*PI()*(N720)*$B$1/$F$2:$F$18+$H$2:$H$18))</f>
        <v>2.8563247349697313E-2</v>
      </c>
      <c r="Q720">
        <f t="shared" si="91"/>
        <v>0</v>
      </c>
      <c r="R720">
        <f t="shared" si="92"/>
        <v>-9.7777892535405812E-3</v>
      </c>
      <c r="S720">
        <f t="array" ref="S720">+$B$2*SIN(R720*$B$3+$B$4)+0*R720+ SUM($J$2:$J$20*SIN(2*PI()*N720*$I$2:$I$20+$K$2:$K$20))</f>
        <v>0.38950598163523714</v>
      </c>
      <c r="U720" s="3">
        <f t="shared" si="88"/>
        <v>1939.8333333332789</v>
      </c>
      <c r="V720" s="3">
        <f t="shared" si="89"/>
        <v>0.10173600000000001</v>
      </c>
      <c r="Z720" s="1">
        <v>1939.875</v>
      </c>
      <c r="AA720" s="2">
        <f t="shared" si="93"/>
        <v>-1.5019739999999999</v>
      </c>
      <c r="AB720">
        <v>-75.098699999999994</v>
      </c>
      <c r="AE720">
        <v>1939.8333333332789</v>
      </c>
      <c r="AF720">
        <v>0.38950598163523714</v>
      </c>
    </row>
    <row r="721" spans="4:32" x14ac:dyDescent="0.35">
      <c r="D721">
        <v>-1.515188</v>
      </c>
      <c r="M721">
        <f t="shared" si="94"/>
        <v>720</v>
      </c>
      <c r="N721">
        <f t="shared" si="95"/>
        <v>1939.9166666666122</v>
      </c>
      <c r="O721">
        <f t="shared" si="90"/>
        <v>0</v>
      </c>
      <c r="P721">
        <f t="array" ref="P721">+SUM($G$2:$G$18*SIN(2*PI()*(N721)*$B$1/$F$2:$F$18+$H$2:$H$18))</f>
        <v>0.25755457235509388</v>
      </c>
      <c r="Q721">
        <f t="shared" si="91"/>
        <v>0</v>
      </c>
      <c r="R721">
        <f t="shared" si="92"/>
        <v>-9.7627496356823811E-3</v>
      </c>
      <c r="S721">
        <f t="array" ref="S721">+$B$2*SIN(R721*$B$3+$B$4)+0*R721+ SUM($J$2:$J$20*SIN(2*PI()*N721*$I$2:$I$20+$K$2:$K$20))</f>
        <v>0.38768115386038876</v>
      </c>
      <c r="U721" s="3">
        <f t="shared" si="88"/>
        <v>1939.9166666666122</v>
      </c>
      <c r="V721" s="3">
        <f t="shared" si="89"/>
        <v>0.20268799999999998</v>
      </c>
      <c r="Z721" s="1">
        <v>1939.9583</v>
      </c>
      <c r="AA721" s="2">
        <f t="shared" si="93"/>
        <v>-1.4702999999999999</v>
      </c>
      <c r="AB721">
        <v>-73.515000000000001</v>
      </c>
      <c r="AE721">
        <v>1939.9166666666122</v>
      </c>
      <c r="AF721">
        <v>0.38768115386038876</v>
      </c>
    </row>
    <row r="722" spans="4:32" x14ac:dyDescent="0.35">
      <c r="D722">
        <v>-1.5019739999999999</v>
      </c>
      <c r="M722">
        <f t="shared" si="94"/>
        <v>721</v>
      </c>
      <c r="N722">
        <f t="shared" si="95"/>
        <v>1939.9999999999454</v>
      </c>
      <c r="O722">
        <f t="shared" si="90"/>
        <v>36.637715116165623</v>
      </c>
      <c r="P722">
        <f t="array" ref="P722">+SUM($G$2:$G$18*SIN(2*PI()*(N722)*$B$1/$F$2:$F$18+$H$2:$H$18))</f>
        <v>0.29915761940625513</v>
      </c>
      <c r="Q722">
        <f t="shared" si="91"/>
        <v>10.960451634636676</v>
      </c>
      <c r="R722">
        <f t="shared" si="92"/>
        <v>7.1109861223511723E-3</v>
      </c>
      <c r="S722">
        <f t="array" ref="S722">+$B$2*SIN(R722*$B$3+$B$4)+0*R722+ SUM($J$2:$J$20*SIN(2*PI()*N722*$I$2:$I$20+$K$2:$K$20))</f>
        <v>-0.36536145689775251</v>
      </c>
      <c r="U722" s="3">
        <f t="shared" si="88"/>
        <v>1939.9999999999454</v>
      </c>
      <c r="V722" s="3">
        <f t="shared" si="89"/>
        <v>0.137488</v>
      </c>
      <c r="Z722" s="1">
        <v>1940.0417</v>
      </c>
      <c r="AA722" s="2">
        <f t="shared" si="93"/>
        <v>-1.4709379999999999</v>
      </c>
      <c r="AB722">
        <v>-73.546899999999994</v>
      </c>
      <c r="AE722">
        <v>1939.9999999999454</v>
      </c>
      <c r="AF722">
        <v>-0.36536145689775251</v>
      </c>
    </row>
    <row r="723" spans="4:32" x14ac:dyDescent="0.35">
      <c r="D723">
        <v>-1.4702999999999999</v>
      </c>
      <c r="M723">
        <f t="shared" si="94"/>
        <v>722</v>
      </c>
      <c r="N723">
        <f t="shared" si="95"/>
        <v>1940.0833333332787</v>
      </c>
      <c r="O723">
        <f t="shared" si="90"/>
        <v>0</v>
      </c>
      <c r="P723">
        <f t="array" ref="P723">+SUM($G$2:$G$18*SIN(2*PI()*(N723)*$B$1/$F$2:$F$18+$H$2:$H$18))</f>
        <v>-8.5030718583673087E-2</v>
      </c>
      <c r="Q723">
        <f t="shared" si="91"/>
        <v>0</v>
      </c>
      <c r="R723">
        <f t="shared" si="92"/>
        <v>7.1000484235419657E-3</v>
      </c>
      <c r="S723">
        <f t="array" ref="S723">+$B$2*SIN(R723*$B$3+$B$4)+0*R723+ SUM($J$2:$J$20*SIN(2*PI()*N723*$I$2:$I$20+$K$2:$K$20))</f>
        <v>-0.36671548323447262</v>
      </c>
      <c r="U723" s="3">
        <f t="shared" si="88"/>
        <v>1940.0833333332787</v>
      </c>
      <c r="V723" s="3">
        <f t="shared" si="89"/>
        <v>5.0747999999999995E-2</v>
      </c>
      <c r="Z723" s="1">
        <v>1940.125</v>
      </c>
      <c r="AA723" s="2">
        <f t="shared" si="93"/>
        <v>-1.350034</v>
      </c>
      <c r="AB723">
        <v>-67.5017</v>
      </c>
      <c r="AE723">
        <v>1940.0833333332787</v>
      </c>
      <c r="AF723">
        <v>-0.36671548323447262</v>
      </c>
    </row>
    <row r="724" spans="4:32" x14ac:dyDescent="0.35">
      <c r="D724">
        <v>-1.4709379999999999</v>
      </c>
      <c r="M724">
        <f t="shared" si="94"/>
        <v>723</v>
      </c>
      <c r="N724">
        <f t="shared" si="95"/>
        <v>1940.1666666666119</v>
      </c>
      <c r="O724">
        <f t="shared" si="90"/>
        <v>0</v>
      </c>
      <c r="P724">
        <f t="array" ref="P724">+SUM($G$2:$G$18*SIN(2*PI()*(N724)*$B$1/$F$2:$F$18+$H$2:$H$18))</f>
        <v>-0.49923499868097182</v>
      </c>
      <c r="Q724">
        <f t="shared" si="91"/>
        <v>0</v>
      </c>
      <c r="R724">
        <f t="shared" si="92"/>
        <v>7.0891275484549808E-3</v>
      </c>
      <c r="S724">
        <f t="array" ref="S724">+$B$2*SIN(R724*$B$3+$B$4)+0*R724+ SUM($J$2:$J$20*SIN(2*PI()*N724*$I$2:$I$20+$K$2:$K$20))</f>
        <v>-0.36806587638661509</v>
      </c>
      <c r="U724" s="3">
        <f t="shared" si="88"/>
        <v>1940.1666666666119</v>
      </c>
      <c r="V724" s="3">
        <f t="shared" si="89"/>
        <v>2.862E-2</v>
      </c>
      <c r="Z724" s="1">
        <v>1940.2083</v>
      </c>
      <c r="AA724" s="2">
        <f t="shared" si="93"/>
        <v>-1.133748</v>
      </c>
      <c r="AB724">
        <v>-56.687399999999997</v>
      </c>
      <c r="AE724">
        <v>1940.1666666666119</v>
      </c>
      <c r="AF724">
        <v>-0.36806587638661509</v>
      </c>
    </row>
    <row r="725" spans="4:32" x14ac:dyDescent="0.35">
      <c r="D725">
        <v>-1.350034</v>
      </c>
      <c r="M725">
        <f t="shared" si="94"/>
        <v>724</v>
      </c>
      <c r="N725">
        <f t="shared" si="95"/>
        <v>1940.2499999999452</v>
      </c>
      <c r="O725">
        <f t="shared" si="90"/>
        <v>0</v>
      </c>
      <c r="P725">
        <f t="array" ref="P725">+SUM($G$2:$G$18*SIN(2*PI()*(N725)*$B$1/$F$2:$F$18+$H$2:$H$18))</f>
        <v>-0.27429416464541329</v>
      </c>
      <c r="Q725">
        <f t="shared" si="91"/>
        <v>0</v>
      </c>
      <c r="R725">
        <f t="shared" si="92"/>
        <v>7.0782234712129608E-3</v>
      </c>
      <c r="S725">
        <f t="array" ref="S725">+$B$2*SIN(R725*$B$3+$B$4)+0*R725+ SUM($J$2:$J$20*SIN(2*PI()*N725*$I$2:$I$20+$K$2:$K$20))</f>
        <v>-0.36941264101660504</v>
      </c>
      <c r="U725" s="3">
        <f t="shared" si="88"/>
        <v>1940.2499999999452</v>
      </c>
      <c r="V725" s="3">
        <f t="shared" si="89"/>
        <v>-0.22889199999999998</v>
      </c>
      <c r="Z725" s="1">
        <v>1940.2917</v>
      </c>
      <c r="AA725" s="2">
        <f t="shared" si="93"/>
        <v>-1.04362</v>
      </c>
      <c r="AB725">
        <v>-52.180999999999997</v>
      </c>
      <c r="AE725">
        <v>1940.2499999999452</v>
      </c>
      <c r="AF725">
        <v>-0.36941264101660504</v>
      </c>
    </row>
    <row r="726" spans="4:32" x14ac:dyDescent="0.35">
      <c r="D726">
        <v>-1.133748</v>
      </c>
      <c r="M726">
        <f t="shared" si="94"/>
        <v>725</v>
      </c>
      <c r="N726">
        <f t="shared" si="95"/>
        <v>1940.3333333332785</v>
      </c>
      <c r="O726">
        <f t="shared" si="90"/>
        <v>0</v>
      </c>
      <c r="P726">
        <f t="array" ref="P726">+SUM($G$2:$G$18*SIN(2*PI()*(N726)*$B$1/$F$2:$F$18+$H$2:$H$18))</f>
        <v>0.17518963593498105</v>
      </c>
      <c r="Q726">
        <f t="shared" si="91"/>
        <v>0</v>
      </c>
      <c r="R726">
        <f t="shared" si="92"/>
        <v>7.0673361659784537E-3</v>
      </c>
      <c r="S726">
        <f t="array" ref="S726">+$B$2*SIN(R726*$B$3+$B$4)+0*R726+ SUM($J$2:$J$20*SIN(2*PI()*N726*$I$2:$I$20+$K$2:$K$20))</f>
        <v>-0.37075578181528618</v>
      </c>
      <c r="U726" s="3">
        <f t="shared" si="88"/>
        <v>1940.3333333332785</v>
      </c>
      <c r="V726" s="3">
        <f t="shared" si="89"/>
        <v>-0.49871200000000004</v>
      </c>
      <c r="Z726" s="1">
        <v>1940.375</v>
      </c>
      <c r="AA726" s="2">
        <f t="shared" si="93"/>
        <v>-1.1857960000000001</v>
      </c>
      <c r="AB726">
        <v>-59.2898</v>
      </c>
      <c r="AE726">
        <v>1940.3333333332785</v>
      </c>
      <c r="AF726">
        <v>-0.37075578181528618</v>
      </c>
    </row>
    <row r="727" spans="4:32" x14ac:dyDescent="0.35">
      <c r="D727">
        <v>-1.04362</v>
      </c>
      <c r="M727">
        <f t="shared" si="94"/>
        <v>726</v>
      </c>
      <c r="N727">
        <f t="shared" si="95"/>
        <v>1940.4166666666117</v>
      </c>
      <c r="O727">
        <f t="shared" si="90"/>
        <v>0</v>
      </c>
      <c r="P727">
        <f t="array" ref="P727">+SUM($G$2:$G$18*SIN(2*PI()*(N727)*$B$1/$F$2:$F$18+$H$2:$H$18))</f>
        <v>0.12252234842973075</v>
      </c>
      <c r="Q727">
        <f t="shared" si="91"/>
        <v>0</v>
      </c>
      <c r="R727">
        <f t="shared" si="92"/>
        <v>7.0564656069537473E-3</v>
      </c>
      <c r="S727">
        <f t="array" ref="S727">+$B$2*SIN(R727*$B$3+$B$4)+0*R727+ SUM($J$2:$J$20*SIN(2*PI()*N727*$I$2:$I$20+$K$2:$K$20))</f>
        <v>-0.37209530350160136</v>
      </c>
      <c r="U727" s="3">
        <f t="shared" si="88"/>
        <v>1940.4166666666117</v>
      </c>
      <c r="V727" s="3">
        <f t="shared" si="89"/>
        <v>-0.43469000000000002</v>
      </c>
      <c r="Z727" s="1">
        <v>1940.4583</v>
      </c>
      <c r="AA727" s="2">
        <f t="shared" si="93"/>
        <v>-0.70797600000000005</v>
      </c>
      <c r="AB727">
        <v>-35.398800000000001</v>
      </c>
      <c r="AE727">
        <v>1940.4166666666117</v>
      </c>
      <c r="AF727">
        <v>-0.37209530350160136</v>
      </c>
    </row>
    <row r="728" spans="4:32" x14ac:dyDescent="0.35">
      <c r="D728">
        <v>-1.1857960000000001</v>
      </c>
      <c r="M728">
        <f t="shared" si="94"/>
        <v>727</v>
      </c>
      <c r="N728">
        <f t="shared" si="95"/>
        <v>1940.499999999945</v>
      </c>
      <c r="O728">
        <f t="shared" si="90"/>
        <v>0</v>
      </c>
      <c r="P728">
        <f t="array" ref="P728">+SUM($G$2:$G$18*SIN(2*PI()*(N728)*$B$1/$F$2:$F$18+$H$2:$H$18))</f>
        <v>-6.5176928296389491E-2</v>
      </c>
      <c r="Q728">
        <f t="shared" si="91"/>
        <v>0</v>
      </c>
      <c r="R728">
        <f t="shared" si="92"/>
        <v>7.0456117683808115E-3</v>
      </c>
      <c r="S728">
        <f t="array" ref="S728">+$B$2*SIN(R728*$B$3+$B$4)+0*R728+ SUM($J$2:$J$20*SIN(2*PI()*N728*$I$2:$I$20+$K$2:$K$20))</f>
        <v>-0.37343121082227432</v>
      </c>
      <c r="U728" s="3">
        <f t="shared" si="88"/>
        <v>1940.499999999945</v>
      </c>
      <c r="V728" s="3">
        <f t="shared" si="89"/>
        <v>-0.60604999999999998</v>
      </c>
      <c r="Z728" s="1">
        <v>1940.5417</v>
      </c>
      <c r="AA728" s="2">
        <f t="shared" si="93"/>
        <v>-0.60246600000000006</v>
      </c>
      <c r="AB728">
        <v>-30.1233</v>
      </c>
      <c r="AE728">
        <v>1940.499999999945</v>
      </c>
      <c r="AF728">
        <v>-0.37343121082227432</v>
      </c>
    </row>
    <row r="729" spans="4:32" x14ac:dyDescent="0.35">
      <c r="D729">
        <v>-0.70797600000000005</v>
      </c>
      <c r="M729">
        <f t="shared" si="94"/>
        <v>728</v>
      </c>
      <c r="N729">
        <f t="shared" si="95"/>
        <v>1940.5833333332782</v>
      </c>
      <c r="O729">
        <f t="shared" si="90"/>
        <v>0</v>
      </c>
      <c r="P729">
        <f t="array" ref="P729">+SUM($G$2:$G$18*SIN(2*PI()*(N729)*$B$1/$F$2:$F$18+$H$2:$H$18))</f>
        <v>6.5274946785943561E-2</v>
      </c>
      <c r="Q729">
        <f t="shared" si="91"/>
        <v>0</v>
      </c>
      <c r="R729">
        <f t="shared" si="92"/>
        <v>7.0347746245412353E-3</v>
      </c>
      <c r="S729">
        <f t="array" ref="S729">+$B$2*SIN(R729*$B$3+$B$4)+0*R729+ SUM($J$2:$J$20*SIN(2*PI()*N729*$I$2:$I$20+$K$2:$K$20))</f>
        <v>-0.37476350855149204</v>
      </c>
      <c r="U729" s="3">
        <f t="shared" si="88"/>
        <v>1940.5833333332782</v>
      </c>
      <c r="V729" s="3">
        <f t="shared" si="89"/>
        <v>-0.61587400000000003</v>
      </c>
      <c r="Z729" s="1">
        <v>1940.625</v>
      </c>
      <c r="AA729" s="2">
        <f t="shared" si="93"/>
        <v>-0.70926199999999995</v>
      </c>
      <c r="AB729">
        <v>-35.463099999999997</v>
      </c>
      <c r="AE729">
        <v>1940.5833333332782</v>
      </c>
      <c r="AF729">
        <v>-0.37476350855149204</v>
      </c>
    </row>
    <row r="730" spans="4:32" x14ac:dyDescent="0.35">
      <c r="D730">
        <v>-0.60246600000000006</v>
      </c>
      <c r="M730">
        <f t="shared" si="94"/>
        <v>729</v>
      </c>
      <c r="N730">
        <f t="shared" si="95"/>
        <v>1940.6666666666115</v>
      </c>
      <c r="O730">
        <f t="shared" si="90"/>
        <v>0</v>
      </c>
      <c r="P730">
        <f t="array" ref="P730">+SUM($G$2:$G$18*SIN(2*PI()*(N730)*$B$1/$F$2:$F$18+$H$2:$H$18))</f>
        <v>0.27819705866192218</v>
      </c>
      <c r="Q730">
        <f t="shared" si="91"/>
        <v>0</v>
      </c>
      <c r="R730">
        <f t="shared" si="92"/>
        <v>7.0239541497561656E-3</v>
      </c>
      <c r="S730">
        <f t="array" ref="S730">+$B$2*SIN(R730*$B$3+$B$4)+0*R730+ SUM($J$2:$J$20*SIN(2*PI()*N730*$I$2:$I$20+$K$2:$K$20))</f>
        <v>-0.37609220149059247</v>
      </c>
      <c r="U730" s="3">
        <f t="shared" si="88"/>
        <v>1940.6666666666115</v>
      </c>
      <c r="V730" s="3">
        <f t="shared" si="89"/>
        <v>-0.42877799999999999</v>
      </c>
      <c r="Z730" s="1">
        <v>1940.7083</v>
      </c>
      <c r="AA730" s="2">
        <f t="shared" si="93"/>
        <v>-0.53452</v>
      </c>
      <c r="AB730">
        <v>-26.725999999999999</v>
      </c>
      <c r="AE730">
        <v>1940.6666666666115</v>
      </c>
      <c r="AF730">
        <v>-0.37609220149059247</v>
      </c>
    </row>
    <row r="731" spans="4:32" x14ac:dyDescent="0.35">
      <c r="D731">
        <v>-0.70926199999999995</v>
      </c>
      <c r="M731">
        <f t="shared" si="94"/>
        <v>730</v>
      </c>
      <c r="N731">
        <f t="shared" si="95"/>
        <v>1940.7499999999447</v>
      </c>
      <c r="O731">
        <f t="shared" si="90"/>
        <v>0</v>
      </c>
      <c r="P731">
        <f t="array" ref="P731">+SUM($G$2:$G$18*SIN(2*PI()*(N731)*$B$1/$F$2:$F$18+$H$2:$H$18))</f>
        <v>0.19404613080586242</v>
      </c>
      <c r="Q731">
        <f t="shared" si="91"/>
        <v>0</v>
      </c>
      <c r="R731">
        <f t="shared" si="92"/>
        <v>7.013150318386248E-3</v>
      </c>
      <c r="S731">
        <f t="array" ref="S731">+$B$2*SIN(R731*$B$3+$B$4)+0*R731+ SUM($J$2:$J$20*SIN(2*PI()*N731*$I$2:$I$20+$K$2:$K$20))</f>
        <v>-0.3774172944677508</v>
      </c>
      <c r="U731" s="3">
        <f t="shared" si="88"/>
        <v>1940.7499999999447</v>
      </c>
      <c r="V731" s="3">
        <f t="shared" si="89"/>
        <v>-0.30321799999999999</v>
      </c>
      <c r="Z731" s="1">
        <v>1940.7917</v>
      </c>
      <c r="AA731" s="2">
        <f t="shared" si="93"/>
        <v>-0.57362999999999997</v>
      </c>
      <c r="AB731">
        <v>-28.6815</v>
      </c>
      <c r="AE731">
        <v>1940.7499999999447</v>
      </c>
      <c r="AF731">
        <v>-0.3774172944677508</v>
      </c>
    </row>
    <row r="732" spans="4:32" x14ac:dyDescent="0.35">
      <c r="D732">
        <v>-0.53452</v>
      </c>
      <c r="M732">
        <f t="shared" si="94"/>
        <v>731</v>
      </c>
      <c r="N732">
        <f t="shared" si="95"/>
        <v>1940.833333333278</v>
      </c>
      <c r="O732">
        <f t="shared" si="90"/>
        <v>0</v>
      </c>
      <c r="P732">
        <f t="array" ref="P732">+SUM($G$2:$G$18*SIN(2*PI()*(N732)*$B$1/$F$2:$F$18+$H$2:$H$18))</f>
        <v>-0.29344588864382021</v>
      </c>
      <c r="Q732">
        <f t="shared" si="91"/>
        <v>0</v>
      </c>
      <c r="R732">
        <f t="shared" si="92"/>
        <v>7.0023631048315637E-3</v>
      </c>
      <c r="S732">
        <f t="array" ref="S732">+$B$2*SIN(R732*$B$3+$B$4)+0*R732+ SUM($J$2:$J$20*SIN(2*PI()*N732*$I$2:$I$20+$K$2:$K$20))</f>
        <v>-0.37873879233766922</v>
      </c>
      <c r="U732" s="3">
        <f t="shared" si="88"/>
        <v>1940.833333333278</v>
      </c>
      <c r="V732" s="3">
        <f t="shared" si="89"/>
        <v>-0.30073800000000001</v>
      </c>
      <c r="Z732" s="1">
        <v>1940.875</v>
      </c>
      <c r="AA732" s="2">
        <f t="shared" si="93"/>
        <v>-0.50350600000000001</v>
      </c>
      <c r="AB732">
        <v>-25.1753</v>
      </c>
      <c r="AE732">
        <v>1940.833333333278</v>
      </c>
      <c r="AF732">
        <v>-0.37873879233766922</v>
      </c>
    </row>
    <row r="733" spans="4:32" x14ac:dyDescent="0.35">
      <c r="D733">
        <v>-0.57362999999999997</v>
      </c>
      <c r="M733">
        <f t="shared" si="94"/>
        <v>732</v>
      </c>
      <c r="N733">
        <f t="shared" si="95"/>
        <v>1940.9166666666113</v>
      </c>
      <c r="O733">
        <f t="shared" si="90"/>
        <v>0</v>
      </c>
      <c r="P733">
        <f t="array" ref="P733">+SUM($G$2:$G$18*SIN(2*PI()*(N733)*$B$1/$F$2:$F$18+$H$2:$H$18))</f>
        <v>-0.59726667378389697</v>
      </c>
      <c r="Q733">
        <f t="shared" si="91"/>
        <v>0</v>
      </c>
      <c r="R733">
        <f t="shared" si="92"/>
        <v>6.9915924835315712E-3</v>
      </c>
      <c r="S733">
        <f t="array" ref="S733">+$B$2*SIN(R733*$B$3+$B$4)+0*R733+ SUM($J$2:$J$20*SIN(2*PI()*N733*$I$2:$I$20+$K$2:$K$20))</f>
        <v>-0.38005669998126945</v>
      </c>
      <c r="U733" s="3">
        <f t="shared" si="88"/>
        <v>1940.9166666666113</v>
      </c>
      <c r="V733" s="3">
        <f t="shared" si="89"/>
        <v>-0.39672199999999996</v>
      </c>
      <c r="Z733" s="1">
        <v>1940.9583</v>
      </c>
      <c r="AA733" s="2">
        <f t="shared" si="93"/>
        <v>-0.45646000000000003</v>
      </c>
      <c r="AB733">
        <v>-22.823</v>
      </c>
      <c r="AE733">
        <v>1940.9166666666113</v>
      </c>
      <c r="AF733">
        <v>-0.38005669998126945</v>
      </c>
    </row>
    <row r="734" spans="4:32" x14ac:dyDescent="0.35">
      <c r="D734">
        <v>-0.50350600000000001</v>
      </c>
      <c r="M734">
        <f t="shared" si="94"/>
        <v>733</v>
      </c>
      <c r="N734">
        <f t="shared" si="95"/>
        <v>1940.9999999999445</v>
      </c>
      <c r="O734">
        <f t="shared" si="90"/>
        <v>36.637715116165623</v>
      </c>
      <c r="P734">
        <f t="array" ref="P734">+SUM($G$2:$G$18*SIN(2*PI()*(N734)*$B$1/$F$2:$F$18+$H$2:$H$18))</f>
        <v>-0.22148510133286003</v>
      </c>
      <c r="Q734">
        <f t="shared" si="91"/>
        <v>-8.1147080451084008</v>
      </c>
      <c r="R734">
        <f t="shared" si="92"/>
        <v>-5.5007261522206927E-3</v>
      </c>
      <c r="S734">
        <f t="array" ref="S734">+$B$2*SIN(R734*$B$3+$B$4)+0*R734+ SUM($J$2:$J$20*SIN(2*PI()*N734*$I$2:$I$20+$K$2:$K$20))</f>
        <v>-0.19432656357885897</v>
      </c>
      <c r="U734" s="3">
        <f t="shared" si="88"/>
        <v>1940.9999999999445</v>
      </c>
      <c r="V734" s="3">
        <f t="shared" si="89"/>
        <v>-0.41731999999999997</v>
      </c>
      <c r="Z734" s="1">
        <v>1941.0417</v>
      </c>
      <c r="AA734" s="2">
        <f t="shared" si="93"/>
        <v>-0.31095800000000001</v>
      </c>
      <c r="AB734">
        <v>-15.5479</v>
      </c>
      <c r="AE734">
        <v>1940.9999999999445</v>
      </c>
      <c r="AF734">
        <v>-0.19432656357885897</v>
      </c>
    </row>
    <row r="735" spans="4:32" x14ac:dyDescent="0.35">
      <c r="D735">
        <v>-0.45646000000000003</v>
      </c>
      <c r="M735">
        <f t="shared" si="94"/>
        <v>734</v>
      </c>
      <c r="N735">
        <f t="shared" si="95"/>
        <v>1941.0833333332778</v>
      </c>
      <c r="O735">
        <f t="shared" si="90"/>
        <v>0</v>
      </c>
      <c r="P735">
        <f t="array" ref="P735">+SUM($G$2:$G$18*SIN(2*PI()*(N735)*$B$1/$F$2:$F$18+$H$2:$H$18))</f>
        <v>0.18634411697334077</v>
      </c>
      <c r="Q735">
        <f t="shared" si="91"/>
        <v>0</v>
      </c>
      <c r="R735">
        <f t="shared" si="92"/>
        <v>-5.4922652601798825E-3</v>
      </c>
      <c r="S735">
        <f t="array" ref="S735">+$B$2*SIN(R735*$B$3+$B$4)+0*R735+ SUM($J$2:$J$20*SIN(2*PI()*N735*$I$2:$I$20+$K$2:$K$20))</f>
        <v>-0.19548436514402379</v>
      </c>
      <c r="U735" s="3">
        <f t="shared" si="88"/>
        <v>1941.0833333332778</v>
      </c>
      <c r="V735" s="3">
        <f t="shared" si="89"/>
        <v>-0.41330399999999995</v>
      </c>
      <c r="Z735" s="1">
        <v>1941.125</v>
      </c>
      <c r="AA735" s="2">
        <f t="shared" si="93"/>
        <v>-0.33776000000000006</v>
      </c>
      <c r="AB735">
        <v>-16.888000000000002</v>
      </c>
      <c r="AE735">
        <v>1941.0833333332778</v>
      </c>
      <c r="AF735">
        <v>-0.19548436514402379</v>
      </c>
    </row>
    <row r="736" spans="4:32" x14ac:dyDescent="0.35">
      <c r="D736">
        <v>-0.31095800000000001</v>
      </c>
      <c r="M736">
        <f t="shared" si="94"/>
        <v>735</v>
      </c>
      <c r="N736">
        <f t="shared" si="95"/>
        <v>1941.166666666611</v>
      </c>
      <c r="O736">
        <f t="shared" si="90"/>
        <v>0</v>
      </c>
      <c r="P736">
        <f t="array" ref="P736">+SUM($G$2:$G$18*SIN(2*PI()*(N736)*$B$1/$F$2:$F$18+$H$2:$H$18))</f>
        <v>0.13389971882531612</v>
      </c>
      <c r="Q736">
        <f t="shared" si="91"/>
        <v>0</v>
      </c>
      <c r="R736">
        <f t="shared" si="92"/>
        <v>-5.4838173821834266E-3</v>
      </c>
      <c r="S736">
        <f t="array" ref="S736">+$B$2*SIN(R736*$B$3+$B$4)+0*R736+ SUM($J$2:$J$20*SIN(2*PI()*N736*$I$2:$I$20+$K$2:$K$20))</f>
        <v>-0.19663989126914519</v>
      </c>
      <c r="U736" s="3">
        <f t="shared" si="88"/>
        <v>1941.166666666611</v>
      </c>
      <c r="V736" s="3">
        <f t="shared" si="89"/>
        <v>-0.42006199999999999</v>
      </c>
      <c r="Z736" s="1">
        <v>1941.2083</v>
      </c>
      <c r="AA736" s="2">
        <f t="shared" si="93"/>
        <v>-0.30148800000000003</v>
      </c>
      <c r="AB736">
        <v>-15.074400000000001</v>
      </c>
      <c r="AE736">
        <v>1941.166666666611</v>
      </c>
      <c r="AF736">
        <v>-0.19663989126914519</v>
      </c>
    </row>
    <row r="737" spans="4:32" x14ac:dyDescent="0.35">
      <c r="D737">
        <v>-0.33776000000000006</v>
      </c>
      <c r="M737">
        <f t="shared" si="94"/>
        <v>736</v>
      </c>
      <c r="N737">
        <f t="shared" si="95"/>
        <v>1941.2499999999443</v>
      </c>
      <c r="O737">
        <f t="shared" si="90"/>
        <v>0</v>
      </c>
      <c r="P737">
        <f t="array" ref="P737">+SUM($G$2:$G$18*SIN(2*PI()*(N737)*$B$1/$F$2:$F$18+$H$2:$H$18))</f>
        <v>7.2563895165565856E-2</v>
      </c>
      <c r="Q737">
        <f t="shared" si="91"/>
        <v>0</v>
      </c>
      <c r="R737">
        <f t="shared" si="92"/>
        <v>-5.4753824982138903E-3</v>
      </c>
      <c r="S737">
        <f t="array" ref="S737">+$B$2*SIN(R737*$B$3+$B$4)+0*R737+ SUM($J$2:$J$20*SIN(2*PI()*N737*$I$2:$I$20+$K$2:$K$20))</f>
        <v>-0.19779314405993884</v>
      </c>
      <c r="U737" s="3">
        <f t="shared" si="88"/>
        <v>1941.2499999999443</v>
      </c>
      <c r="V737" s="3">
        <f t="shared" si="89"/>
        <v>-0.32989400000000002</v>
      </c>
      <c r="Z737" s="1">
        <v>1941.2917</v>
      </c>
      <c r="AA737" s="2">
        <f t="shared" si="93"/>
        <v>-0.445218</v>
      </c>
      <c r="AB737">
        <v>-22.260899999999999</v>
      </c>
      <c r="AE737">
        <v>1941.2499999999443</v>
      </c>
      <c r="AF737">
        <v>-0.19779314405993884</v>
      </c>
    </row>
    <row r="738" spans="4:32" x14ac:dyDescent="0.35">
      <c r="D738">
        <v>-0.30148800000000003</v>
      </c>
      <c r="M738">
        <f t="shared" si="94"/>
        <v>737</v>
      </c>
      <c r="N738">
        <f t="shared" si="95"/>
        <v>1941.3333333332776</v>
      </c>
      <c r="O738">
        <f t="shared" si="90"/>
        <v>0</v>
      </c>
      <c r="P738">
        <f t="array" ref="P738">+SUM($G$2:$G$18*SIN(2*PI()*(N738)*$B$1/$F$2:$F$18+$H$2:$H$18))</f>
        <v>0.19043927973946004</v>
      </c>
      <c r="Q738">
        <f t="shared" si="91"/>
        <v>0</v>
      </c>
      <c r="R738">
        <f t="shared" si="92"/>
        <v>-5.4669605882846301E-3</v>
      </c>
      <c r="S738">
        <f t="array" ref="S738">+$B$2*SIN(R738*$B$3+$B$4)+0*R738+ SUM($J$2:$J$20*SIN(2*PI()*N738*$I$2:$I$20+$K$2:$K$20))</f>
        <v>-0.1989441256378445</v>
      </c>
      <c r="U738" s="3">
        <f t="shared" si="88"/>
        <v>1941.3333333332776</v>
      </c>
      <c r="V738" s="3">
        <f t="shared" si="89"/>
        <v>4.335E-2</v>
      </c>
      <c r="Z738" s="1">
        <v>1941.375</v>
      </c>
      <c r="AA738" s="2">
        <f t="shared" si="93"/>
        <v>-0.63971800000000001</v>
      </c>
      <c r="AB738">
        <v>-31.985900000000001</v>
      </c>
      <c r="AE738">
        <v>1941.3333333332776</v>
      </c>
      <c r="AF738">
        <v>-0.1989441256378445</v>
      </c>
    </row>
    <row r="739" spans="4:32" x14ac:dyDescent="0.35">
      <c r="D739">
        <v>-0.445218</v>
      </c>
      <c r="M739">
        <f t="shared" si="94"/>
        <v>738</v>
      </c>
      <c r="N739">
        <f t="shared" si="95"/>
        <v>1941.4166666666108</v>
      </c>
      <c r="O739">
        <f t="shared" si="90"/>
        <v>0</v>
      </c>
      <c r="P739">
        <f t="array" ref="P739">+SUM($G$2:$G$18*SIN(2*PI()*(N739)*$B$1/$F$2:$F$18+$H$2:$H$18))</f>
        <v>0.2561358766568852</v>
      </c>
      <c r="Q739">
        <f t="shared" si="91"/>
        <v>0</v>
      </c>
      <c r="R739">
        <f t="shared" si="92"/>
        <v>-5.4585516324397428E-3</v>
      </c>
      <c r="S739">
        <f t="array" ref="S739">+$B$2*SIN(R739*$B$3+$B$4)+0*R739+ SUM($J$2:$J$20*SIN(2*PI()*N739*$I$2:$I$20+$K$2:$K$20))</f>
        <v>-0.20009283813987225</v>
      </c>
      <c r="U739" s="3">
        <f t="shared" si="88"/>
        <v>1941.4166666666108</v>
      </c>
      <c r="V739" s="3">
        <f t="shared" si="89"/>
        <v>0.53197400000000006</v>
      </c>
      <c r="Z739" s="1">
        <v>1941.4583</v>
      </c>
      <c r="AA739" s="2">
        <f t="shared" si="93"/>
        <v>-0.40498600000000001</v>
      </c>
      <c r="AB739">
        <v>-20.249300000000002</v>
      </c>
      <c r="AE739">
        <v>1941.4166666666108</v>
      </c>
      <c r="AF739">
        <v>-0.20009283813987225</v>
      </c>
    </row>
    <row r="740" spans="4:32" x14ac:dyDescent="0.35">
      <c r="D740">
        <v>-0.63971800000000001</v>
      </c>
      <c r="M740">
        <f t="shared" si="94"/>
        <v>739</v>
      </c>
      <c r="N740">
        <f t="shared" si="95"/>
        <v>1941.4999999999441</v>
      </c>
      <c r="O740">
        <f t="shared" si="90"/>
        <v>0</v>
      </c>
      <c r="P740">
        <f t="array" ref="P740">+SUM($G$2:$G$18*SIN(2*PI()*(N740)*$B$1/$F$2:$F$18+$H$2:$H$18))</f>
        <v>6.4765728466085387E-2</v>
      </c>
      <c r="Q740">
        <f t="shared" si="91"/>
        <v>0</v>
      </c>
      <c r="R740">
        <f t="shared" si="92"/>
        <v>-5.4501556107540211E-3</v>
      </c>
      <c r="S740">
        <f t="array" ref="S740">+$B$2*SIN(R740*$B$3+$B$4)+0*R740+ SUM($J$2:$J$20*SIN(2*PI()*N740*$I$2:$I$20+$K$2:$K$20))</f>
        <v>-0.2012392837184547</v>
      </c>
      <c r="U740" s="3">
        <f t="shared" si="88"/>
        <v>1941.4999999999441</v>
      </c>
      <c r="V740" s="3">
        <f t="shared" si="89"/>
        <v>0.668292</v>
      </c>
      <c r="Z740" s="1">
        <v>1941.5417</v>
      </c>
      <c r="AA740" s="2">
        <f t="shared" si="93"/>
        <v>-0.45333599999999996</v>
      </c>
      <c r="AB740">
        <v>-22.666799999999999</v>
      </c>
      <c r="AE740">
        <v>1941.4999999999441</v>
      </c>
      <c r="AF740">
        <v>-0.2012392837184547</v>
      </c>
    </row>
    <row r="741" spans="4:32" x14ac:dyDescent="0.35">
      <c r="D741">
        <v>-0.40498600000000001</v>
      </c>
      <c r="M741">
        <f t="shared" si="94"/>
        <v>740</v>
      </c>
      <c r="N741">
        <f t="shared" si="95"/>
        <v>1941.5833333332773</v>
      </c>
      <c r="O741">
        <f t="shared" si="90"/>
        <v>0</v>
      </c>
      <c r="P741">
        <f t="array" ref="P741">+SUM($G$2:$G$18*SIN(2*PI()*(N741)*$B$1/$F$2:$F$18+$H$2:$H$18))</f>
        <v>-0.39039589083455672</v>
      </c>
      <c r="Q741">
        <f t="shared" si="91"/>
        <v>0</v>
      </c>
      <c r="R741">
        <f t="shared" si="92"/>
        <v>-5.441772503332905E-3</v>
      </c>
      <c r="S741">
        <f t="array" ref="S741">+$B$2*SIN(R741*$B$3+$B$4)+0*R741+ SUM($J$2:$J$20*SIN(2*PI()*N741*$I$2:$I$20+$K$2:$K$20))</f>
        <v>-0.20238346454129802</v>
      </c>
      <c r="U741" s="3">
        <f t="shared" si="88"/>
        <v>1941.5833333332773</v>
      </c>
      <c r="V741" s="3">
        <f t="shared" si="89"/>
        <v>0.85999399999999993</v>
      </c>
      <c r="Z741" s="1">
        <v>1941.625</v>
      </c>
      <c r="AA741" s="2">
        <f t="shared" si="93"/>
        <v>-0.70476200000000011</v>
      </c>
      <c r="AB741">
        <v>-35.238100000000003</v>
      </c>
      <c r="AE741">
        <v>1941.5833333332773</v>
      </c>
      <c r="AF741">
        <v>-0.20238346454129802</v>
      </c>
    </row>
    <row r="742" spans="4:32" x14ac:dyDescent="0.35">
      <c r="D742">
        <v>-0.45333599999999996</v>
      </c>
      <c r="M742">
        <f t="shared" si="94"/>
        <v>741</v>
      </c>
      <c r="N742">
        <f t="shared" si="95"/>
        <v>1941.6666666666106</v>
      </c>
      <c r="O742">
        <f t="shared" si="90"/>
        <v>0</v>
      </c>
      <c r="P742">
        <f t="array" ref="P742">+SUM($G$2:$G$18*SIN(2*PI()*(N742)*$B$1/$F$2:$F$18+$H$2:$H$18))</f>
        <v>-0.52993980759531378</v>
      </c>
      <c r="Q742">
        <f t="shared" si="91"/>
        <v>0</v>
      </c>
      <c r="R742">
        <f t="shared" si="92"/>
        <v>-5.4334022903124359E-3</v>
      </c>
      <c r="S742">
        <f t="array" ref="S742">+$B$2*SIN(R742*$B$3+$B$4)+0*R742+ SUM($J$2:$J$20*SIN(2*PI()*N742*$I$2:$I$20+$K$2:$K$20))</f>
        <v>-0.20352538279123403</v>
      </c>
      <c r="U742" s="3">
        <f t="shared" si="88"/>
        <v>1941.6666666666106</v>
      </c>
      <c r="V742" s="3">
        <f t="shared" si="89"/>
        <v>1.0670759999999999</v>
      </c>
      <c r="Z742" s="1">
        <v>1941.7083</v>
      </c>
      <c r="AA742" s="2">
        <f t="shared" si="93"/>
        <v>-0.87926400000000005</v>
      </c>
      <c r="AB742">
        <v>-43.963200000000001</v>
      </c>
      <c r="AE742">
        <v>1941.6666666666106</v>
      </c>
      <c r="AF742">
        <v>-0.20352538279123403</v>
      </c>
    </row>
    <row r="743" spans="4:32" x14ac:dyDescent="0.35">
      <c r="D743">
        <v>-0.70476200000000011</v>
      </c>
      <c r="M743">
        <f t="shared" si="94"/>
        <v>742</v>
      </c>
      <c r="N743">
        <f t="shared" si="95"/>
        <v>1941.7499999999438</v>
      </c>
      <c r="O743">
        <f t="shared" si="90"/>
        <v>0</v>
      </c>
      <c r="P743">
        <f t="array" ref="P743">+SUM($G$2:$G$18*SIN(2*PI()*(N743)*$B$1/$F$2:$F$18+$H$2:$H$18))</f>
        <v>-9.7063072344687279E-2</v>
      </c>
      <c r="Q743">
        <f t="shared" si="91"/>
        <v>0</v>
      </c>
      <c r="R743">
        <f t="shared" si="92"/>
        <v>-5.425044951859209E-3</v>
      </c>
      <c r="S743">
        <f t="array" ref="S743">+$B$2*SIN(R743*$B$3+$B$4)+0*R743+ SUM($J$2:$J$20*SIN(2*PI()*N743*$I$2:$I$20+$K$2:$K$20))</f>
        <v>-0.20466504066607169</v>
      </c>
      <c r="U743" s="3">
        <f t="shared" si="88"/>
        <v>1941.7499999999438</v>
      </c>
      <c r="V743" s="3">
        <f t="shared" si="89"/>
        <v>0.94800600000000002</v>
      </c>
      <c r="Z743" s="1">
        <v>1941.7917</v>
      </c>
      <c r="AA743" s="2">
        <f t="shared" si="93"/>
        <v>-1.0414639999999999</v>
      </c>
      <c r="AB743">
        <v>-52.0732</v>
      </c>
      <c r="AE743">
        <v>1941.7499999999438</v>
      </c>
      <c r="AF743">
        <v>-0.20466504066607169</v>
      </c>
    </row>
    <row r="744" spans="4:32" x14ac:dyDescent="0.35">
      <c r="D744">
        <v>-0.87926400000000005</v>
      </c>
      <c r="M744">
        <f t="shared" si="94"/>
        <v>743</v>
      </c>
      <c r="N744">
        <f t="shared" si="95"/>
        <v>1941.8333333332771</v>
      </c>
      <c r="O744">
        <f t="shared" si="90"/>
        <v>0</v>
      </c>
      <c r="P744">
        <f t="array" ref="P744">+SUM($G$2:$G$18*SIN(2*PI()*(N744)*$B$1/$F$2:$F$18+$H$2:$H$18))</f>
        <v>0.23863383599184548</v>
      </c>
      <c r="Q744">
        <f t="shared" si="91"/>
        <v>0</v>
      </c>
      <c r="R744">
        <f t="shared" si="92"/>
        <v>-5.4167004681703245E-3</v>
      </c>
      <c r="S744">
        <f t="array" ref="S744">+$B$2*SIN(R744*$B$3+$B$4)+0*R744+ SUM($J$2:$J$20*SIN(2*PI()*N744*$I$2:$I$20+$K$2:$K$20))</f>
        <v>-0.20580244037845469</v>
      </c>
      <c r="U744" s="3">
        <f t="shared" si="88"/>
        <v>1941.8333333332771</v>
      </c>
      <c r="V744" s="3">
        <f t="shared" si="89"/>
        <v>0.90124199999999999</v>
      </c>
      <c r="Z744" s="1">
        <v>1941.875</v>
      </c>
      <c r="AA744" s="2">
        <f t="shared" si="93"/>
        <v>-0.99289199999999989</v>
      </c>
      <c r="AB744">
        <v>-49.644599999999997</v>
      </c>
      <c r="AE744">
        <v>1941.8333333332771</v>
      </c>
      <c r="AF744">
        <v>-0.20580244037845469</v>
      </c>
    </row>
    <row r="745" spans="4:32" x14ac:dyDescent="0.35">
      <c r="D745">
        <v>-1.0414639999999999</v>
      </c>
      <c r="M745">
        <f t="shared" si="94"/>
        <v>744</v>
      </c>
      <c r="N745">
        <f t="shared" si="95"/>
        <v>1941.9166666666104</v>
      </c>
      <c r="O745">
        <f t="shared" si="90"/>
        <v>0</v>
      </c>
      <c r="P745">
        <f t="array" ref="P745">+SUM($G$2:$G$18*SIN(2*PI()*(N745)*$B$1/$F$2:$F$18+$H$2:$H$18))</f>
        <v>0.25834256213973811</v>
      </c>
      <c r="Q745">
        <f t="shared" si="91"/>
        <v>0</v>
      </c>
      <c r="R745">
        <f t="shared" si="92"/>
        <v>-5.4083688194733436E-3</v>
      </c>
      <c r="S745">
        <f t="array" ref="S745">+$B$2*SIN(R745*$B$3+$B$4)+0*R745+ SUM($J$2:$J$20*SIN(2*PI()*N745*$I$2:$I$20+$K$2:$K$20))</f>
        <v>-0.20693758415571184</v>
      </c>
      <c r="U745" s="3">
        <f t="shared" si="88"/>
        <v>1941.9166666666104</v>
      </c>
      <c r="V745" s="3">
        <f t="shared" si="89"/>
        <v>0.76524400000000004</v>
      </c>
      <c r="Z745" s="1">
        <v>1941.9583</v>
      </c>
      <c r="AA745" s="2">
        <f t="shared" si="93"/>
        <v>-0.85970600000000008</v>
      </c>
      <c r="AB745">
        <v>-42.985300000000002</v>
      </c>
      <c r="AE745">
        <v>1941.9166666666104</v>
      </c>
      <c r="AF745">
        <v>-0.20693758415571184</v>
      </c>
    </row>
    <row r="746" spans="4:32" x14ac:dyDescent="0.35">
      <c r="D746">
        <v>-0.99289199999999989</v>
      </c>
      <c r="M746">
        <f t="shared" si="94"/>
        <v>745</v>
      </c>
      <c r="N746">
        <f t="shared" si="95"/>
        <v>1941.9999999999436</v>
      </c>
      <c r="O746">
        <f t="shared" si="90"/>
        <v>36.637715116165623</v>
      </c>
      <c r="P746">
        <f t="array" ref="P746">+SUM($G$2:$G$18*SIN(2*PI()*(N746)*$B$1/$F$2:$F$18+$H$2:$H$18))</f>
        <v>0.28635970688598417</v>
      </c>
      <c r="Q746">
        <f t="shared" si="91"/>
        <v>10.491565361637379</v>
      </c>
      <c r="R746">
        <f t="shared" si="92"/>
        <v>1.0737456119069736E-2</v>
      </c>
      <c r="S746">
        <f t="array" ref="S746">+$B$2*SIN(R746*$B$3+$B$4)+0*R746+ SUM($J$2:$J$20*SIN(2*PI()*N746*$I$2:$I$20+$K$2:$K$20))</f>
        <v>0.13161033175741305</v>
      </c>
      <c r="U746" s="3">
        <f t="shared" si="88"/>
        <v>1941.9999999999436</v>
      </c>
      <c r="V746" s="3">
        <f t="shared" si="89"/>
        <v>0.7415560000000001</v>
      </c>
      <c r="Z746" s="1">
        <v>1942.0417</v>
      </c>
      <c r="AA746" s="2">
        <f t="shared" si="93"/>
        <v>-0.65575599999999989</v>
      </c>
      <c r="AB746">
        <v>-32.787799999999997</v>
      </c>
      <c r="AE746">
        <v>1941.9999999999436</v>
      </c>
      <c r="AF746">
        <v>0.13161033175741305</v>
      </c>
    </row>
    <row r="747" spans="4:32" x14ac:dyDescent="0.35">
      <c r="D747">
        <v>-0.85970600000000008</v>
      </c>
      <c r="M747">
        <f t="shared" si="94"/>
        <v>746</v>
      </c>
      <c r="N747">
        <f t="shared" si="95"/>
        <v>1942.0833333332769</v>
      </c>
      <c r="O747">
        <f t="shared" si="90"/>
        <v>0</v>
      </c>
      <c r="P747">
        <f t="array" ref="P747">+SUM($G$2:$G$18*SIN(2*PI()*(N747)*$B$1/$F$2:$F$18+$H$2:$H$18))</f>
        <v>0.26968306973491457</v>
      </c>
      <c r="Q747">
        <f t="shared" si="91"/>
        <v>0</v>
      </c>
      <c r="R747">
        <f t="shared" si="92"/>
        <v>1.0720940398326264E-2</v>
      </c>
      <c r="S747">
        <f t="array" ref="S747">+$B$2*SIN(R747*$B$3+$B$4)+0*R747+ SUM($J$2:$J$20*SIN(2*PI()*N747*$I$2:$I$20+$K$2:$K$20))</f>
        <v>0.12930590683360538</v>
      </c>
      <c r="U747" s="3">
        <f t="shared" si="88"/>
        <v>1942.0833333332769</v>
      </c>
      <c r="V747" s="3">
        <f t="shared" si="89"/>
        <v>0.60555799999999993</v>
      </c>
      <c r="Z747" s="1">
        <v>1942.125</v>
      </c>
      <c r="AA747" s="2">
        <f t="shared" si="93"/>
        <v>-0.72564800000000007</v>
      </c>
      <c r="AB747">
        <v>-36.282400000000003</v>
      </c>
      <c r="AE747">
        <v>1942.0833333332769</v>
      </c>
      <c r="AF747">
        <v>0.12930590683360538</v>
      </c>
    </row>
    <row r="748" spans="4:32" x14ac:dyDescent="0.35">
      <c r="D748">
        <v>-0.65575599999999989</v>
      </c>
      <c r="M748">
        <f t="shared" si="94"/>
        <v>747</v>
      </c>
      <c r="N748">
        <f t="shared" si="95"/>
        <v>1942.1666666666101</v>
      </c>
      <c r="O748">
        <f t="shared" si="90"/>
        <v>0</v>
      </c>
      <c r="P748">
        <f t="array" ref="P748">+SUM($G$2:$G$18*SIN(2*PI()*(N748)*$B$1/$F$2:$F$18+$H$2:$H$18))</f>
        <v>0.16208457309202795</v>
      </c>
      <c r="Q748">
        <f t="shared" si="91"/>
        <v>0</v>
      </c>
      <c r="R748">
        <f t="shared" si="92"/>
        <v>1.070445008108886E-2</v>
      </c>
      <c r="S748">
        <f t="array" ref="S748">+$B$2*SIN(R748*$B$3+$B$4)+0*R748+ SUM($J$2:$J$20*SIN(2*PI()*N748*$I$2:$I$20+$K$2:$K$20))</f>
        <v>0.12700377989218459</v>
      </c>
      <c r="U748" s="3">
        <f t="shared" si="88"/>
        <v>1942.1666666666101</v>
      </c>
      <c r="V748" s="3">
        <f t="shared" si="89"/>
        <v>0.40801799999999999</v>
      </c>
      <c r="Z748" s="1">
        <v>1942.2083</v>
      </c>
      <c r="AA748" s="2">
        <f t="shared" si="93"/>
        <v>-0.68323599999999995</v>
      </c>
      <c r="AB748">
        <v>-34.161799999999999</v>
      </c>
      <c r="AE748">
        <v>1942.1666666666101</v>
      </c>
      <c r="AF748">
        <v>0.12700377989218459</v>
      </c>
    </row>
    <row r="749" spans="4:32" x14ac:dyDescent="0.35">
      <c r="D749">
        <v>-0.72564800000000007</v>
      </c>
      <c r="M749">
        <f t="shared" si="94"/>
        <v>748</v>
      </c>
      <c r="N749">
        <f t="shared" si="95"/>
        <v>1942.2499999999434</v>
      </c>
      <c r="O749">
        <f t="shared" si="90"/>
        <v>0</v>
      </c>
      <c r="P749">
        <f t="array" ref="P749">+SUM($G$2:$G$18*SIN(2*PI()*(N749)*$B$1/$F$2:$F$18+$H$2:$H$18))</f>
        <v>-6.5208086352193856E-2</v>
      </c>
      <c r="Q749">
        <f t="shared" si="91"/>
        <v>0</v>
      </c>
      <c r="R749">
        <f t="shared" si="92"/>
        <v>1.0687985128283351E-2</v>
      </c>
      <c r="S749">
        <f t="array" ref="S749">+$B$2*SIN(R749*$B$3+$B$4)+0*R749+ SUM($J$2:$J$20*SIN(2*PI()*N749*$I$2:$I$20+$K$2:$K$20))</f>
        <v>0.12470397335509667</v>
      </c>
      <c r="U749" s="3">
        <f t="shared" si="88"/>
        <v>1942.2499999999434</v>
      </c>
      <c r="V749" s="3">
        <f t="shared" si="89"/>
        <v>0.43817200000000001</v>
      </c>
      <c r="Z749" s="1">
        <v>1942.2917</v>
      </c>
      <c r="AA749" s="2">
        <f t="shared" si="93"/>
        <v>-0.7346720000000001</v>
      </c>
      <c r="AB749">
        <v>-36.733600000000003</v>
      </c>
      <c r="AE749">
        <v>1942.2499999999434</v>
      </c>
      <c r="AF749">
        <v>0.12470397335509667</v>
      </c>
    </row>
    <row r="750" spans="4:32" x14ac:dyDescent="0.35">
      <c r="D750">
        <v>-0.68323599999999995</v>
      </c>
      <c r="M750">
        <f t="shared" si="94"/>
        <v>749</v>
      </c>
      <c r="N750">
        <f t="shared" si="95"/>
        <v>1942.3333333332766</v>
      </c>
      <c r="O750">
        <f t="shared" si="90"/>
        <v>0</v>
      </c>
      <c r="P750">
        <f t="array" ref="P750">+SUM($G$2:$G$18*SIN(2*PI()*(N750)*$B$1/$F$2:$F$18+$H$2:$H$18))</f>
        <v>-0.42147132682401706</v>
      </c>
      <c r="Q750">
        <f t="shared" si="91"/>
        <v>0</v>
      </c>
      <c r="R750">
        <f t="shared" si="92"/>
        <v>1.0671545500895668E-2</v>
      </c>
      <c r="S750">
        <f t="array" ref="S750">+$B$2*SIN(R750*$B$3+$B$4)+0*R750+ SUM($J$2:$J$20*SIN(2*PI()*N750*$I$2:$I$20+$K$2:$K$20))</f>
        <v>0.12240650943977081</v>
      </c>
      <c r="U750" s="3">
        <f t="shared" si="88"/>
        <v>1942.3333333332766</v>
      </c>
      <c r="V750" s="3">
        <f t="shared" si="89"/>
        <v>0.42063200000000001</v>
      </c>
      <c r="Z750" s="1">
        <v>1942.375</v>
      </c>
      <c r="AA750" s="2">
        <f t="shared" si="93"/>
        <v>-0.72303200000000001</v>
      </c>
      <c r="AB750">
        <v>-36.151600000000002</v>
      </c>
      <c r="AE750">
        <v>1942.3333333332766</v>
      </c>
      <c r="AF750">
        <v>0.12240650943977081</v>
      </c>
    </row>
    <row r="751" spans="4:32" x14ac:dyDescent="0.35">
      <c r="D751">
        <v>-0.7346720000000001</v>
      </c>
      <c r="M751">
        <f t="shared" si="94"/>
        <v>750</v>
      </c>
      <c r="N751">
        <f t="shared" si="95"/>
        <v>1942.4166666666099</v>
      </c>
      <c r="O751">
        <f t="shared" si="90"/>
        <v>0</v>
      </c>
      <c r="P751">
        <f t="array" ref="P751">+SUM($G$2:$G$18*SIN(2*PI()*(N751)*$B$1/$F$2:$F$18+$H$2:$H$18))</f>
        <v>-0.41356480885044378</v>
      </c>
      <c r="Q751">
        <f t="shared" si="91"/>
        <v>0</v>
      </c>
      <c r="R751">
        <f t="shared" si="92"/>
        <v>1.0655131159971748E-2</v>
      </c>
      <c r="S751">
        <f t="array" ref="S751">+$B$2*SIN(R751*$B$3+$B$4)+0*R751+ SUM($J$2:$J$20*SIN(2*PI()*N751*$I$2:$I$20+$K$2:$K$20))</f>
        <v>0.12011141016008822</v>
      </c>
      <c r="U751" s="3">
        <f t="shared" si="88"/>
        <v>1942.4166666666099</v>
      </c>
      <c r="V751" s="3">
        <f t="shared" si="89"/>
        <v>0.18309</v>
      </c>
      <c r="Z751" s="1">
        <v>1942.4583</v>
      </c>
      <c r="AA751" s="2">
        <f t="shared" si="93"/>
        <v>-0.53754400000000002</v>
      </c>
      <c r="AB751">
        <v>-26.877199999999998</v>
      </c>
      <c r="AE751">
        <v>1942.4166666666099</v>
      </c>
      <c r="AF751">
        <v>0.12011141016008822</v>
      </c>
    </row>
    <row r="752" spans="4:32" x14ac:dyDescent="0.35">
      <c r="D752">
        <v>-0.72303200000000001</v>
      </c>
      <c r="M752">
        <f t="shared" si="94"/>
        <v>751</v>
      </c>
      <c r="N752">
        <f t="shared" si="95"/>
        <v>1942.4999999999432</v>
      </c>
      <c r="O752">
        <f t="shared" si="90"/>
        <v>0</v>
      </c>
      <c r="P752">
        <f t="array" ref="P752">+SUM($G$2:$G$18*SIN(2*PI()*(N752)*$B$1/$F$2:$F$18+$H$2:$H$18))</f>
        <v>2.7042665820999651E-2</v>
      </c>
      <c r="Q752">
        <f t="shared" si="91"/>
        <v>0</v>
      </c>
      <c r="R752">
        <f t="shared" si="92"/>
        <v>1.0638742066617446E-2</v>
      </c>
      <c r="S752">
        <f t="array" ref="S752">+$B$2*SIN(R752*$B$3+$B$4)+0*R752+ SUM($J$2:$J$20*SIN(2*PI()*N752*$I$2:$I$20+$K$2:$K$20))</f>
        <v>0.11781869732735301</v>
      </c>
      <c r="U752" s="3">
        <f t="shared" si="88"/>
        <v>1942.4999999999432</v>
      </c>
      <c r="V752" s="3">
        <f t="shared" si="89"/>
        <v>-0.26983599999999996</v>
      </c>
      <c r="Z752" s="1">
        <v>1942.5417</v>
      </c>
      <c r="AA752" s="2">
        <f t="shared" si="93"/>
        <v>-0.56129200000000001</v>
      </c>
      <c r="AB752">
        <v>-28.064599999999999</v>
      </c>
      <c r="AE752">
        <v>1942.4999999999432</v>
      </c>
      <c r="AF752">
        <v>0.11781869732735301</v>
      </c>
    </row>
    <row r="753" spans="4:32" x14ac:dyDescent="0.35">
      <c r="D753">
        <v>-0.53754400000000002</v>
      </c>
      <c r="M753">
        <f t="shared" si="94"/>
        <v>752</v>
      </c>
      <c r="N753">
        <f t="shared" si="95"/>
        <v>1942.5833333332764</v>
      </c>
      <c r="O753">
        <f t="shared" si="90"/>
        <v>0</v>
      </c>
      <c r="P753">
        <f t="array" ref="P753">+SUM($G$2:$G$18*SIN(2*PI()*(N753)*$B$1/$F$2:$F$18+$H$2:$H$18))</f>
        <v>0.30905398355582614</v>
      </c>
      <c r="Q753">
        <f t="shared" si="91"/>
        <v>0</v>
      </c>
      <c r="R753">
        <f t="shared" si="92"/>
        <v>1.0622378181998441E-2</v>
      </c>
      <c r="S753">
        <f t="array" ref="S753">+$B$2*SIN(R753*$B$3+$B$4)+0*R753+ SUM($J$2:$J$20*SIN(2*PI()*N753*$I$2:$I$20+$K$2:$K$20))</f>
        <v>0.11552839255126154</v>
      </c>
      <c r="U753" s="3">
        <f t="shared" si="88"/>
        <v>1942.5833333332764</v>
      </c>
      <c r="V753" s="3">
        <f t="shared" si="89"/>
        <v>-0.29968800000000001</v>
      </c>
      <c r="Z753" s="1">
        <v>1942.625</v>
      </c>
      <c r="AA753" s="2">
        <f t="shared" si="93"/>
        <v>-0.61273200000000005</v>
      </c>
      <c r="AB753">
        <v>-30.636600000000001</v>
      </c>
      <c r="AE753">
        <v>1942.5833333332764</v>
      </c>
      <c r="AF753">
        <v>0.11552839255126154</v>
      </c>
    </row>
    <row r="754" spans="4:32" x14ac:dyDescent="0.35">
      <c r="D754">
        <v>-0.56129200000000001</v>
      </c>
      <c r="M754">
        <f t="shared" si="94"/>
        <v>753</v>
      </c>
      <c r="N754">
        <f t="shared" si="95"/>
        <v>1942.6666666666097</v>
      </c>
      <c r="O754">
        <f t="shared" si="90"/>
        <v>0</v>
      </c>
      <c r="P754">
        <f t="array" ref="P754">+SUM($G$2:$G$18*SIN(2*PI()*(N754)*$B$1/$F$2:$F$18+$H$2:$H$18))</f>
        <v>0.37364099733966261</v>
      </c>
      <c r="Q754">
        <f t="shared" si="91"/>
        <v>0</v>
      </c>
      <c r="R754">
        <f t="shared" si="92"/>
        <v>1.0606039467340147E-2</v>
      </c>
      <c r="S754">
        <f t="array" ref="S754">+$B$2*SIN(R754*$B$3+$B$4)+0*R754+ SUM($J$2:$J$20*SIN(2*PI()*N754*$I$2:$I$20+$K$2:$K$20))</f>
        <v>0.11324051724086981</v>
      </c>
      <c r="U754" s="3">
        <f t="shared" si="88"/>
        <v>1942.6666666666097</v>
      </c>
      <c r="V754" s="3">
        <f t="shared" si="89"/>
        <v>-0.28338799999999997</v>
      </c>
      <c r="Z754" s="1">
        <v>1942.7083</v>
      </c>
      <c r="AA754" s="2">
        <f t="shared" si="93"/>
        <v>-0.16878599999999999</v>
      </c>
      <c r="AB754">
        <v>-8.4392999999999994</v>
      </c>
      <c r="AE754">
        <v>1942.6666666666097</v>
      </c>
      <c r="AF754">
        <v>0.11324051724086981</v>
      </c>
    </row>
    <row r="755" spans="4:32" x14ac:dyDescent="0.35">
      <c r="D755">
        <v>-0.61273200000000005</v>
      </c>
      <c r="M755">
        <f t="shared" si="94"/>
        <v>754</v>
      </c>
      <c r="N755">
        <f t="shared" si="95"/>
        <v>1942.7499999999429</v>
      </c>
      <c r="O755">
        <f t="shared" si="90"/>
        <v>0</v>
      </c>
      <c r="P755">
        <f t="array" ref="P755">+SUM($G$2:$G$18*SIN(2*PI()*(N755)*$B$1/$F$2:$F$18+$H$2:$H$18))</f>
        <v>0.3444536042720644</v>
      </c>
      <c r="Q755">
        <f t="shared" si="91"/>
        <v>0</v>
      </c>
      <c r="R755">
        <f t="shared" si="92"/>
        <v>1.0589725883927616E-2</v>
      </c>
      <c r="S755">
        <f t="array" ref="S755">+$B$2*SIN(R755*$B$3+$B$4)+0*R755+ SUM($J$2:$J$20*SIN(2*PI()*N755*$I$2:$I$20+$K$2:$K$20))</f>
        <v>0.11095509260555994</v>
      </c>
      <c r="U755" s="3">
        <f t="shared" si="88"/>
        <v>1942.7499999999429</v>
      </c>
      <c r="V755" s="3">
        <f t="shared" si="89"/>
        <v>-0.396318</v>
      </c>
      <c r="Z755" s="1">
        <v>1942.7917</v>
      </c>
      <c r="AA755" s="2">
        <f t="shared" si="93"/>
        <v>0.15823200000000001</v>
      </c>
      <c r="AB755">
        <v>7.9116</v>
      </c>
      <c r="AE755">
        <v>1942.7499999999429</v>
      </c>
      <c r="AF755">
        <v>0.11095509260555994</v>
      </c>
    </row>
    <row r="756" spans="4:32" x14ac:dyDescent="0.35">
      <c r="D756">
        <v>-0.16878599999999999</v>
      </c>
      <c r="M756">
        <f t="shared" si="94"/>
        <v>755</v>
      </c>
      <c r="N756">
        <f t="shared" si="95"/>
        <v>1942.8333333332762</v>
      </c>
      <c r="O756">
        <f t="shared" si="90"/>
        <v>0</v>
      </c>
      <c r="P756">
        <f t="array" ref="P756">+SUM($G$2:$G$18*SIN(2*PI()*(N756)*$B$1/$F$2:$F$18+$H$2:$H$18))</f>
        <v>0.14189463147659528</v>
      </c>
      <c r="Q756">
        <f t="shared" si="91"/>
        <v>0</v>
      </c>
      <c r="R756">
        <f t="shared" si="92"/>
        <v>1.0573437393105452E-2</v>
      </c>
      <c r="S756">
        <f t="array" ref="S756">+$B$2*SIN(R756*$B$3+$B$4)+0*R756+ SUM($J$2:$J$20*SIN(2*PI()*N756*$I$2:$I$20+$K$2:$K$20))</f>
        <v>0.10867213965600755</v>
      </c>
      <c r="U756" s="3">
        <f t="shared" si="88"/>
        <v>1942.8333333332762</v>
      </c>
      <c r="V756" s="3">
        <f t="shared" si="89"/>
        <v>-0.47078600000000004</v>
      </c>
      <c r="Z756" s="1">
        <v>1942.875</v>
      </c>
      <c r="AA756" s="2">
        <f t="shared" si="93"/>
        <v>0.443712</v>
      </c>
      <c r="AB756">
        <v>22.185600000000001</v>
      </c>
      <c r="AE756">
        <v>1942.8333333332762</v>
      </c>
      <c r="AF756">
        <v>0.10867213965600755</v>
      </c>
    </row>
    <row r="757" spans="4:32" x14ac:dyDescent="0.35">
      <c r="D757">
        <v>0.15823200000000001</v>
      </c>
      <c r="M757">
        <f t="shared" si="94"/>
        <v>756</v>
      </c>
      <c r="N757">
        <f t="shared" si="95"/>
        <v>1942.9166666666094</v>
      </c>
      <c r="O757">
        <f t="shared" si="90"/>
        <v>0</v>
      </c>
      <c r="P757">
        <f t="array" ref="P757">+SUM($G$2:$G$18*SIN(2*PI()*(N757)*$B$1/$F$2:$F$18+$H$2:$H$18))</f>
        <v>-2.3560876445137741E-2</v>
      </c>
      <c r="Q757">
        <f t="shared" si="91"/>
        <v>0</v>
      </c>
      <c r="R757">
        <f t="shared" si="92"/>
        <v>1.0557173956277713E-2</v>
      </c>
      <c r="S757">
        <f t="array" ref="S757">+$B$2*SIN(R757*$B$3+$B$4)+0*R757+ SUM($J$2:$J$20*SIN(2*PI()*N757*$I$2:$I$20+$K$2:$K$20))</f>
        <v>0.10639167920514468</v>
      </c>
      <c r="U757" s="3">
        <f t="shared" si="88"/>
        <v>1942.9166666666094</v>
      </c>
      <c r="V757" s="3">
        <f t="shared" si="89"/>
        <v>-0.57756799999999997</v>
      </c>
      <c r="Z757" s="1">
        <v>1942.9583</v>
      </c>
      <c r="AA757" s="2">
        <f t="shared" si="93"/>
        <v>0.63842199999999993</v>
      </c>
      <c r="AB757">
        <v>31.921099999999999</v>
      </c>
      <c r="AE757">
        <v>1942.9166666666094</v>
      </c>
      <c r="AF757">
        <v>0.10639167920514468</v>
      </c>
    </row>
    <row r="758" spans="4:32" x14ac:dyDescent="0.35">
      <c r="D758">
        <v>0.443712</v>
      </c>
      <c r="M758">
        <f t="shared" si="94"/>
        <v>757</v>
      </c>
      <c r="N758">
        <f t="shared" si="95"/>
        <v>1942.9999999999427</v>
      </c>
      <c r="O758">
        <f t="shared" si="90"/>
        <v>36.637715116165623</v>
      </c>
      <c r="P758">
        <f t="array" ref="P758">+SUM($G$2:$G$18*SIN(2*PI()*(N758)*$B$1/$F$2:$F$18+$H$2:$H$18))</f>
        <v>-0.19773324743801132</v>
      </c>
      <c r="Q758">
        <f t="shared" si="91"/>
        <v>-7.2444943886281452</v>
      </c>
      <c r="R758">
        <f t="shared" si="92"/>
        <v>-6.0211780318574284E-4</v>
      </c>
      <c r="S758">
        <f t="array" ref="S758">+$B$2*SIN(R758*$B$3+$B$4)+0*R758+ SUM($J$2:$J$20*SIN(2*PI()*N758*$I$2:$I$20+$K$2:$K$20))</f>
        <v>-0.69686491522418414</v>
      </c>
      <c r="U758" s="3">
        <f t="shared" si="88"/>
        <v>1942.9999999999427</v>
      </c>
      <c r="V758" s="3">
        <f t="shared" si="89"/>
        <v>-0.95973200000000003</v>
      </c>
      <c r="Z758" s="1">
        <v>1943.0417</v>
      </c>
      <c r="AA758" s="2">
        <f t="shared" si="93"/>
        <v>0.78082200000000002</v>
      </c>
      <c r="AB758">
        <v>39.0411</v>
      </c>
      <c r="AE758">
        <v>1942.9999999999427</v>
      </c>
      <c r="AF758">
        <v>-0.69686491522418414</v>
      </c>
    </row>
    <row r="759" spans="4:32" x14ac:dyDescent="0.35">
      <c r="D759">
        <v>0.63842199999999993</v>
      </c>
      <c r="M759">
        <f t="shared" si="94"/>
        <v>758</v>
      </c>
      <c r="N759">
        <f t="shared" si="95"/>
        <v>1943.083333333276</v>
      </c>
      <c r="O759">
        <f t="shared" si="90"/>
        <v>0</v>
      </c>
      <c r="P759">
        <f t="array" ref="P759">+SUM($G$2:$G$18*SIN(2*PI()*(N759)*$B$1/$F$2:$F$18+$H$2:$H$18))</f>
        <v>-0.4775419747656986</v>
      </c>
      <c r="Q759">
        <f t="shared" si="91"/>
        <v>0</v>
      </c>
      <c r="R759">
        <f t="shared" si="92"/>
        <v>-6.011916611478325E-4</v>
      </c>
      <c r="S759">
        <f t="array" ref="S759">+$B$2*SIN(R759*$B$3+$B$4)+0*R759+ SUM($J$2:$J$20*SIN(2*PI()*N759*$I$2:$I$20+$K$2:$K$20))</f>
        <v>-0.69691450979514113</v>
      </c>
      <c r="U759" s="3">
        <f t="shared" si="88"/>
        <v>1943.083333333276</v>
      </c>
      <c r="V759" s="3">
        <f t="shared" si="89"/>
        <v>-1.0803579999999999</v>
      </c>
      <c r="Z759" s="1">
        <v>1943.125</v>
      </c>
      <c r="AA759" s="2">
        <f t="shared" si="93"/>
        <v>0.83091399999999993</v>
      </c>
      <c r="AB759">
        <v>41.545699999999997</v>
      </c>
      <c r="AE759">
        <v>1943.083333333276</v>
      </c>
      <c r="AF759">
        <v>-0.69691450979514113</v>
      </c>
    </row>
    <row r="760" spans="4:32" x14ac:dyDescent="0.35">
      <c r="D760">
        <v>0.78082200000000002</v>
      </c>
      <c r="M760">
        <f t="shared" si="94"/>
        <v>759</v>
      </c>
      <c r="N760">
        <f t="shared" si="95"/>
        <v>1943.1666666666092</v>
      </c>
      <c r="O760">
        <f t="shared" si="90"/>
        <v>0</v>
      </c>
      <c r="P760">
        <f t="array" ref="P760">+SUM($G$2:$G$18*SIN(2*PI()*(N760)*$B$1/$F$2:$F$18+$H$2:$H$18))</f>
        <v>-0.37679969267245061</v>
      </c>
      <c r="Q760">
        <f t="shared" si="91"/>
        <v>0</v>
      </c>
      <c r="R760">
        <f t="shared" si="92"/>
        <v>-6.0026694364689783E-4</v>
      </c>
      <c r="S760">
        <f t="array" ref="S760">+$B$2*SIN(R760*$B$3+$B$4)+0*R760+ SUM($J$2:$J$20*SIN(2*PI()*N760*$I$2:$I$20+$K$2:$K$20))</f>
        <v>-0.69696400695620442</v>
      </c>
      <c r="U760" s="3">
        <f t="shared" si="88"/>
        <v>1943.1666666666092</v>
      </c>
      <c r="V760" s="3">
        <f t="shared" si="89"/>
        <v>-1.0240659999999999</v>
      </c>
      <c r="Z760" s="1">
        <v>1943.2083</v>
      </c>
      <c r="AA760" s="2">
        <f t="shared" si="93"/>
        <v>0.90254599999999996</v>
      </c>
      <c r="AB760">
        <v>45.127299999999998</v>
      </c>
      <c r="AE760">
        <v>1943.1666666666092</v>
      </c>
      <c r="AF760">
        <v>-0.69696400695620442</v>
      </c>
    </row>
    <row r="761" spans="4:32" x14ac:dyDescent="0.35">
      <c r="D761">
        <v>0.83091399999999993</v>
      </c>
      <c r="M761">
        <f t="shared" si="94"/>
        <v>760</v>
      </c>
      <c r="N761">
        <f t="shared" si="95"/>
        <v>1943.2499999999425</v>
      </c>
      <c r="O761">
        <f t="shared" si="90"/>
        <v>0</v>
      </c>
      <c r="P761">
        <f t="array" ref="P761">+SUM($G$2:$G$18*SIN(2*PI()*(N761)*$B$1/$F$2:$F$18+$H$2:$H$18))</f>
        <v>8.6070388860099087E-2</v>
      </c>
      <c r="Q761">
        <f t="shared" si="91"/>
        <v>0</v>
      </c>
      <c r="R761">
        <f t="shared" si="92"/>
        <v>-5.9934364849180031E-4</v>
      </c>
      <c r="S761">
        <f t="array" ref="S761">+$B$2*SIN(R761*$B$3+$B$4)+0*R761+ SUM($J$2:$J$20*SIN(2*PI()*N761*$I$2:$I$20+$K$2:$K$20))</f>
        <v>-0.69701340692064928</v>
      </c>
      <c r="U761" s="3">
        <f t="shared" si="88"/>
        <v>1943.2499999999425</v>
      </c>
      <c r="V761" s="3">
        <f t="shared" si="89"/>
        <v>-1.1400779999999999</v>
      </c>
      <c r="Z761" s="1">
        <v>1943.2917</v>
      </c>
      <c r="AA761" s="2">
        <f t="shared" si="93"/>
        <v>0.940326</v>
      </c>
      <c r="AB761">
        <v>47.016300000000001</v>
      </c>
      <c r="AE761">
        <v>1943.2499999999425</v>
      </c>
      <c r="AF761">
        <v>-0.69701340692064928</v>
      </c>
    </row>
    <row r="762" spans="4:32" x14ac:dyDescent="0.35">
      <c r="D762">
        <v>0.90254599999999996</v>
      </c>
      <c r="M762">
        <f t="shared" si="94"/>
        <v>761</v>
      </c>
      <c r="N762">
        <f t="shared" si="95"/>
        <v>1943.3333333332757</v>
      </c>
      <c r="O762">
        <f t="shared" si="90"/>
        <v>0</v>
      </c>
      <c r="P762">
        <f t="array" ref="P762">+SUM($G$2:$G$18*SIN(2*PI()*(N762)*$B$1/$F$2:$F$18+$H$2:$H$18))</f>
        <v>0.35360577516007424</v>
      </c>
      <c r="Q762">
        <f t="shared" si="91"/>
        <v>0</v>
      </c>
      <c r="R762">
        <f t="shared" si="92"/>
        <v>-5.9842177349477151E-4</v>
      </c>
      <c r="S762">
        <f t="array" ref="S762">+$B$2*SIN(R762*$B$3+$B$4)+0*R762+ SUM($J$2:$J$20*SIN(2*PI()*N762*$I$2:$I$20+$K$2:$K$20))</f>
        <v>-0.69706270990123531</v>
      </c>
      <c r="U762" s="3">
        <f t="shared" si="88"/>
        <v>1943.3333333332757</v>
      </c>
      <c r="V762" s="3">
        <f t="shared" si="89"/>
        <v>-1.2468619999999999</v>
      </c>
      <c r="Z762" s="1">
        <v>1943.375</v>
      </c>
      <c r="AA762" s="2">
        <f t="shared" si="93"/>
        <v>0.63964599999999994</v>
      </c>
      <c r="AB762">
        <v>31.982299999999999</v>
      </c>
      <c r="AE762">
        <v>1943.3333333332757</v>
      </c>
      <c r="AF762">
        <v>-0.69706270990123531</v>
      </c>
    </row>
    <row r="763" spans="4:32" x14ac:dyDescent="0.35">
      <c r="D763">
        <v>0.940326</v>
      </c>
      <c r="M763">
        <f t="shared" si="94"/>
        <v>762</v>
      </c>
      <c r="N763">
        <f t="shared" si="95"/>
        <v>1943.416666666609</v>
      </c>
      <c r="O763">
        <f t="shared" si="90"/>
        <v>0</v>
      </c>
      <c r="P763">
        <f t="array" ref="P763">+SUM($G$2:$G$18*SIN(2*PI()*(N763)*$B$1/$F$2:$F$18+$H$2:$H$18))</f>
        <v>0.3533758692762457</v>
      </c>
      <c r="Q763">
        <f t="shared" si="91"/>
        <v>0</v>
      </c>
      <c r="R763">
        <f t="shared" si="92"/>
        <v>-5.9750131647140828E-4</v>
      </c>
      <c r="S763">
        <f t="array" ref="S763">+$B$2*SIN(R763*$B$3+$B$4)+0*R763+ SUM($J$2:$J$20*SIN(2*PI()*N763*$I$2:$I$20+$K$2:$K$20))</f>
        <v>-0.69711191611020795</v>
      </c>
      <c r="U763" s="3">
        <f t="shared" ref="U763:U826" si="96">+N763</f>
        <v>1943.416666666609</v>
      </c>
      <c r="V763" s="3">
        <f t="shared" ref="V763:V826" si="97">+D721</f>
        <v>-1.515188</v>
      </c>
      <c r="Z763" s="1">
        <v>1943.4583</v>
      </c>
      <c r="AA763" s="2">
        <f t="shared" si="93"/>
        <v>0.38511800000000002</v>
      </c>
      <c r="AB763">
        <v>19.2559</v>
      </c>
      <c r="AE763">
        <v>1943.416666666609</v>
      </c>
      <c r="AF763">
        <v>-0.69711191611020795</v>
      </c>
    </row>
    <row r="764" spans="4:32" x14ac:dyDescent="0.35">
      <c r="D764">
        <v>0.63964599999999994</v>
      </c>
      <c r="M764">
        <f t="shared" si="94"/>
        <v>763</v>
      </c>
      <c r="N764">
        <f t="shared" si="95"/>
        <v>1943.4999999999422</v>
      </c>
      <c r="O764">
        <f t="shared" si="90"/>
        <v>0</v>
      </c>
      <c r="P764">
        <f t="array" ref="P764">+SUM($G$2:$G$18*SIN(2*PI()*(N764)*$B$1/$F$2:$F$18+$H$2:$H$18))</f>
        <v>0.11018074945261011</v>
      </c>
      <c r="Q764">
        <f t="shared" si="91"/>
        <v>0</v>
      </c>
      <c r="R764">
        <f t="shared" si="92"/>
        <v>-5.9658227524066719E-4</v>
      </c>
      <c r="S764">
        <f t="array" ref="S764">+$B$2*SIN(R764*$B$3+$B$4)+0*R764+ SUM($J$2:$J$20*SIN(2*PI()*N764*$I$2:$I$20+$K$2:$K$20))</f>
        <v>-0.69716102575929995</v>
      </c>
      <c r="U764" s="3">
        <f t="shared" si="96"/>
        <v>1943.4999999999422</v>
      </c>
      <c r="V764" s="3">
        <f t="shared" si="97"/>
        <v>-1.5019739999999999</v>
      </c>
      <c r="Z764" s="1">
        <v>1943.5417</v>
      </c>
      <c r="AA764" s="2">
        <f t="shared" si="93"/>
        <v>0.33366399999999996</v>
      </c>
      <c r="AB764">
        <v>16.683199999999999</v>
      </c>
      <c r="AE764">
        <v>1943.4999999999422</v>
      </c>
      <c r="AF764">
        <v>-0.69716102575929995</v>
      </c>
    </row>
    <row r="765" spans="4:32" x14ac:dyDescent="0.35">
      <c r="D765">
        <v>0.38511800000000002</v>
      </c>
      <c r="M765">
        <f t="shared" si="94"/>
        <v>764</v>
      </c>
      <c r="N765">
        <f t="shared" si="95"/>
        <v>1943.5833333332755</v>
      </c>
      <c r="O765">
        <f t="shared" si="90"/>
        <v>0</v>
      </c>
      <c r="P765">
        <f t="array" ref="P765">+SUM($G$2:$G$18*SIN(2*PI()*(N765)*$B$1/$F$2:$F$18+$H$2:$H$18))</f>
        <v>-0.20338280622404162</v>
      </c>
      <c r="Q765">
        <f t="shared" si="91"/>
        <v>0</v>
      </c>
      <c r="R765">
        <f t="shared" si="92"/>
        <v>-5.9566464762485965E-4</v>
      </c>
      <c r="S765">
        <f t="array" ref="S765">+$B$2*SIN(R765*$B$3+$B$4)+0*R765+ SUM($J$2:$J$20*SIN(2*PI()*N765*$I$2:$I$20+$K$2:$K$20))</f>
        <v>-0.69721003905973211</v>
      </c>
      <c r="U765" s="3">
        <f t="shared" si="96"/>
        <v>1943.5833333332755</v>
      </c>
      <c r="V765" s="3">
        <f t="shared" si="97"/>
        <v>-1.4702999999999999</v>
      </c>
      <c r="Z765" s="1">
        <v>1943.625</v>
      </c>
      <c r="AA765" s="2">
        <f t="shared" si="93"/>
        <v>0.48836599999999997</v>
      </c>
      <c r="AB765">
        <v>24.418299999999999</v>
      </c>
      <c r="AE765">
        <v>1943.5833333332755</v>
      </c>
      <c r="AF765">
        <v>-0.69721003905973211</v>
      </c>
    </row>
    <row r="766" spans="4:32" x14ac:dyDescent="0.35">
      <c r="D766">
        <v>0.33366399999999996</v>
      </c>
      <c r="M766">
        <f t="shared" si="94"/>
        <v>765</v>
      </c>
      <c r="N766">
        <f t="shared" si="95"/>
        <v>1943.6666666666088</v>
      </c>
      <c r="O766">
        <f t="shared" si="90"/>
        <v>0</v>
      </c>
      <c r="P766">
        <f t="array" ref="P766">+SUM($G$2:$G$18*SIN(2*PI()*(N766)*$B$1/$F$2:$F$18+$H$2:$H$18))</f>
        <v>-0.22021325946649847</v>
      </c>
      <c r="Q766">
        <f t="shared" si="91"/>
        <v>0</v>
      </c>
      <c r="R766">
        <f t="shared" si="92"/>
        <v>-5.9474843144964671E-4</v>
      </c>
      <c r="S766">
        <f t="array" ref="S766">+$B$2*SIN(R766*$B$3+$B$4)+0*R766+ SUM($J$2:$J$20*SIN(2*PI()*N766*$I$2:$I$20+$K$2:$K$20))</f>
        <v>-0.69725895622221534</v>
      </c>
      <c r="U766" s="3">
        <f t="shared" si="96"/>
        <v>1943.6666666666088</v>
      </c>
      <c r="V766" s="3">
        <f t="shared" si="97"/>
        <v>-1.4709379999999999</v>
      </c>
      <c r="Z766" s="1">
        <v>1943.7083</v>
      </c>
      <c r="AA766" s="2">
        <f t="shared" si="93"/>
        <v>0.70460599999999995</v>
      </c>
      <c r="AB766">
        <v>35.2303</v>
      </c>
      <c r="AE766">
        <v>1943.6666666666088</v>
      </c>
      <c r="AF766">
        <v>-0.69725895622221534</v>
      </c>
    </row>
    <row r="767" spans="4:32" x14ac:dyDescent="0.35">
      <c r="D767">
        <v>0.48836599999999997</v>
      </c>
      <c r="M767">
        <f t="shared" si="94"/>
        <v>766</v>
      </c>
      <c r="N767">
        <f t="shared" si="95"/>
        <v>1943.749999999942</v>
      </c>
      <c r="O767">
        <f t="shared" si="90"/>
        <v>0</v>
      </c>
      <c r="P767">
        <f t="array" ref="P767">+SUM($G$2:$G$18*SIN(2*PI()*(N767)*$B$1/$F$2:$F$18+$H$2:$H$18))</f>
        <v>-0.27992730213395794</v>
      </c>
      <c r="Q767">
        <f t="shared" si="91"/>
        <v>0</v>
      </c>
      <c r="R767">
        <f t="shared" si="92"/>
        <v>-5.9383362454403388E-4</v>
      </c>
      <c r="S767">
        <f t="array" ref="S767">+$B$2*SIN(R767*$B$3+$B$4)+0*R767+ SUM($J$2:$J$20*SIN(2*PI()*N767*$I$2:$I$20+$K$2:$K$20))</f>
        <v>-0.69730777745695149</v>
      </c>
      <c r="U767" s="3">
        <f t="shared" si="96"/>
        <v>1943.749999999942</v>
      </c>
      <c r="V767" s="3">
        <f t="shared" si="97"/>
        <v>-1.350034</v>
      </c>
      <c r="Z767" s="1">
        <v>1943.7917</v>
      </c>
      <c r="AA767" s="2">
        <f t="shared" si="93"/>
        <v>0.50391800000000009</v>
      </c>
      <c r="AB767">
        <v>25.195900000000002</v>
      </c>
      <c r="AE767">
        <v>1943.749999999942</v>
      </c>
      <c r="AF767">
        <v>-0.69730777745695149</v>
      </c>
    </row>
    <row r="768" spans="4:32" x14ac:dyDescent="0.35">
      <c r="D768">
        <v>0.70460599999999995</v>
      </c>
      <c r="M768">
        <f t="shared" si="94"/>
        <v>767</v>
      </c>
      <c r="N768">
        <f t="shared" si="95"/>
        <v>1943.8333333332753</v>
      </c>
      <c r="O768">
        <f t="shared" si="90"/>
        <v>0</v>
      </c>
      <c r="P768">
        <f t="array" ref="P768">+SUM($G$2:$G$18*SIN(2*PI()*(N768)*$B$1/$F$2:$F$18+$H$2:$H$18))</f>
        <v>-0.55806832242141136</v>
      </c>
      <c r="Q768">
        <f t="shared" si="91"/>
        <v>0</v>
      </c>
      <c r="R768">
        <f t="shared" si="92"/>
        <v>-5.9292022474036578E-4</v>
      </c>
      <c r="S768">
        <f t="array" ref="S768">+$B$2*SIN(R768*$B$3+$B$4)+0*R768+ SUM($J$2:$J$20*SIN(2*PI()*N768*$I$2:$I$20+$K$2:$K$20))</f>
        <v>-0.69735650297363472</v>
      </c>
      <c r="U768" s="3">
        <f t="shared" si="96"/>
        <v>1943.8333333332753</v>
      </c>
      <c r="V768" s="3">
        <f t="shared" si="97"/>
        <v>-1.133748</v>
      </c>
      <c r="Z768" s="1">
        <v>1943.875</v>
      </c>
      <c r="AA768" s="2">
        <f t="shared" si="93"/>
        <v>0.52938399999999997</v>
      </c>
      <c r="AB768">
        <v>26.469200000000001</v>
      </c>
      <c r="AE768">
        <v>1943.8333333332753</v>
      </c>
      <c r="AF768">
        <v>-0.69735650297363472</v>
      </c>
    </row>
    <row r="769" spans="4:32" x14ac:dyDescent="0.35">
      <c r="D769">
        <v>0.50391800000000009</v>
      </c>
      <c r="M769">
        <f t="shared" si="94"/>
        <v>768</v>
      </c>
      <c r="N769">
        <f t="shared" si="95"/>
        <v>1943.9166666666085</v>
      </c>
      <c r="O769">
        <f t="shared" si="90"/>
        <v>0</v>
      </c>
      <c r="P769">
        <f t="array" ref="P769">+SUM($G$2:$G$18*SIN(2*PI()*(N769)*$B$1/$F$2:$F$18+$H$2:$H$18))</f>
        <v>-0.41349136633691946</v>
      </c>
      <c r="Q769">
        <f t="shared" si="91"/>
        <v>0</v>
      </c>
      <c r="R769">
        <f t="shared" si="92"/>
        <v>-5.9200822987432139E-4</v>
      </c>
      <c r="S769">
        <f t="array" ref="S769">+$B$2*SIN(R769*$B$3+$B$4)+0*R769+ SUM($J$2:$J$20*SIN(2*PI()*N769*$I$2:$I$20+$K$2:$K$20))</f>
        <v>-0.69740513298145312</v>
      </c>
      <c r="U769" s="3">
        <f t="shared" si="96"/>
        <v>1943.9166666666085</v>
      </c>
      <c r="V769" s="3">
        <f t="shared" si="97"/>
        <v>-1.04362</v>
      </c>
      <c r="Z769" s="1">
        <v>1943.9583</v>
      </c>
      <c r="AA769" s="2">
        <f t="shared" si="93"/>
        <v>0.57484999999999997</v>
      </c>
      <c r="AB769">
        <v>28.7425</v>
      </c>
      <c r="AE769">
        <v>1943.9166666666085</v>
      </c>
      <c r="AF769">
        <v>-0.69740513298145312</v>
      </c>
    </row>
    <row r="770" spans="4:32" x14ac:dyDescent="0.35">
      <c r="D770">
        <v>0.52938399999999997</v>
      </c>
      <c r="M770">
        <f t="shared" si="94"/>
        <v>769</v>
      </c>
      <c r="N770">
        <f t="shared" si="95"/>
        <v>1943.9999999999418</v>
      </c>
      <c r="O770">
        <f t="shared" ref="O770:O833" si="98">+IF(MOD(M770,$B$5)=1, $B$6, 0)</f>
        <v>36.637715116165623</v>
      </c>
      <c r="P770">
        <f t="array" ref="P770">+SUM($G$2:$G$18*SIN(2*PI()*(N770)*$B$1/$F$2:$F$18+$H$2:$H$18))</f>
        <v>0.11556676805788417</v>
      </c>
      <c r="Q770">
        <f t="shared" si="91"/>
        <v>4.234102325000749</v>
      </c>
      <c r="R770">
        <f t="shared" si="92"/>
        <v>5.9215484511526703E-3</v>
      </c>
      <c r="S770">
        <f t="array" ref="S770">+$B$2*SIN(R770*$B$3+$B$4)+0*R770+ SUM($J$2:$J$20*SIN(2*PI()*N770*$I$2:$I$20+$K$2:$K$20))</f>
        <v>-0.50234691251604624</v>
      </c>
      <c r="U770" s="3">
        <f t="shared" si="96"/>
        <v>1943.9999999999418</v>
      </c>
      <c r="V770" s="3">
        <f t="shared" si="97"/>
        <v>-1.1857960000000001</v>
      </c>
      <c r="Z770" s="1">
        <v>1944.0417</v>
      </c>
      <c r="AA770" s="2">
        <f t="shared" si="93"/>
        <v>0.54646600000000001</v>
      </c>
      <c r="AB770">
        <v>27.3233</v>
      </c>
      <c r="AE770">
        <v>1943.9999999999418</v>
      </c>
      <c r="AF770">
        <v>-0.50234691251604624</v>
      </c>
    </row>
    <row r="771" spans="4:32" x14ac:dyDescent="0.35">
      <c r="D771">
        <v>0.57484999999999997</v>
      </c>
      <c r="M771">
        <f t="shared" si="94"/>
        <v>770</v>
      </c>
      <c r="N771">
        <f t="shared" si="95"/>
        <v>1944.083333333275</v>
      </c>
      <c r="O771">
        <f t="shared" si="98"/>
        <v>0</v>
      </c>
      <c r="P771">
        <f t="array" ref="P771">+SUM($G$2:$G$18*SIN(2*PI()*(N771)*$B$1/$F$2:$F$18+$H$2:$H$18))</f>
        <v>0.38568120098133168</v>
      </c>
      <c r="Q771">
        <f t="shared" ref="Q771:Q834" si="99">+O771*P771</f>
        <v>0</v>
      </c>
      <c r="R771">
        <f t="shared" ref="R771:R834" si="100">+(1-$B$7)*R770+($B$7)*Q771</f>
        <v>5.9124402751095121E-3</v>
      </c>
      <c r="S771">
        <f t="array" ref="S771">+$B$2*SIN(R771*$B$3+$B$4)+0*R771+ SUM($J$2:$J$20*SIN(2*PI()*N771*$I$2:$I$20+$K$2:$K$20))</f>
        <v>-0.50330716317854429</v>
      </c>
      <c r="U771" s="3">
        <f t="shared" si="96"/>
        <v>1944.083333333275</v>
      </c>
      <c r="V771" s="3">
        <f t="shared" si="97"/>
        <v>-0.70797600000000005</v>
      </c>
      <c r="Z771" s="1">
        <v>1944.125</v>
      </c>
      <c r="AA771" s="2">
        <f t="shared" ref="AA771:AA834" si="101">+AB771/50</f>
        <v>0.419624</v>
      </c>
      <c r="AB771">
        <v>20.981200000000001</v>
      </c>
      <c r="AE771">
        <v>1944.083333333275</v>
      </c>
      <c r="AF771">
        <v>-0.50330716317854429</v>
      </c>
    </row>
    <row r="772" spans="4:32" x14ac:dyDescent="0.35">
      <c r="D772">
        <v>0.54646600000000001</v>
      </c>
      <c r="M772">
        <f t="shared" ref="M772:M835" si="102">+M771+1</f>
        <v>771</v>
      </c>
      <c r="N772">
        <f t="shared" ref="N772:N835" si="103">+N771+1/12</f>
        <v>1944.1666666666083</v>
      </c>
      <c r="O772">
        <f t="shared" si="98"/>
        <v>0</v>
      </c>
      <c r="P772">
        <f t="array" ref="P772">+SUM($G$2:$G$18*SIN(2*PI()*(N772)*$B$1/$F$2:$F$18+$H$2:$H$18))</f>
        <v>0.1973378655769808</v>
      </c>
      <c r="Q772">
        <f t="shared" si="99"/>
        <v>0</v>
      </c>
      <c r="R772">
        <f t="shared" si="100"/>
        <v>5.9033461087247257E-3</v>
      </c>
      <c r="S772">
        <f t="array" ref="S772">+$B$2*SIN(R772*$B$3+$B$4)+0*R772+ SUM($J$2:$J$20*SIN(2*PI()*N772*$I$2:$I$20+$K$2:$K$20))</f>
        <v>-0.50426446117667545</v>
      </c>
      <c r="U772" s="3">
        <f t="shared" si="96"/>
        <v>1944.1666666666083</v>
      </c>
      <c r="V772" s="3">
        <f t="shared" si="97"/>
        <v>-0.60246600000000006</v>
      </c>
      <c r="Z772" s="1">
        <v>1944.2083</v>
      </c>
      <c r="AA772" s="2">
        <f t="shared" si="101"/>
        <v>0.19123999999999999</v>
      </c>
      <c r="AB772">
        <v>9.5619999999999994</v>
      </c>
      <c r="AE772">
        <v>1944.1666666666083</v>
      </c>
      <c r="AF772">
        <v>-0.50426446117667545</v>
      </c>
    </row>
    <row r="773" spans="4:32" x14ac:dyDescent="0.35">
      <c r="D773">
        <v>0.419624</v>
      </c>
      <c r="M773">
        <f t="shared" si="102"/>
        <v>772</v>
      </c>
      <c r="N773">
        <f t="shared" si="103"/>
        <v>1944.2499999999416</v>
      </c>
      <c r="O773">
        <f t="shared" si="98"/>
        <v>0</v>
      </c>
      <c r="P773">
        <f t="array" ref="P773">+SUM($G$2:$G$18*SIN(2*PI()*(N773)*$B$1/$F$2:$F$18+$H$2:$H$18))</f>
        <v>-0.32038902584752449</v>
      </c>
      <c r="Q773">
        <f t="shared" si="99"/>
        <v>0</v>
      </c>
      <c r="R773">
        <f t="shared" si="100"/>
        <v>5.8942659304494823E-3</v>
      </c>
      <c r="S773">
        <f t="array" ref="S773">+$B$2*SIN(R773*$B$3+$B$4)+0*R773+ SUM($J$2:$J$20*SIN(2*PI()*N773*$I$2:$I$20+$K$2:$K$20))</f>
        <v>-0.50521881279000436</v>
      </c>
      <c r="U773" s="3">
        <f t="shared" si="96"/>
        <v>1944.2499999999416</v>
      </c>
      <c r="V773" s="3">
        <f t="shared" si="97"/>
        <v>-0.70926199999999995</v>
      </c>
      <c r="Z773" s="1">
        <v>1944.2917</v>
      </c>
      <c r="AA773" s="2">
        <f t="shared" si="101"/>
        <v>0.23823799999999998</v>
      </c>
      <c r="AB773">
        <v>11.911899999999999</v>
      </c>
      <c r="AE773">
        <v>1944.2499999999416</v>
      </c>
      <c r="AF773">
        <v>-0.50521881279000436</v>
      </c>
    </row>
    <row r="774" spans="4:32" x14ac:dyDescent="0.35">
      <c r="D774">
        <v>0.19123999999999999</v>
      </c>
      <c r="M774">
        <f t="shared" si="102"/>
        <v>773</v>
      </c>
      <c r="N774">
        <f t="shared" si="103"/>
        <v>1944.3333333332748</v>
      </c>
      <c r="O774">
        <f t="shared" si="98"/>
        <v>0</v>
      </c>
      <c r="P774">
        <f t="array" ref="P774">+SUM($G$2:$G$18*SIN(2*PI()*(N774)*$B$1/$F$2:$F$18+$H$2:$H$18))</f>
        <v>-0.57015571988700231</v>
      </c>
      <c r="Q774">
        <f t="shared" si="99"/>
        <v>0</v>
      </c>
      <c r="R774">
        <f t="shared" si="100"/>
        <v>5.8851997187680978E-3</v>
      </c>
      <c r="S774">
        <f t="array" ref="S774">+$B$2*SIN(R774*$B$3+$B$4)+0*R774+ SUM($J$2:$J$20*SIN(2*PI()*N774*$I$2:$I$20+$K$2:$K$20))</f>
        <v>-0.50617022430028058</v>
      </c>
      <c r="U774" s="3">
        <f t="shared" si="96"/>
        <v>1944.3333333332748</v>
      </c>
      <c r="V774" s="3">
        <f t="shared" si="97"/>
        <v>-0.53452</v>
      </c>
      <c r="Z774" s="1">
        <v>1944.375</v>
      </c>
      <c r="AA774" s="2">
        <f t="shared" si="101"/>
        <v>0.257544</v>
      </c>
      <c r="AB774">
        <v>12.8772</v>
      </c>
      <c r="AE774">
        <v>1944.3333333332748</v>
      </c>
      <c r="AF774">
        <v>-0.50617022430028058</v>
      </c>
    </row>
    <row r="775" spans="4:32" x14ac:dyDescent="0.35">
      <c r="D775">
        <v>0.23823799999999998</v>
      </c>
      <c r="M775">
        <f t="shared" si="102"/>
        <v>774</v>
      </c>
      <c r="N775">
        <f t="shared" si="103"/>
        <v>1944.4166666666081</v>
      </c>
      <c r="O775">
        <f t="shared" si="98"/>
        <v>0</v>
      </c>
      <c r="P775">
        <f t="array" ref="P775">+SUM($G$2:$G$18*SIN(2*PI()*(N775)*$B$1/$F$2:$F$18+$H$2:$H$18))</f>
        <v>-0.25813736674940252</v>
      </c>
      <c r="Q775">
        <f t="shared" si="99"/>
        <v>0</v>
      </c>
      <c r="R775">
        <f t="shared" si="100"/>
        <v>5.876147452197983E-3</v>
      </c>
      <c r="S775">
        <f t="array" ref="S775">+$B$2*SIN(R775*$B$3+$B$4)+0*R775+ SUM($J$2:$J$20*SIN(2*PI()*N775*$I$2:$I$20+$K$2:$K$20))</f>
        <v>-0.50711870199130227</v>
      </c>
      <c r="U775" s="3">
        <f t="shared" si="96"/>
        <v>1944.4166666666081</v>
      </c>
      <c r="V775" s="3">
        <f t="shared" si="97"/>
        <v>-0.57362999999999997</v>
      </c>
      <c r="Z775" s="1">
        <v>1944.4583</v>
      </c>
      <c r="AA775" s="2">
        <f t="shared" si="101"/>
        <v>0.40608</v>
      </c>
      <c r="AB775">
        <v>20.303999999999998</v>
      </c>
      <c r="AE775">
        <v>1944.4166666666081</v>
      </c>
      <c r="AF775">
        <v>-0.50711870199130227</v>
      </c>
    </row>
    <row r="776" spans="4:32" x14ac:dyDescent="0.35">
      <c r="D776">
        <v>0.257544</v>
      </c>
      <c r="M776">
        <f t="shared" si="102"/>
        <v>775</v>
      </c>
      <c r="N776">
        <f t="shared" si="103"/>
        <v>1944.4999999999413</v>
      </c>
      <c r="O776">
        <f t="shared" si="98"/>
        <v>0</v>
      </c>
      <c r="P776">
        <f t="array" ref="P776">+SUM($G$2:$G$18*SIN(2*PI()*(N776)*$B$1/$F$2:$F$18+$H$2:$H$18))</f>
        <v>-0.20254405672687686</v>
      </c>
      <c r="Q776">
        <f t="shared" si="99"/>
        <v>0</v>
      </c>
      <c r="R776">
        <f t="shared" si="100"/>
        <v>5.867109109289591E-3</v>
      </c>
      <c r="S776">
        <f t="array" ref="S776">+$B$2*SIN(R776*$B$3+$B$4)+0*R776+ SUM($J$2:$J$20*SIN(2*PI()*N776*$I$2:$I$20+$K$2:$K$20))</f>
        <v>-0.5080642521487797</v>
      </c>
      <c r="U776" s="3">
        <f t="shared" si="96"/>
        <v>1944.4999999999413</v>
      </c>
      <c r="V776" s="3">
        <f t="shared" si="97"/>
        <v>-0.50350600000000001</v>
      </c>
      <c r="Z776" s="1">
        <v>1944.5417</v>
      </c>
      <c r="AA776" s="2">
        <f t="shared" si="101"/>
        <v>0.44845999999999997</v>
      </c>
      <c r="AB776">
        <v>22.422999999999998</v>
      </c>
      <c r="AE776">
        <v>1944.4999999999413</v>
      </c>
      <c r="AF776">
        <v>-0.5080642521487797</v>
      </c>
    </row>
    <row r="777" spans="4:32" x14ac:dyDescent="0.35">
      <c r="D777">
        <v>0.40608</v>
      </c>
      <c r="M777">
        <f t="shared" si="102"/>
        <v>776</v>
      </c>
      <c r="N777">
        <f t="shared" si="103"/>
        <v>1944.5833333332746</v>
      </c>
      <c r="O777">
        <f t="shared" si="98"/>
        <v>0</v>
      </c>
      <c r="P777">
        <f t="array" ref="P777">+SUM($G$2:$G$18*SIN(2*PI()*(N777)*$B$1/$F$2:$F$18+$H$2:$H$18))</f>
        <v>-0.54545708951324157</v>
      </c>
      <c r="Q777">
        <f t="shared" si="99"/>
        <v>0</v>
      </c>
      <c r="R777">
        <f t="shared" si="100"/>
        <v>5.8580846686263682E-3</v>
      </c>
      <c r="S777">
        <f t="array" ref="S777">+$B$2*SIN(R777*$B$3+$B$4)+0*R777+ SUM($J$2:$J$20*SIN(2*PI()*N777*$I$2:$I$20+$K$2:$K$20))</f>
        <v>-0.50900688106020076</v>
      </c>
      <c r="U777" s="3">
        <f t="shared" si="96"/>
        <v>1944.5833333332746</v>
      </c>
      <c r="V777" s="3">
        <f t="shared" si="97"/>
        <v>-0.45646000000000003</v>
      </c>
      <c r="Z777" s="1">
        <v>1944.625</v>
      </c>
      <c r="AA777" s="2">
        <f t="shared" si="101"/>
        <v>0.20007000000000003</v>
      </c>
      <c r="AB777">
        <v>10.003500000000001</v>
      </c>
      <c r="AE777">
        <v>1944.5833333332746</v>
      </c>
      <c r="AF777">
        <v>-0.50900688106020076</v>
      </c>
    </row>
    <row r="778" spans="4:32" x14ac:dyDescent="0.35">
      <c r="D778">
        <v>0.44845999999999997</v>
      </c>
      <c r="M778">
        <f t="shared" si="102"/>
        <v>777</v>
      </c>
      <c r="N778">
        <f t="shared" si="103"/>
        <v>1944.6666666666079</v>
      </c>
      <c r="O778">
        <f t="shared" si="98"/>
        <v>0</v>
      </c>
      <c r="P778">
        <f t="array" ref="P778">+SUM($G$2:$G$18*SIN(2*PI()*(N778)*$B$1/$F$2:$F$18+$H$2:$H$18))</f>
        <v>-0.38522525930859031</v>
      </c>
      <c r="Q778">
        <f t="shared" si="99"/>
        <v>0</v>
      </c>
      <c r="R778">
        <f t="shared" si="100"/>
        <v>5.849074108824702E-3</v>
      </c>
      <c r="S778">
        <f t="array" ref="S778">+$B$2*SIN(R778*$B$3+$B$4)+0*R778+ SUM($J$2:$J$20*SIN(2*PI()*N778*$I$2:$I$20+$K$2:$K$20))</f>
        <v>-0.50994659501469608</v>
      </c>
      <c r="U778" s="3">
        <f t="shared" si="96"/>
        <v>1944.6666666666079</v>
      </c>
      <c r="V778" s="3">
        <f t="shared" si="97"/>
        <v>-0.31095800000000001</v>
      </c>
      <c r="Z778" s="1">
        <v>1944.7083</v>
      </c>
      <c r="AA778" s="2">
        <f t="shared" si="101"/>
        <v>-1.2936000000000001E-2</v>
      </c>
      <c r="AB778">
        <v>-0.64680000000000004</v>
      </c>
      <c r="AE778">
        <v>1944.6666666666079</v>
      </c>
      <c r="AF778">
        <v>-0.50994659501469608</v>
      </c>
    </row>
    <row r="779" spans="4:32" x14ac:dyDescent="0.35">
      <c r="D779">
        <v>0.20007000000000003</v>
      </c>
      <c r="M779">
        <f t="shared" si="102"/>
        <v>778</v>
      </c>
      <c r="N779">
        <f t="shared" si="103"/>
        <v>1944.7499999999411</v>
      </c>
      <c r="O779">
        <f t="shared" si="98"/>
        <v>0</v>
      </c>
      <c r="P779">
        <f t="array" ref="P779">+SUM($G$2:$G$18*SIN(2*PI()*(N779)*$B$1/$F$2:$F$18+$H$2:$H$18))</f>
        <v>0.21340500698942655</v>
      </c>
      <c r="Q779">
        <f t="shared" si="99"/>
        <v>0</v>
      </c>
      <c r="R779">
        <f t="shared" si="100"/>
        <v>5.8400774085338707E-3</v>
      </c>
      <c r="S779">
        <f t="array" ref="S779">+$B$2*SIN(R779*$B$3+$B$4)+0*R779+ SUM($J$2:$J$20*SIN(2*PI()*N779*$I$2:$I$20+$K$2:$K$20))</f>
        <v>-0.51088340030290713</v>
      </c>
      <c r="U779" s="3">
        <f t="shared" si="96"/>
        <v>1944.7499999999411</v>
      </c>
      <c r="V779" s="3">
        <f t="shared" si="97"/>
        <v>-0.33776000000000006</v>
      </c>
      <c r="Z779" s="1">
        <v>1944.7917</v>
      </c>
      <c r="AA779" s="2">
        <f t="shared" si="101"/>
        <v>-6.4406000000000005E-2</v>
      </c>
      <c r="AB779">
        <v>-3.2202999999999999</v>
      </c>
      <c r="AE779">
        <v>1944.7499999999411</v>
      </c>
      <c r="AF779">
        <v>-0.51088340030290713</v>
      </c>
    </row>
    <row r="780" spans="4:32" x14ac:dyDescent="0.35">
      <c r="D780">
        <v>-1.2936000000000001E-2</v>
      </c>
      <c r="M780">
        <f t="shared" si="102"/>
        <v>779</v>
      </c>
      <c r="N780">
        <f t="shared" si="103"/>
        <v>1944.8333333332744</v>
      </c>
      <c r="O780">
        <f t="shared" si="98"/>
        <v>0</v>
      </c>
      <c r="P780">
        <f t="array" ref="P780">+SUM($G$2:$G$18*SIN(2*PI()*(N780)*$B$1/$F$2:$F$18+$H$2:$H$18))</f>
        <v>0.45279457265774603</v>
      </c>
      <c r="Q780">
        <f t="shared" si="99"/>
        <v>0</v>
      </c>
      <c r="R780">
        <f t="shared" si="100"/>
        <v>5.8310945464359939E-3</v>
      </c>
      <c r="S780">
        <f t="array" ref="S780">+$B$2*SIN(R780*$B$3+$B$4)+0*R780+ SUM($J$2:$J$20*SIN(2*PI()*N780*$I$2:$I$20+$K$2:$K$20))</f>
        <v>-0.51181730321685348</v>
      </c>
      <c r="U780" s="3">
        <f t="shared" si="96"/>
        <v>1944.8333333332744</v>
      </c>
      <c r="V780" s="3">
        <f t="shared" si="97"/>
        <v>-0.30148800000000003</v>
      </c>
      <c r="Z780" s="1">
        <v>1944.875</v>
      </c>
      <c r="AA780" s="2">
        <f t="shared" si="101"/>
        <v>8.7399999999999995E-3</v>
      </c>
      <c r="AB780">
        <v>0.437</v>
      </c>
      <c r="AE780">
        <v>1944.8333333332744</v>
      </c>
      <c r="AF780">
        <v>-0.51181730321685348</v>
      </c>
    </row>
    <row r="781" spans="4:32" x14ac:dyDescent="0.35">
      <c r="D781">
        <v>-6.4406000000000005E-2</v>
      </c>
      <c r="M781">
        <f t="shared" si="102"/>
        <v>780</v>
      </c>
      <c r="N781">
        <f t="shared" si="103"/>
        <v>1944.9166666666076</v>
      </c>
      <c r="O781">
        <f t="shared" si="98"/>
        <v>0</v>
      </c>
      <c r="P781">
        <f t="array" ref="P781">+SUM($G$2:$G$18*SIN(2*PI()*(N781)*$B$1/$F$2:$F$18+$H$2:$H$18))</f>
        <v>2.0559872169168616E-2</v>
      </c>
      <c r="Q781">
        <f t="shared" si="99"/>
        <v>0</v>
      </c>
      <c r="R781">
        <f t="shared" si="100"/>
        <v>5.8221255012459805E-3</v>
      </c>
      <c r="S781">
        <f t="array" ref="S781">+$B$2*SIN(R781*$B$3+$B$4)+0*R781+ SUM($J$2:$J$20*SIN(2*PI()*N781*$I$2:$I$20+$K$2:$K$20))</f>
        <v>-0.51274831004980337</v>
      </c>
      <c r="U781" s="3">
        <f t="shared" si="96"/>
        <v>1944.9166666666076</v>
      </c>
      <c r="V781" s="3">
        <f t="shared" si="97"/>
        <v>-0.445218</v>
      </c>
      <c r="Z781" s="1">
        <v>1944.9583</v>
      </c>
      <c r="AA781" s="2">
        <f t="shared" si="101"/>
        <v>5.5731999999999997E-2</v>
      </c>
      <c r="AB781">
        <v>2.7866</v>
      </c>
      <c r="AE781">
        <v>1944.9166666666076</v>
      </c>
      <c r="AF781">
        <v>-0.51274831004980337</v>
      </c>
    </row>
    <row r="782" spans="4:32" x14ac:dyDescent="0.35">
      <c r="D782">
        <v>8.7399999999999995E-3</v>
      </c>
      <c r="M782">
        <f t="shared" si="102"/>
        <v>781</v>
      </c>
      <c r="N782">
        <f t="shared" si="103"/>
        <v>1944.9999999999409</v>
      </c>
      <c r="O782">
        <f t="shared" si="98"/>
        <v>36.637715116165623</v>
      </c>
      <c r="P782">
        <f t="array" ref="P782">+SUM($G$2:$G$18*SIN(2*PI()*(N782)*$B$1/$F$2:$F$18+$H$2:$H$18))</f>
        <v>-0.6895159530780387</v>
      </c>
      <c r="Q782">
        <f t="shared" si="99"/>
        <v>-25.262289056924605</v>
      </c>
      <c r="R782">
        <f t="shared" si="100"/>
        <v>-3.3043790538474789E-2</v>
      </c>
      <c r="S782">
        <f t="array" ref="S782">+$B$2*SIN(R782*$B$3+$B$4)+0*R782+ SUM($J$2:$J$20*SIN(2*PI()*N782*$I$2:$I$20+$K$2:$K$20))</f>
        <v>-0.73612815127240572</v>
      </c>
      <c r="U782" s="3">
        <f t="shared" si="96"/>
        <v>1944.9999999999409</v>
      </c>
      <c r="V782" s="3">
        <f t="shared" si="97"/>
        <v>-0.63971800000000001</v>
      </c>
      <c r="Z782" s="1">
        <v>1945.0417</v>
      </c>
      <c r="AA782" s="2">
        <f t="shared" si="101"/>
        <v>0.17194999999999999</v>
      </c>
      <c r="AB782">
        <v>8.5975000000000001</v>
      </c>
      <c r="AE782">
        <v>1944.9999999999409</v>
      </c>
      <c r="AF782">
        <v>-0.73612815127240572</v>
      </c>
    </row>
    <row r="783" spans="4:32" x14ac:dyDescent="0.35">
      <c r="D783">
        <v>5.5731999999999997E-2</v>
      </c>
      <c r="M783">
        <f t="shared" si="102"/>
        <v>782</v>
      </c>
      <c r="N783">
        <f t="shared" si="103"/>
        <v>1945.0833333332741</v>
      </c>
      <c r="O783">
        <f t="shared" si="98"/>
        <v>0</v>
      </c>
      <c r="P783">
        <f t="array" ref="P783">+SUM($G$2:$G$18*SIN(2*PI()*(N783)*$B$1/$F$2:$F$18+$H$2:$H$18))</f>
        <v>-0.69982193819603178</v>
      </c>
      <c r="Q783">
        <f t="shared" si="99"/>
        <v>0</v>
      </c>
      <c r="R783">
        <f t="shared" si="100"/>
        <v>-3.2992964531757055E-2</v>
      </c>
      <c r="S783">
        <f t="array" ref="S783">+$B$2*SIN(R783*$B$3+$B$4)+0*R783+ SUM($J$2:$J$20*SIN(2*PI()*N783*$I$2:$I$20+$K$2:$K$20))</f>
        <v>-0.73759850891882084</v>
      </c>
      <c r="U783" s="3">
        <f t="shared" si="96"/>
        <v>1945.0833333332741</v>
      </c>
      <c r="V783" s="3">
        <f t="shared" si="97"/>
        <v>-0.40498600000000001</v>
      </c>
      <c r="Z783" s="1">
        <v>1945.125</v>
      </c>
      <c r="AA783" s="2">
        <f t="shared" si="101"/>
        <v>0.32355400000000001</v>
      </c>
      <c r="AB783">
        <v>16.177700000000002</v>
      </c>
      <c r="AE783">
        <v>1945.0833333332741</v>
      </c>
      <c r="AF783">
        <v>-0.73759850891882084</v>
      </c>
    </row>
    <row r="784" spans="4:32" x14ac:dyDescent="0.35">
      <c r="D784">
        <v>0.17194999999999999</v>
      </c>
      <c r="M784">
        <f t="shared" si="102"/>
        <v>783</v>
      </c>
      <c r="N784">
        <f t="shared" si="103"/>
        <v>1945.1666666666074</v>
      </c>
      <c r="O784">
        <f t="shared" si="98"/>
        <v>0</v>
      </c>
      <c r="P784">
        <f t="array" ref="P784">+SUM($G$2:$G$18*SIN(2*PI()*(N784)*$B$1/$F$2:$F$18+$H$2:$H$18))</f>
        <v>-2.082411252111821E-2</v>
      </c>
      <c r="Q784">
        <f t="shared" si="99"/>
        <v>0</v>
      </c>
      <c r="R784">
        <f t="shared" si="100"/>
        <v>-3.2942216702600571E-2</v>
      </c>
      <c r="S784">
        <f t="array" ref="S784">+$B$2*SIN(R784*$B$3+$B$4)+0*R784+ SUM($J$2:$J$20*SIN(2*PI()*N784*$I$2:$I$20+$K$2:$K$20))</f>
        <v>-0.73899926384941605</v>
      </c>
      <c r="U784" s="3">
        <f t="shared" si="96"/>
        <v>1945.1666666666074</v>
      </c>
      <c r="V784" s="3">
        <f t="shared" si="97"/>
        <v>-0.45333599999999996</v>
      </c>
      <c r="Z784" s="1">
        <v>1945.2083</v>
      </c>
      <c r="AA784" s="2">
        <f t="shared" si="101"/>
        <v>0.37361800000000001</v>
      </c>
      <c r="AB784">
        <v>18.680900000000001</v>
      </c>
      <c r="AE784">
        <v>1945.1666666666074</v>
      </c>
      <c r="AF784">
        <v>-0.73899926384941605</v>
      </c>
    </row>
    <row r="785" spans="4:32" x14ac:dyDescent="0.35">
      <c r="D785">
        <v>0.32355400000000001</v>
      </c>
      <c r="M785">
        <f t="shared" si="102"/>
        <v>784</v>
      </c>
      <c r="N785">
        <f t="shared" si="103"/>
        <v>1945.2499999999407</v>
      </c>
      <c r="O785">
        <f t="shared" si="98"/>
        <v>0</v>
      </c>
      <c r="P785">
        <f t="array" ref="P785">+SUM($G$2:$G$18*SIN(2*PI()*(N785)*$B$1/$F$2:$F$18+$H$2:$H$18))</f>
        <v>9.036111694068738E-2</v>
      </c>
      <c r="Q785">
        <f t="shared" si="99"/>
        <v>0</v>
      </c>
      <c r="R785">
        <f t="shared" si="100"/>
        <v>-3.2891546930757236E-2</v>
      </c>
      <c r="S785">
        <f t="array" ref="S785">+$B$2*SIN(R785*$B$3+$B$4)+0*R785+ SUM($J$2:$J$20*SIN(2*PI()*N785*$I$2:$I$20+$K$2:$K$20))</f>
        <v>-0.74033060262621808</v>
      </c>
      <c r="U785" s="3">
        <f t="shared" si="96"/>
        <v>1945.2499999999407</v>
      </c>
      <c r="V785" s="3">
        <f t="shared" si="97"/>
        <v>-0.70476200000000011</v>
      </c>
      <c r="Z785" s="1">
        <v>1945.2917</v>
      </c>
      <c r="AA785" s="2">
        <f t="shared" si="101"/>
        <v>0.50829400000000002</v>
      </c>
      <c r="AB785">
        <v>25.4147</v>
      </c>
      <c r="AE785">
        <v>1945.2499999999407</v>
      </c>
      <c r="AF785">
        <v>-0.74033060262621808</v>
      </c>
    </row>
    <row r="786" spans="4:32" x14ac:dyDescent="0.35">
      <c r="D786">
        <v>0.37361800000000001</v>
      </c>
      <c r="M786">
        <f t="shared" si="102"/>
        <v>785</v>
      </c>
      <c r="N786">
        <f t="shared" si="103"/>
        <v>1945.3333333332739</v>
      </c>
      <c r="O786">
        <f t="shared" si="98"/>
        <v>0</v>
      </c>
      <c r="P786">
        <f t="array" ref="P786">+SUM($G$2:$G$18*SIN(2*PI()*(N786)*$B$1/$F$2:$F$18+$H$2:$H$18))</f>
        <v>-0.33024745703305897</v>
      </c>
      <c r="Q786">
        <f t="shared" si="99"/>
        <v>0</v>
      </c>
      <c r="R786">
        <f t="shared" si="100"/>
        <v>-3.2840955096163901E-2</v>
      </c>
      <c r="S786">
        <f t="array" ref="S786">+$B$2*SIN(R786*$B$3+$B$4)+0*R786+ SUM($J$2:$J$20*SIN(2*PI()*N786*$I$2:$I$20+$K$2:$K$20))</f>
        <v>-0.7415927179704781</v>
      </c>
      <c r="U786" s="3">
        <f t="shared" si="96"/>
        <v>1945.3333333332739</v>
      </c>
      <c r="V786" s="3">
        <f t="shared" si="97"/>
        <v>-0.87926400000000005</v>
      </c>
      <c r="Z786" s="1">
        <v>1945.375</v>
      </c>
      <c r="AA786" s="2">
        <f t="shared" si="101"/>
        <v>0.48758800000000002</v>
      </c>
      <c r="AB786">
        <v>24.3794</v>
      </c>
      <c r="AE786">
        <v>1945.3333333332739</v>
      </c>
      <c r="AF786">
        <v>-0.7415927179704781</v>
      </c>
    </row>
    <row r="787" spans="4:32" x14ac:dyDescent="0.35">
      <c r="D787">
        <v>0.50829400000000002</v>
      </c>
      <c r="M787">
        <f t="shared" si="102"/>
        <v>786</v>
      </c>
      <c r="N787">
        <f t="shared" si="103"/>
        <v>1945.4166666666072</v>
      </c>
      <c r="O787">
        <f t="shared" si="98"/>
        <v>0</v>
      </c>
      <c r="P787">
        <f t="array" ref="P787">+SUM($G$2:$G$18*SIN(2*PI()*(N787)*$B$1/$F$2:$F$18+$H$2:$H$18))</f>
        <v>-0.18070816201762391</v>
      </c>
      <c r="Q787">
        <f t="shared" si="99"/>
        <v>0</v>
      </c>
      <c r="R787">
        <f t="shared" si="100"/>
        <v>-3.2790441078942092E-2</v>
      </c>
      <c r="S787">
        <f t="array" ref="S787">+$B$2*SIN(R787*$B$3+$B$4)+0*R787+ SUM($J$2:$J$20*SIN(2*PI()*N787*$I$2:$I$20+$K$2:$K$20))</f>
        <v>-0.74278580867602206</v>
      </c>
      <c r="U787" s="3">
        <f t="shared" si="96"/>
        <v>1945.4166666666072</v>
      </c>
      <c r="V787" s="3">
        <f t="shared" si="97"/>
        <v>-1.0414639999999999</v>
      </c>
      <c r="Z787" s="1">
        <v>1945.4583</v>
      </c>
      <c r="AA787" s="2">
        <f t="shared" si="101"/>
        <v>0.517648</v>
      </c>
      <c r="AB787">
        <v>25.882400000000001</v>
      </c>
      <c r="AE787">
        <v>1945.4166666666072</v>
      </c>
      <c r="AF787">
        <v>-0.74278580867602206</v>
      </c>
    </row>
    <row r="788" spans="4:32" x14ac:dyDescent="0.35">
      <c r="D788">
        <v>0.48758800000000002</v>
      </c>
      <c r="M788">
        <f t="shared" si="102"/>
        <v>787</v>
      </c>
      <c r="N788">
        <f t="shared" si="103"/>
        <v>1945.4999999999404</v>
      </c>
      <c r="O788">
        <f t="shared" si="98"/>
        <v>0</v>
      </c>
      <c r="P788">
        <f t="array" ref="P788">+SUM($G$2:$G$18*SIN(2*PI()*(N788)*$B$1/$F$2:$F$18+$H$2:$H$18))</f>
        <v>0.39938910984181619</v>
      </c>
      <c r="Q788">
        <f t="shared" si="99"/>
        <v>0</v>
      </c>
      <c r="R788">
        <f t="shared" si="100"/>
        <v>-3.2740004759397721E-2</v>
      </c>
      <c r="S788">
        <f t="array" ref="S788">+$B$2*SIN(R788*$B$3+$B$4)+0*R788+ SUM($J$2:$J$20*SIN(2*PI()*N788*$I$2:$I$20+$K$2:$K$20))</f>
        <v>-0.74391007952276822</v>
      </c>
      <c r="U788" s="3">
        <f t="shared" si="96"/>
        <v>1945.4999999999404</v>
      </c>
      <c r="V788" s="3">
        <f t="shared" si="97"/>
        <v>-0.99289199999999989</v>
      </c>
      <c r="Z788" s="1">
        <v>1945.5417</v>
      </c>
      <c r="AA788" s="2">
        <f t="shared" si="101"/>
        <v>0.59847600000000001</v>
      </c>
      <c r="AB788">
        <v>29.9238</v>
      </c>
      <c r="AE788">
        <v>1945.4999999999404</v>
      </c>
      <c r="AF788">
        <v>-0.74391007952276822</v>
      </c>
    </row>
    <row r="789" spans="4:32" x14ac:dyDescent="0.35">
      <c r="D789">
        <v>0.517648</v>
      </c>
      <c r="M789">
        <f t="shared" si="102"/>
        <v>788</v>
      </c>
      <c r="N789">
        <f t="shared" si="103"/>
        <v>1945.5833333332737</v>
      </c>
      <c r="O789">
        <f t="shared" si="98"/>
        <v>0</v>
      </c>
      <c r="P789">
        <f t="array" ref="P789">+SUM($G$2:$G$18*SIN(2*PI()*(N789)*$B$1/$F$2:$F$18+$H$2:$H$18))</f>
        <v>0.53796067016207771</v>
      </c>
      <c r="Q789">
        <f t="shared" si="99"/>
        <v>0</v>
      </c>
      <c r="R789">
        <f t="shared" si="100"/>
        <v>-3.268964601802081E-2</v>
      </c>
      <c r="S789">
        <f t="array" ref="S789">+$B$2*SIN(R789*$B$3+$B$4)+0*R789+ SUM($J$2:$J$20*SIN(2*PI()*N789*$I$2:$I$20+$K$2:$K$20))</f>
        <v>-0.74496574119042103</v>
      </c>
      <c r="U789" s="3">
        <f t="shared" si="96"/>
        <v>1945.5833333332737</v>
      </c>
      <c r="V789" s="3">
        <f t="shared" si="97"/>
        <v>-0.85970600000000008</v>
      </c>
      <c r="Z789" s="1">
        <v>1945.625</v>
      </c>
      <c r="AA789" s="2">
        <f t="shared" si="101"/>
        <v>0.85622600000000004</v>
      </c>
      <c r="AB789">
        <v>42.811300000000003</v>
      </c>
      <c r="AE789">
        <v>1945.5833333332737</v>
      </c>
      <c r="AF789">
        <v>-0.74496574119042103</v>
      </c>
    </row>
    <row r="790" spans="4:32" x14ac:dyDescent="0.35">
      <c r="D790">
        <v>0.59847600000000001</v>
      </c>
      <c r="M790">
        <f t="shared" si="102"/>
        <v>789</v>
      </c>
      <c r="N790">
        <f t="shared" si="103"/>
        <v>1945.6666666666069</v>
      </c>
      <c r="O790">
        <f t="shared" si="98"/>
        <v>0</v>
      </c>
      <c r="P790">
        <f t="array" ref="P790">+SUM($G$2:$G$18*SIN(2*PI()*(N790)*$B$1/$F$2:$F$18+$H$2:$H$18))</f>
        <v>-7.6163985260603528E-2</v>
      </c>
      <c r="Q790">
        <f t="shared" si="99"/>
        <v>0</v>
      </c>
      <c r="R790">
        <f t="shared" si="100"/>
        <v>-3.2639364735485205E-2</v>
      </c>
      <c r="S790">
        <f t="array" ref="S790">+$B$2*SIN(R790*$B$3+$B$4)+0*R790+ SUM($J$2:$J$20*SIN(2*PI()*N790*$I$2:$I$20+$K$2:$K$20))</f>
        <v>-0.74595301017235793</v>
      </c>
      <c r="U790" s="3">
        <f t="shared" si="96"/>
        <v>1945.6666666666069</v>
      </c>
      <c r="V790" s="3">
        <f t="shared" si="97"/>
        <v>-0.65575599999999989</v>
      </c>
      <c r="Z790" s="1">
        <v>1945.7083</v>
      </c>
      <c r="AA790" s="2">
        <f t="shared" si="101"/>
        <v>0.90782200000000002</v>
      </c>
      <c r="AB790">
        <v>45.391100000000002</v>
      </c>
      <c r="AE790">
        <v>1945.6666666666069</v>
      </c>
      <c r="AF790">
        <v>-0.74595301017235793</v>
      </c>
    </row>
    <row r="791" spans="4:32" x14ac:dyDescent="0.35">
      <c r="D791">
        <v>0.85622600000000004</v>
      </c>
      <c r="M791">
        <f t="shared" si="102"/>
        <v>790</v>
      </c>
      <c r="N791">
        <f t="shared" si="103"/>
        <v>1945.7499999999402</v>
      </c>
      <c r="O791">
        <f t="shared" si="98"/>
        <v>0</v>
      </c>
      <c r="P791">
        <f t="array" ref="P791">+SUM($G$2:$G$18*SIN(2*PI()*(N791)*$B$1/$F$2:$F$18+$H$2:$H$18))</f>
        <v>-0.79114350781508869</v>
      </c>
      <c r="Q791">
        <f t="shared" si="99"/>
        <v>0</v>
      </c>
      <c r="R791">
        <f t="shared" si="100"/>
        <v>-3.2589160792648293E-2</v>
      </c>
      <c r="S791">
        <f t="array" ref="S791">+$B$2*SIN(R791*$B$3+$B$4)+0*R791+ SUM($J$2:$J$20*SIN(2*PI()*N791*$I$2:$I$20+$K$2:$K$20))</f>
        <v>-0.74687210868971599</v>
      </c>
      <c r="U791" s="3">
        <f t="shared" si="96"/>
        <v>1945.7499999999402</v>
      </c>
      <c r="V791" s="3">
        <f t="shared" si="97"/>
        <v>-0.72564800000000007</v>
      </c>
      <c r="Z791" s="1">
        <v>1945.7917</v>
      </c>
      <c r="AA791" s="2">
        <f t="shared" si="101"/>
        <v>0.97941599999999995</v>
      </c>
      <c r="AB791">
        <v>48.970799999999997</v>
      </c>
      <c r="AE791">
        <v>1945.7499999999402</v>
      </c>
      <c r="AF791">
        <v>-0.74687210868971599</v>
      </c>
    </row>
    <row r="792" spans="4:32" x14ac:dyDescent="0.35">
      <c r="D792">
        <v>0.90782200000000002</v>
      </c>
      <c r="M792">
        <f t="shared" si="102"/>
        <v>791</v>
      </c>
      <c r="N792">
        <f t="shared" si="103"/>
        <v>1945.8333333332735</v>
      </c>
      <c r="O792">
        <f t="shared" si="98"/>
        <v>0</v>
      </c>
      <c r="P792">
        <f t="array" ref="P792">+SUM($G$2:$G$18*SIN(2*PI()*(N792)*$B$1/$F$2:$F$18+$H$2:$H$18))</f>
        <v>-0.49398541651253874</v>
      </c>
      <c r="Q792">
        <f t="shared" si="99"/>
        <v>0</v>
      </c>
      <c r="R792">
        <f t="shared" si="100"/>
        <v>-3.2539034070550719E-2</v>
      </c>
      <c r="S792">
        <f t="array" ref="S792">+$B$2*SIN(R792*$B$3+$B$4)+0*R792+ SUM($J$2:$J$20*SIN(2*PI()*N792*$I$2:$I$20+$K$2:$K$20))</f>
        <v>-0.74772326460569616</v>
      </c>
      <c r="U792" s="3">
        <f t="shared" si="96"/>
        <v>1945.8333333332735</v>
      </c>
      <c r="V792" s="3">
        <f t="shared" si="97"/>
        <v>-0.68323599999999995</v>
      </c>
      <c r="Z792" s="1">
        <v>1945.875</v>
      </c>
      <c r="AA792" s="2">
        <f t="shared" si="101"/>
        <v>0.87254799999999999</v>
      </c>
      <c r="AB792">
        <v>43.627400000000002</v>
      </c>
      <c r="AE792">
        <v>1945.8333333332735</v>
      </c>
      <c r="AF792">
        <v>-0.74772326460569616</v>
      </c>
    </row>
    <row r="793" spans="4:32" x14ac:dyDescent="0.35">
      <c r="D793">
        <v>0.97941599999999995</v>
      </c>
      <c r="M793">
        <f t="shared" si="102"/>
        <v>792</v>
      </c>
      <c r="N793">
        <f t="shared" si="103"/>
        <v>1945.9166666666067</v>
      </c>
      <c r="O793">
        <f t="shared" si="98"/>
        <v>0</v>
      </c>
      <c r="P793">
        <f t="array" ref="P793">+SUM($G$2:$G$18*SIN(2*PI()*(N793)*$B$1/$F$2:$F$18+$H$2:$H$18))</f>
        <v>0.40906787382250664</v>
      </c>
      <c r="Q793">
        <f t="shared" si="99"/>
        <v>0</v>
      </c>
      <c r="R793">
        <f t="shared" si="100"/>
        <v>-3.2488984450416106E-2</v>
      </c>
      <c r="S793">
        <f t="array" ref="S793">+$B$2*SIN(R793*$B$3+$B$4)+0*R793+ SUM($J$2:$J$20*SIN(2*PI()*N793*$I$2:$I$20+$K$2:$K$20))</f>
        <v>-0.74850671134008873</v>
      </c>
      <c r="U793" s="3">
        <f t="shared" si="96"/>
        <v>1945.9166666666067</v>
      </c>
      <c r="V793" s="3">
        <f t="shared" si="97"/>
        <v>-0.7346720000000001</v>
      </c>
      <c r="Z793" s="1">
        <v>1945.9583</v>
      </c>
      <c r="AA793" s="2">
        <f t="shared" si="101"/>
        <v>0.88721800000000006</v>
      </c>
      <c r="AB793">
        <v>44.360900000000001</v>
      </c>
      <c r="AE793">
        <v>1945.9166666666067</v>
      </c>
      <c r="AF793">
        <v>-0.74850671134008873</v>
      </c>
    </row>
    <row r="794" spans="4:32" x14ac:dyDescent="0.35">
      <c r="D794">
        <v>0.87254799999999999</v>
      </c>
      <c r="M794">
        <f t="shared" si="102"/>
        <v>793</v>
      </c>
      <c r="N794">
        <f t="shared" si="103"/>
        <v>1945.99999999994</v>
      </c>
      <c r="O794">
        <f t="shared" si="98"/>
        <v>36.637715116165623</v>
      </c>
      <c r="P794">
        <f t="array" ref="P794">+SUM($G$2:$G$18*SIN(2*PI()*(N794)*$B$1/$F$2:$F$18+$H$2:$H$18))</f>
        <v>0.49260908426430555</v>
      </c>
      <c r="Q794">
        <f t="shared" si="99"/>
        <v>18.048071292910851</v>
      </c>
      <c r="R794">
        <f t="shared" si="100"/>
        <v>-4.6785346460089389E-3</v>
      </c>
      <c r="S794">
        <f t="array" ref="S794">+$B$2*SIN(R794*$B$3+$B$4)+0*R794+ SUM($J$2:$J$20*SIN(2*PI()*N794*$I$2:$I$20+$K$2:$K$20))</f>
        <v>-0.30408984651629317</v>
      </c>
      <c r="U794" s="3">
        <f t="shared" si="96"/>
        <v>1945.99999999994</v>
      </c>
      <c r="V794" s="3">
        <f t="shared" si="97"/>
        <v>-0.72303200000000001</v>
      </c>
      <c r="Z794" s="1">
        <v>1946.0417</v>
      </c>
      <c r="AA794" s="2">
        <f t="shared" si="101"/>
        <v>0.84650000000000003</v>
      </c>
      <c r="AB794">
        <v>42.325000000000003</v>
      </c>
      <c r="AE794">
        <v>1945.99999999994</v>
      </c>
      <c r="AF794">
        <v>-0.30408984651629317</v>
      </c>
    </row>
    <row r="795" spans="4:32" x14ac:dyDescent="0.35">
      <c r="D795">
        <v>0.88721800000000006</v>
      </c>
      <c r="M795">
        <f t="shared" si="102"/>
        <v>794</v>
      </c>
      <c r="N795">
        <f t="shared" si="103"/>
        <v>1946.0833333332732</v>
      </c>
      <c r="O795">
        <f t="shared" si="98"/>
        <v>0</v>
      </c>
      <c r="P795">
        <f t="array" ref="P795">+SUM($G$2:$G$18*SIN(2*PI()*(N795)*$B$1/$F$2:$F$18+$H$2:$H$18))</f>
        <v>4.2719684985077999E-2</v>
      </c>
      <c r="Q795">
        <f t="shared" si="99"/>
        <v>0</v>
      </c>
      <c r="R795">
        <f t="shared" si="100"/>
        <v>-4.6713384003763342E-3</v>
      </c>
      <c r="S795">
        <f t="array" ref="S795">+$B$2*SIN(R795*$B$3+$B$4)+0*R795+ SUM($J$2:$J$20*SIN(2*PI()*N795*$I$2:$I$20+$K$2:$K$20))</f>
        <v>-0.30502218629838945</v>
      </c>
      <c r="U795" s="3">
        <f t="shared" si="96"/>
        <v>1946.0833333332732</v>
      </c>
      <c r="V795" s="3">
        <f t="shared" si="97"/>
        <v>-0.53754400000000002</v>
      </c>
      <c r="Z795" s="1">
        <v>1946.125</v>
      </c>
      <c r="AA795" s="2">
        <f t="shared" si="101"/>
        <v>0.79962800000000001</v>
      </c>
      <c r="AB795">
        <v>39.981400000000001</v>
      </c>
      <c r="AE795">
        <v>1946.0833333332732</v>
      </c>
      <c r="AF795">
        <v>-0.30502218629838945</v>
      </c>
    </row>
    <row r="796" spans="4:32" x14ac:dyDescent="0.35">
      <c r="D796">
        <v>0.84650000000000003</v>
      </c>
      <c r="M796">
        <f t="shared" si="102"/>
        <v>795</v>
      </c>
      <c r="N796">
        <f t="shared" si="103"/>
        <v>1946.1666666666065</v>
      </c>
      <c r="O796">
        <f t="shared" si="98"/>
        <v>0</v>
      </c>
      <c r="P796">
        <f t="array" ref="P796">+SUM($G$2:$G$18*SIN(2*PI()*(N796)*$B$1/$F$2:$F$18+$H$2:$H$18))</f>
        <v>0.13180031387777211</v>
      </c>
      <c r="Q796">
        <f t="shared" si="99"/>
        <v>0</v>
      </c>
      <c r="R796">
        <f t="shared" si="100"/>
        <v>-4.664153223583681E-3</v>
      </c>
      <c r="S796">
        <f t="array" ref="S796">+$B$2*SIN(R796*$B$3+$B$4)+0*R796+ SUM($J$2:$J$20*SIN(2*PI()*N796*$I$2:$I$20+$K$2:$K$20))</f>
        <v>-0.30595253375300313</v>
      </c>
      <c r="U796" s="3">
        <f t="shared" si="96"/>
        <v>1946.1666666666065</v>
      </c>
      <c r="V796" s="3">
        <f t="shared" si="97"/>
        <v>-0.56129200000000001</v>
      </c>
      <c r="Z796" s="1">
        <v>1946.2083</v>
      </c>
      <c r="AA796" s="2">
        <f t="shared" si="101"/>
        <v>0.648142</v>
      </c>
      <c r="AB796">
        <v>32.4071</v>
      </c>
      <c r="AE796">
        <v>1946.1666666666065</v>
      </c>
      <c r="AF796">
        <v>-0.30595253375300313</v>
      </c>
    </row>
    <row r="797" spans="4:32" x14ac:dyDescent="0.35">
      <c r="D797">
        <v>0.79962800000000001</v>
      </c>
      <c r="M797">
        <f t="shared" si="102"/>
        <v>796</v>
      </c>
      <c r="N797">
        <f t="shared" si="103"/>
        <v>1946.2499999999397</v>
      </c>
      <c r="O797">
        <f t="shared" si="98"/>
        <v>0</v>
      </c>
      <c r="P797">
        <f t="array" ref="P797">+SUM($G$2:$G$18*SIN(2*PI()*(N797)*$B$1/$F$2:$F$18+$H$2:$H$18))</f>
        <v>0.53190345218684276</v>
      </c>
      <c r="Q797">
        <f t="shared" si="99"/>
        <v>0</v>
      </c>
      <c r="R797">
        <f t="shared" si="100"/>
        <v>-4.6569790986055433E-3</v>
      </c>
      <c r="S797">
        <f t="array" ref="S797">+$B$2*SIN(R797*$B$3+$B$4)+0*R797+ SUM($J$2:$J$20*SIN(2*PI()*N797*$I$2:$I$20+$K$2:$K$20))</f>
        <v>-0.30688089196314072</v>
      </c>
      <c r="U797" s="3">
        <f t="shared" si="96"/>
        <v>1946.2499999999397</v>
      </c>
      <c r="V797" s="3">
        <f t="shared" si="97"/>
        <v>-0.61273200000000005</v>
      </c>
      <c r="Z797" s="1">
        <v>1946.2917</v>
      </c>
      <c r="AA797" s="2">
        <f t="shared" si="101"/>
        <v>0.68587999999999993</v>
      </c>
      <c r="AB797">
        <v>34.293999999999997</v>
      </c>
      <c r="AE797">
        <v>1946.2499999999397</v>
      </c>
      <c r="AF797">
        <v>-0.30688089196314072</v>
      </c>
    </row>
    <row r="798" spans="4:32" x14ac:dyDescent="0.35">
      <c r="D798">
        <v>0.648142</v>
      </c>
      <c r="M798">
        <f t="shared" si="102"/>
        <v>797</v>
      </c>
      <c r="N798">
        <f t="shared" si="103"/>
        <v>1946.333333333273</v>
      </c>
      <c r="O798">
        <f t="shared" si="98"/>
        <v>0</v>
      </c>
      <c r="P798">
        <f t="array" ref="P798">+SUM($G$2:$G$18*SIN(2*PI()*(N798)*$B$1/$F$2:$F$18+$H$2:$H$18))</f>
        <v>0.51874808156228613</v>
      </c>
      <c r="Q798">
        <f t="shared" si="99"/>
        <v>0</v>
      </c>
      <c r="R798">
        <f t="shared" si="100"/>
        <v>-4.6498160084426738E-3</v>
      </c>
      <c r="S798">
        <f t="array" ref="S798">+$B$2*SIN(R798*$B$3+$B$4)+0*R798+ SUM($J$2:$J$20*SIN(2*PI()*N798*$I$2:$I$20+$K$2:$K$20))</f>
        <v>-0.30780726401584546</v>
      </c>
      <c r="U798" s="3">
        <f t="shared" si="96"/>
        <v>1946.333333333273</v>
      </c>
      <c r="V798" s="3">
        <f t="shared" si="97"/>
        <v>-0.16878599999999999</v>
      </c>
      <c r="Z798" s="1">
        <v>1946.375</v>
      </c>
      <c r="AA798" s="2">
        <f t="shared" si="101"/>
        <v>0.30208400000000002</v>
      </c>
      <c r="AB798">
        <v>15.104200000000001</v>
      </c>
      <c r="AE798">
        <v>1946.333333333273</v>
      </c>
      <c r="AF798">
        <v>-0.30780726401584546</v>
      </c>
    </row>
    <row r="799" spans="4:32" x14ac:dyDescent="0.35">
      <c r="D799">
        <v>0.68587999999999993</v>
      </c>
      <c r="M799">
        <f t="shared" si="102"/>
        <v>798</v>
      </c>
      <c r="N799">
        <f t="shared" si="103"/>
        <v>1946.4166666666063</v>
      </c>
      <c r="O799">
        <f t="shared" si="98"/>
        <v>0</v>
      </c>
      <c r="P799">
        <f t="array" ref="P799">+SUM($G$2:$G$18*SIN(2*PI()*(N799)*$B$1/$F$2:$F$18+$H$2:$H$18))</f>
        <v>-0.10459868349797992</v>
      </c>
      <c r="Q799">
        <f t="shared" si="99"/>
        <v>0</v>
      </c>
      <c r="R799">
        <f t="shared" si="100"/>
        <v>-4.6426639361219707E-3</v>
      </c>
      <c r="S799">
        <f t="array" ref="S799">+$B$2*SIN(R799*$B$3+$B$4)+0*R799+ SUM($J$2:$J$20*SIN(2*PI()*N799*$I$2:$I$20+$K$2:$K$20))</f>
        <v>-0.30873165300212208</v>
      </c>
      <c r="U799" s="3">
        <f t="shared" si="96"/>
        <v>1946.4166666666063</v>
      </c>
      <c r="V799" s="3">
        <f t="shared" si="97"/>
        <v>0.15823200000000001</v>
      </c>
      <c r="Z799" s="1">
        <v>1946.4583</v>
      </c>
      <c r="AA799" s="2">
        <f t="shared" si="101"/>
        <v>-0.169408</v>
      </c>
      <c r="AB799">
        <v>-8.4703999999999997</v>
      </c>
      <c r="AE799">
        <v>1946.4166666666063</v>
      </c>
      <c r="AF799">
        <v>-0.30873165300212208</v>
      </c>
    </row>
    <row r="800" spans="4:32" x14ac:dyDescent="0.35">
      <c r="D800">
        <v>0.30208400000000002</v>
      </c>
      <c r="M800">
        <f t="shared" si="102"/>
        <v>799</v>
      </c>
      <c r="N800">
        <f t="shared" si="103"/>
        <v>1946.4999999999395</v>
      </c>
      <c r="O800">
        <f t="shared" si="98"/>
        <v>0</v>
      </c>
      <c r="P800">
        <f t="array" ref="P800">+SUM($G$2:$G$18*SIN(2*PI()*(N800)*$B$1/$F$2:$F$18+$H$2:$H$18))</f>
        <v>-0.62511617542585707</v>
      </c>
      <c r="Q800">
        <f t="shared" si="99"/>
        <v>0</v>
      </c>
      <c r="R800">
        <f t="shared" si="100"/>
        <v>-4.6355228646964399E-3</v>
      </c>
      <c r="S800">
        <f t="array" ref="S800">+$B$2*SIN(R800*$B$3+$B$4)+0*R800+ SUM($J$2:$J$20*SIN(2*PI()*N800*$I$2:$I$20+$K$2:$K$20))</f>
        <v>-0.30965406201685808</v>
      </c>
      <c r="U800" s="3">
        <f t="shared" si="96"/>
        <v>1946.4999999999395</v>
      </c>
      <c r="V800" s="3">
        <f t="shared" si="97"/>
        <v>0.443712</v>
      </c>
      <c r="Z800" s="1">
        <v>1946.5417</v>
      </c>
      <c r="AA800" s="2">
        <f t="shared" si="101"/>
        <v>-0.71167199999999997</v>
      </c>
      <c r="AB800">
        <v>-35.583599999999997</v>
      </c>
      <c r="AE800">
        <v>1946.4999999999395</v>
      </c>
      <c r="AF800">
        <v>-0.30965406201685808</v>
      </c>
    </row>
    <row r="801" spans="4:32" x14ac:dyDescent="0.35">
      <c r="D801">
        <v>-0.169408</v>
      </c>
      <c r="M801">
        <f t="shared" si="102"/>
        <v>800</v>
      </c>
      <c r="N801">
        <f t="shared" si="103"/>
        <v>1946.5833333332728</v>
      </c>
      <c r="O801">
        <f t="shared" si="98"/>
        <v>0</v>
      </c>
      <c r="P801">
        <f t="array" ref="P801">+SUM($G$2:$G$18*SIN(2*PI()*(N801)*$B$1/$F$2:$F$18+$H$2:$H$18))</f>
        <v>-0.10615791111541478</v>
      </c>
      <c r="Q801">
        <f t="shared" si="99"/>
        <v>0</v>
      </c>
      <c r="R801">
        <f t="shared" si="100"/>
        <v>-4.6283927772451548E-3</v>
      </c>
      <c r="S801">
        <f t="array" ref="S801">+$B$2*SIN(R801*$B$3+$B$4)+0*R801+ SUM($J$2:$J$20*SIN(2*PI()*N801*$I$2:$I$20+$K$2:$K$20))</f>
        <v>-0.31057449415874933</v>
      </c>
      <c r="U801" s="3">
        <f t="shared" si="96"/>
        <v>1946.5833333332728</v>
      </c>
      <c r="V801" s="3">
        <f t="shared" si="97"/>
        <v>0.63842199999999993</v>
      </c>
      <c r="Z801" s="1">
        <v>1946.625</v>
      </c>
      <c r="AA801" s="2">
        <f t="shared" si="101"/>
        <v>-1.1431640000000001</v>
      </c>
      <c r="AB801">
        <v>-57.158200000000001</v>
      </c>
      <c r="AE801">
        <v>1946.5833333332728</v>
      </c>
      <c r="AF801">
        <v>-0.31057449415874933</v>
      </c>
    </row>
    <row r="802" spans="4:32" x14ac:dyDescent="0.35">
      <c r="D802">
        <v>-0.71167199999999997</v>
      </c>
      <c r="M802">
        <f t="shared" si="102"/>
        <v>801</v>
      </c>
      <c r="N802">
        <f t="shared" si="103"/>
        <v>1946.666666666606</v>
      </c>
      <c r="O802">
        <f t="shared" si="98"/>
        <v>0</v>
      </c>
      <c r="P802">
        <f t="array" ref="P802">+SUM($G$2:$G$18*SIN(2*PI()*(N802)*$B$1/$F$2:$F$18+$H$2:$H$18))</f>
        <v>0.76451043705597566</v>
      </c>
      <c r="Q802">
        <f t="shared" si="99"/>
        <v>0</v>
      </c>
      <c r="R802">
        <f t="shared" si="100"/>
        <v>-4.6212736568732142E-3</v>
      </c>
      <c r="S802">
        <f t="array" ref="S802">+$B$2*SIN(R802*$B$3+$B$4)+0*R802+ SUM($J$2:$J$20*SIN(2*PI()*N802*$I$2:$I$20+$K$2:$K$20))</f>
        <v>-0.31149295253022419</v>
      </c>
      <c r="U802" s="3">
        <f t="shared" si="96"/>
        <v>1946.666666666606</v>
      </c>
      <c r="V802" s="3">
        <f t="shared" si="97"/>
        <v>0.78082200000000002</v>
      </c>
      <c r="Z802" s="1">
        <v>1946.7083</v>
      </c>
      <c r="AA802" s="2">
        <f t="shared" si="101"/>
        <v>-1.6023500000000002</v>
      </c>
      <c r="AB802">
        <v>-80.117500000000007</v>
      </c>
      <c r="AE802">
        <v>1946.666666666606</v>
      </c>
      <c r="AF802">
        <v>-0.31149295253022419</v>
      </c>
    </row>
    <row r="803" spans="4:32" x14ac:dyDescent="0.35">
      <c r="D803">
        <v>-1.1431640000000001</v>
      </c>
      <c r="M803">
        <f t="shared" si="102"/>
        <v>802</v>
      </c>
      <c r="N803">
        <f t="shared" si="103"/>
        <v>1946.7499999999393</v>
      </c>
      <c r="O803">
        <f t="shared" si="98"/>
        <v>0</v>
      </c>
      <c r="P803">
        <f t="array" ref="P803">+SUM($G$2:$G$18*SIN(2*PI()*(N803)*$B$1/$F$2:$F$18+$H$2:$H$18))</f>
        <v>0.76821383020789635</v>
      </c>
      <c r="Q803">
        <f t="shared" si="99"/>
        <v>0</v>
      </c>
      <c r="R803">
        <f t="shared" si="100"/>
        <v>-4.6141654867117056E-3</v>
      </c>
      <c r="S803">
        <f t="array" ref="S803">+$B$2*SIN(R803*$B$3+$B$4)+0*R803+ SUM($J$2:$J$20*SIN(2*PI()*N803*$I$2:$I$20+$K$2:$K$20))</f>
        <v>-0.31240944023736689</v>
      </c>
      <c r="U803" s="3">
        <f t="shared" si="96"/>
        <v>1946.7499999999393</v>
      </c>
      <c r="V803" s="3">
        <f t="shared" si="97"/>
        <v>0.83091399999999993</v>
      </c>
      <c r="Z803" s="1">
        <v>1946.7917</v>
      </c>
      <c r="AA803" s="2">
        <f t="shared" si="101"/>
        <v>-1.601542</v>
      </c>
      <c r="AB803">
        <v>-80.077100000000002</v>
      </c>
      <c r="AE803">
        <v>1946.7499999999393</v>
      </c>
      <c r="AF803">
        <v>-0.31240944023736689</v>
      </c>
    </row>
    <row r="804" spans="4:32" x14ac:dyDescent="0.35">
      <c r="D804">
        <v>-1.6023500000000002</v>
      </c>
      <c r="M804">
        <f t="shared" si="102"/>
        <v>803</v>
      </c>
      <c r="N804">
        <f t="shared" si="103"/>
        <v>1946.8333333332725</v>
      </c>
      <c r="O804">
        <f t="shared" si="98"/>
        <v>0</v>
      </c>
      <c r="P804">
        <f t="array" ref="P804">+SUM($G$2:$G$18*SIN(2*PI()*(N804)*$B$1/$F$2:$F$18+$H$2:$H$18))</f>
        <v>0.37131822711291418</v>
      </c>
      <c r="Q804">
        <f t="shared" si="99"/>
        <v>0</v>
      </c>
      <c r="R804">
        <f t="shared" si="100"/>
        <v>-4.6070682499176618E-3</v>
      </c>
      <c r="S804">
        <f t="array" ref="S804">+$B$2*SIN(R804*$B$3+$B$4)+0*R804+ SUM($J$2:$J$20*SIN(2*PI()*N804*$I$2:$I$20+$K$2:$K$20))</f>
        <v>-0.31332396038984567</v>
      </c>
      <c r="U804" s="3">
        <f t="shared" si="96"/>
        <v>1946.8333333332725</v>
      </c>
      <c r="V804" s="3">
        <f t="shared" si="97"/>
        <v>0.90254599999999996</v>
      </c>
      <c r="Z804" s="1">
        <v>1946.875</v>
      </c>
      <c r="AA804" s="2">
        <f t="shared" si="101"/>
        <v>-1.8145760000000002</v>
      </c>
      <c r="AB804">
        <v>-90.728800000000007</v>
      </c>
      <c r="AE804">
        <v>1946.8333333332725</v>
      </c>
      <c r="AF804">
        <v>-0.31332396038984567</v>
      </c>
    </row>
    <row r="805" spans="4:32" x14ac:dyDescent="0.35">
      <c r="D805">
        <v>-1.601542</v>
      </c>
      <c r="M805">
        <f t="shared" si="102"/>
        <v>804</v>
      </c>
      <c r="N805">
        <f t="shared" si="103"/>
        <v>1946.9166666666058</v>
      </c>
      <c r="O805">
        <f t="shared" si="98"/>
        <v>0</v>
      </c>
      <c r="P805">
        <f t="array" ref="P805">+SUM($G$2:$G$18*SIN(2*PI()*(N805)*$B$1/$F$2:$F$18+$H$2:$H$18))</f>
        <v>0.32778442970942473</v>
      </c>
      <c r="Q805">
        <f t="shared" si="99"/>
        <v>0</v>
      </c>
      <c r="R805">
        <f t="shared" si="100"/>
        <v>-4.5999819296740222E-3</v>
      </c>
      <c r="S805">
        <f t="array" ref="S805">+$B$2*SIN(R805*$B$3+$B$4)+0*R805+ SUM($J$2:$J$20*SIN(2*PI()*N805*$I$2:$I$20+$K$2:$K$20))</f>
        <v>-0.3142365161008378</v>
      </c>
      <c r="U805" s="3">
        <f t="shared" si="96"/>
        <v>1946.9166666666058</v>
      </c>
      <c r="V805" s="3">
        <f t="shared" si="97"/>
        <v>0.940326</v>
      </c>
      <c r="Z805" s="1">
        <v>1946.9583</v>
      </c>
      <c r="AA805" s="2">
        <f t="shared" si="101"/>
        <v>-1.9076120000000001</v>
      </c>
      <c r="AB805">
        <v>-95.380600000000001</v>
      </c>
      <c r="AE805">
        <v>1946.9166666666058</v>
      </c>
      <c r="AF805">
        <v>-0.3142365161008378</v>
      </c>
    </row>
    <row r="806" spans="4:32" x14ac:dyDescent="0.35">
      <c r="D806">
        <v>-1.8145760000000002</v>
      </c>
      <c r="M806">
        <f t="shared" si="102"/>
        <v>805</v>
      </c>
      <c r="N806">
        <f t="shared" si="103"/>
        <v>1946.9999999999391</v>
      </c>
      <c r="O806">
        <f t="shared" si="98"/>
        <v>36.637715116165623</v>
      </c>
      <c r="P806">
        <f t="array" ref="P806">+SUM($G$2:$G$18*SIN(2*PI()*(N806)*$B$1/$F$2:$F$18+$H$2:$H$18))</f>
        <v>0.40200485856502211</v>
      </c>
      <c r="Q806">
        <f t="shared" si="99"/>
        <v>14.728539483419734</v>
      </c>
      <c r="R806">
        <f t="shared" si="100"/>
        <v>1.8061662913017099E-2</v>
      </c>
      <c r="S806">
        <f t="array" ref="S806">+$B$2*SIN(R806*$B$3+$B$4)+0*R806+ SUM($J$2:$J$20*SIN(2*PI()*N806*$I$2:$I$20+$K$2:$K$20))</f>
        <v>0.75262904408606346</v>
      </c>
      <c r="U806" s="3">
        <f t="shared" si="96"/>
        <v>1946.9999999999391</v>
      </c>
      <c r="V806" s="3">
        <f t="shared" si="97"/>
        <v>0.63964599999999994</v>
      </c>
      <c r="Z806" s="1">
        <v>1947.0417</v>
      </c>
      <c r="AA806" s="2">
        <f t="shared" si="101"/>
        <v>-1.9868060000000001</v>
      </c>
      <c r="AB806">
        <v>-99.340299999999999</v>
      </c>
      <c r="AE806">
        <v>1946.9999999999391</v>
      </c>
      <c r="AF806">
        <v>0.75262904408606346</v>
      </c>
    </row>
    <row r="807" spans="4:32" x14ac:dyDescent="0.35">
      <c r="D807">
        <v>-1.9076120000000001</v>
      </c>
      <c r="M807">
        <f t="shared" si="102"/>
        <v>806</v>
      </c>
      <c r="N807">
        <f t="shared" si="103"/>
        <v>1947.0833333332723</v>
      </c>
      <c r="O807">
        <f t="shared" si="98"/>
        <v>0</v>
      </c>
      <c r="P807">
        <f t="array" ref="P807">+SUM($G$2:$G$18*SIN(2*PI()*(N807)*$B$1/$F$2:$F$18+$H$2:$H$18))</f>
        <v>0.26840947180833669</v>
      </c>
      <c r="Q807">
        <f t="shared" si="99"/>
        <v>0</v>
      </c>
      <c r="R807">
        <f t="shared" si="100"/>
        <v>1.8033881530022264E-2</v>
      </c>
      <c r="S807">
        <f t="array" ref="S807">+$B$2*SIN(R807*$B$3+$B$4)+0*R807+ SUM($J$2:$J$20*SIN(2*PI()*N807*$I$2:$I$20+$K$2:$K$20))</f>
        <v>0.75255363607568382</v>
      </c>
      <c r="U807" s="3">
        <f t="shared" si="96"/>
        <v>1947.0833333332723</v>
      </c>
      <c r="V807" s="3">
        <f t="shared" si="97"/>
        <v>0.38511800000000002</v>
      </c>
      <c r="Z807" s="1">
        <v>1947.125</v>
      </c>
      <c r="AA807" s="2">
        <f t="shared" si="101"/>
        <v>-2.0106139999999999</v>
      </c>
      <c r="AB807">
        <v>-100.5307</v>
      </c>
      <c r="AE807">
        <v>1947.0833333332723</v>
      </c>
      <c r="AF807">
        <v>0.75255363607568382</v>
      </c>
    </row>
    <row r="808" spans="4:32" x14ac:dyDescent="0.35">
      <c r="D808">
        <v>-1.9868060000000001</v>
      </c>
      <c r="M808">
        <f t="shared" si="102"/>
        <v>807</v>
      </c>
      <c r="N808">
        <f t="shared" si="103"/>
        <v>1947.1666666666056</v>
      </c>
      <c r="O808">
        <f t="shared" si="98"/>
        <v>0</v>
      </c>
      <c r="P808">
        <f t="array" ref="P808">+SUM($G$2:$G$18*SIN(2*PI()*(N808)*$B$1/$F$2:$F$18+$H$2:$H$18))</f>
        <v>-0.14602744962699499</v>
      </c>
      <c r="Q808">
        <f t="shared" si="99"/>
        <v>0</v>
      </c>
      <c r="R808">
        <f t="shared" si="100"/>
        <v>1.8006142878709712E-2</v>
      </c>
      <c r="S808">
        <f t="array" ref="S808">+$B$2*SIN(R808*$B$3+$B$4)+0*R808+ SUM($J$2:$J$20*SIN(2*PI()*N808*$I$2:$I$20+$K$2:$K$20))</f>
        <v>0.7524578165493605</v>
      </c>
      <c r="U808" s="3">
        <f t="shared" si="96"/>
        <v>1947.1666666666056</v>
      </c>
      <c r="V808" s="3">
        <f t="shared" si="97"/>
        <v>0.33366399999999996</v>
      </c>
      <c r="Z808" s="1">
        <v>1947.2083</v>
      </c>
      <c r="AA808" s="2">
        <f t="shared" si="101"/>
        <v>-2.257498</v>
      </c>
      <c r="AB808">
        <v>-112.8749</v>
      </c>
      <c r="AE808">
        <v>1947.1666666666056</v>
      </c>
      <c r="AF808">
        <v>0.7524578165493605</v>
      </c>
    </row>
    <row r="809" spans="4:32" x14ac:dyDescent="0.35">
      <c r="D809">
        <v>-2.0106139999999999</v>
      </c>
      <c r="M809">
        <f t="shared" si="102"/>
        <v>808</v>
      </c>
      <c r="N809">
        <f t="shared" si="103"/>
        <v>1947.2499999999388</v>
      </c>
      <c r="O809">
        <f t="shared" si="98"/>
        <v>0</v>
      </c>
      <c r="P809">
        <f t="array" ref="P809">+SUM($G$2:$G$18*SIN(2*PI()*(N809)*$B$1/$F$2:$F$18+$H$2:$H$18))</f>
        <v>-0.35579720624657812</v>
      </c>
      <c r="Q809">
        <f t="shared" si="99"/>
        <v>0</v>
      </c>
      <c r="R809">
        <f t="shared" si="100"/>
        <v>1.7978446893352092E-2</v>
      </c>
      <c r="S809">
        <f t="array" ref="S809">+$B$2*SIN(R809*$B$3+$B$4)+0*R809+ SUM($J$2:$J$20*SIN(2*PI()*N809*$I$2:$I$20+$K$2:$K$20))</f>
        <v>0.75234168260792444</v>
      </c>
      <c r="U809" s="3">
        <f t="shared" si="96"/>
        <v>1947.2499999999388</v>
      </c>
      <c r="V809" s="3">
        <f t="shared" si="97"/>
        <v>0.48836599999999997</v>
      </c>
      <c r="Z809" s="1">
        <v>1947.2917</v>
      </c>
      <c r="AA809" s="2">
        <f t="shared" si="101"/>
        <v>-2.2720799999999999</v>
      </c>
      <c r="AB809">
        <v>-113.604</v>
      </c>
      <c r="AE809">
        <v>1947.2499999999388</v>
      </c>
      <c r="AF809">
        <v>0.75234168260792444</v>
      </c>
    </row>
    <row r="810" spans="4:32" x14ac:dyDescent="0.35">
      <c r="D810">
        <v>-2.257498</v>
      </c>
      <c r="M810">
        <f t="shared" si="102"/>
        <v>809</v>
      </c>
      <c r="N810">
        <f t="shared" si="103"/>
        <v>1947.3333333332721</v>
      </c>
      <c r="O810">
        <f t="shared" si="98"/>
        <v>0</v>
      </c>
      <c r="P810">
        <f t="array" ref="P810">+SUM($G$2:$G$18*SIN(2*PI()*(N810)*$B$1/$F$2:$F$18+$H$2:$H$18))</f>
        <v>0.19017915905826654</v>
      </c>
      <c r="Q810">
        <f t="shared" si="99"/>
        <v>0</v>
      </c>
      <c r="R810">
        <f t="shared" si="100"/>
        <v>1.7950793508323157E-2</v>
      </c>
      <c r="S810">
        <f t="array" ref="S810">+$B$2*SIN(R810*$B$3+$B$4)+0*R810+ SUM($J$2:$J$20*SIN(2*PI()*N810*$I$2:$I$20+$K$2:$K$20))</f>
        <v>0.7522053315435917</v>
      </c>
      <c r="U810" s="3">
        <f t="shared" si="96"/>
        <v>1947.3333333332721</v>
      </c>
      <c r="V810" s="3">
        <f t="shared" si="97"/>
        <v>0.70460599999999995</v>
      </c>
      <c r="Z810" s="1">
        <v>1947.375</v>
      </c>
      <c r="AA810" s="2">
        <f t="shared" si="101"/>
        <v>-2.4020459999999999</v>
      </c>
      <c r="AB810">
        <v>-120.1023</v>
      </c>
      <c r="AE810">
        <v>1947.3333333332721</v>
      </c>
      <c r="AF810">
        <v>0.7522053315435917</v>
      </c>
    </row>
    <row r="811" spans="4:32" x14ac:dyDescent="0.35">
      <c r="D811">
        <v>-2.2720799999999999</v>
      </c>
      <c r="M811">
        <f t="shared" si="102"/>
        <v>810</v>
      </c>
      <c r="N811">
        <f t="shared" si="103"/>
        <v>1947.4166666666054</v>
      </c>
      <c r="O811">
        <f t="shared" si="98"/>
        <v>0</v>
      </c>
      <c r="P811">
        <f t="array" ref="P811">+SUM($G$2:$G$18*SIN(2*PI()*(N811)*$B$1/$F$2:$F$18+$H$2:$H$18))</f>
        <v>0.79209795566322894</v>
      </c>
      <c r="Q811">
        <f t="shared" si="99"/>
        <v>0</v>
      </c>
      <c r="R811">
        <f t="shared" si="100"/>
        <v>1.7923182658097593E-2</v>
      </c>
      <c r="S811">
        <f t="array" ref="S811">+$B$2*SIN(R811*$B$3+$B$4)+0*R811+ SUM($J$2:$J$20*SIN(2*PI()*N811*$I$2:$I$20+$K$2:$K$20))</f>
        <v>0.75204886083263023</v>
      </c>
      <c r="U811" s="3">
        <f t="shared" si="96"/>
        <v>1947.4166666666054</v>
      </c>
      <c r="V811" s="3">
        <f t="shared" si="97"/>
        <v>0.50391800000000009</v>
      </c>
      <c r="Z811" s="1">
        <v>1947.4583</v>
      </c>
      <c r="AA811" s="2">
        <f t="shared" si="101"/>
        <v>-1.9535499999999999</v>
      </c>
      <c r="AB811">
        <v>-97.677499999999995</v>
      </c>
      <c r="AE811">
        <v>1947.4166666666054</v>
      </c>
      <c r="AF811">
        <v>0.75204886083263023</v>
      </c>
    </row>
    <row r="812" spans="4:32" x14ac:dyDescent="0.35">
      <c r="D812">
        <v>-2.4020459999999999</v>
      </c>
      <c r="M812">
        <f t="shared" si="102"/>
        <v>811</v>
      </c>
      <c r="N812">
        <f t="shared" si="103"/>
        <v>1947.4999999999386</v>
      </c>
      <c r="O812">
        <f t="shared" si="98"/>
        <v>0</v>
      </c>
      <c r="P812">
        <f t="array" ref="P812">+SUM($G$2:$G$18*SIN(2*PI()*(N812)*$B$1/$F$2:$F$18+$H$2:$H$18))</f>
        <v>0.73116437264132728</v>
      </c>
      <c r="Q812">
        <f t="shared" si="99"/>
        <v>0</v>
      </c>
      <c r="R812">
        <f t="shared" si="100"/>
        <v>1.7895614277250879E-2</v>
      </c>
      <c r="S812">
        <f t="array" ref="S812">+$B$2*SIN(R812*$B$3+$B$4)+0*R812+ SUM($J$2:$J$20*SIN(2*PI()*N812*$I$2:$I$20+$K$2:$K$20))</f>
        <v>0.75187236812809566</v>
      </c>
      <c r="U812" s="3">
        <f t="shared" si="96"/>
        <v>1947.4999999999386</v>
      </c>
      <c r="V812" s="3">
        <f t="shared" si="97"/>
        <v>0.52938399999999997</v>
      </c>
      <c r="Z812" s="1">
        <v>1947.5417</v>
      </c>
      <c r="AA812" s="2">
        <f t="shared" si="101"/>
        <v>-1.5281340000000001</v>
      </c>
      <c r="AB812">
        <v>-76.406700000000001</v>
      </c>
      <c r="AE812">
        <v>1947.4999999999386</v>
      </c>
      <c r="AF812">
        <v>0.75187236812809566</v>
      </c>
    </row>
    <row r="813" spans="4:32" x14ac:dyDescent="0.35">
      <c r="D813">
        <v>-1.9535499999999999</v>
      </c>
      <c r="M813">
        <f t="shared" si="102"/>
        <v>812</v>
      </c>
      <c r="N813">
        <f t="shared" si="103"/>
        <v>1947.5833333332719</v>
      </c>
      <c r="O813">
        <f t="shared" si="98"/>
        <v>0</v>
      </c>
      <c r="P813">
        <f t="array" ref="P813">+SUM($G$2:$G$18*SIN(2*PI()*(N813)*$B$1/$F$2:$F$18+$H$2:$H$18))</f>
        <v>0.45842821015152035</v>
      </c>
      <c r="Q813">
        <f t="shared" si="99"/>
        <v>0</v>
      </c>
      <c r="R813">
        <f t="shared" si="100"/>
        <v>1.7868088300459127E-2</v>
      </c>
      <c r="S813">
        <f t="array" ref="S813">+$B$2*SIN(R813*$B$3+$B$4)+0*R813+ SUM($J$2:$J$20*SIN(2*PI()*N813*$I$2:$I$20+$K$2:$K$20))</f>
        <v>0.75167595125263453</v>
      </c>
      <c r="U813" s="3">
        <f t="shared" si="96"/>
        <v>1947.5833333332719</v>
      </c>
      <c r="V813" s="3">
        <f t="shared" si="97"/>
        <v>0.57484999999999997</v>
      </c>
      <c r="Z813" s="1">
        <v>1947.625</v>
      </c>
      <c r="AA813" s="2">
        <f t="shared" si="101"/>
        <v>-1.1442559999999999</v>
      </c>
      <c r="AB813">
        <v>-57.212800000000001</v>
      </c>
      <c r="AE813">
        <v>1947.5833333332719</v>
      </c>
      <c r="AF813">
        <v>0.75167595125263453</v>
      </c>
    </row>
    <row r="814" spans="4:32" x14ac:dyDescent="0.35">
      <c r="D814">
        <v>-1.5281340000000001</v>
      </c>
      <c r="M814">
        <f t="shared" si="102"/>
        <v>813</v>
      </c>
      <c r="N814">
        <f t="shared" si="103"/>
        <v>1947.6666666666051</v>
      </c>
      <c r="O814">
        <f t="shared" si="98"/>
        <v>0</v>
      </c>
      <c r="P814">
        <f t="array" ref="P814">+SUM($G$2:$G$18*SIN(2*PI()*(N814)*$B$1/$F$2:$F$18+$H$2:$H$18))</f>
        <v>0.22125664811859391</v>
      </c>
      <c r="Q814">
        <f t="shared" si="99"/>
        <v>0</v>
      </c>
      <c r="R814">
        <f t="shared" si="100"/>
        <v>1.7840604662498923E-2</v>
      </c>
      <c r="S814">
        <f t="array" ref="S814">+$B$2*SIN(R814*$B$3+$B$4)+0*R814+ SUM($J$2:$J$20*SIN(2*PI()*N814*$I$2:$I$20+$K$2:$K$20))</f>
        <v>0.75145970819135355</v>
      </c>
      <c r="U814" s="3">
        <f t="shared" si="96"/>
        <v>1947.6666666666051</v>
      </c>
      <c r="V814" s="3">
        <f t="shared" si="97"/>
        <v>0.54646600000000001</v>
      </c>
      <c r="Z814" s="1">
        <v>1947.7083</v>
      </c>
      <c r="AA814" s="2">
        <f t="shared" si="101"/>
        <v>-0.96960999999999997</v>
      </c>
      <c r="AB814">
        <v>-48.480499999999999</v>
      </c>
      <c r="AE814">
        <v>1947.6666666666051</v>
      </c>
      <c r="AF814">
        <v>0.75145970819135355</v>
      </c>
    </row>
    <row r="815" spans="4:32" x14ac:dyDescent="0.35">
      <c r="D815">
        <v>-1.1442559999999999</v>
      </c>
      <c r="M815">
        <f t="shared" si="102"/>
        <v>814</v>
      </c>
      <c r="N815">
        <f t="shared" si="103"/>
        <v>1947.7499999999384</v>
      </c>
      <c r="O815">
        <f t="shared" si="98"/>
        <v>0</v>
      </c>
      <c r="P815">
        <f t="array" ref="P815">+SUM($G$2:$G$18*SIN(2*PI()*(N815)*$B$1/$F$2:$F$18+$H$2:$H$18))</f>
        <v>-5.6918188696849767E-2</v>
      </c>
      <c r="Q815">
        <f t="shared" si="99"/>
        <v>0</v>
      </c>
      <c r="R815">
        <f t="shared" si="100"/>
        <v>1.781316329824718E-2</v>
      </c>
      <c r="S815">
        <f t="array" ref="S815">+$B$2*SIN(R815*$B$3+$B$4)+0*R815+ SUM($J$2:$J$20*SIN(2*PI()*N815*$I$2:$I$20+$K$2:$K$20))</f>
        <v>0.75122373708475787</v>
      </c>
      <c r="U815" s="3">
        <f t="shared" si="96"/>
        <v>1947.7499999999384</v>
      </c>
      <c r="V815" s="3">
        <f t="shared" si="97"/>
        <v>0.419624</v>
      </c>
      <c r="Z815" s="1">
        <v>1947.7917</v>
      </c>
      <c r="AA815" s="2">
        <f t="shared" si="101"/>
        <v>-0.7949679999999999</v>
      </c>
      <c r="AB815">
        <v>-39.748399999999997</v>
      </c>
      <c r="AE815">
        <v>1947.7499999999384</v>
      </c>
      <c r="AF815">
        <v>0.75122373708475787</v>
      </c>
    </row>
    <row r="816" spans="4:32" x14ac:dyDescent="0.35">
      <c r="D816">
        <v>-0.96960999999999997</v>
      </c>
      <c r="M816">
        <f t="shared" si="102"/>
        <v>815</v>
      </c>
      <c r="N816">
        <f t="shared" si="103"/>
        <v>1947.8333333332716</v>
      </c>
      <c r="O816">
        <f t="shared" si="98"/>
        <v>0</v>
      </c>
      <c r="P816">
        <f t="array" ref="P816">+SUM($G$2:$G$18*SIN(2*PI()*(N816)*$B$1/$F$2:$F$18+$H$2:$H$18))</f>
        <v>-0.17873372147657918</v>
      </c>
      <c r="Q816">
        <f t="shared" si="99"/>
        <v>0</v>
      </c>
      <c r="R816">
        <f t="shared" si="100"/>
        <v>1.7785764142680974E-2</v>
      </c>
      <c r="S816">
        <f t="array" ref="S816">+$B$2*SIN(R816*$B$3+$B$4)+0*R816+ SUM($J$2:$J$20*SIN(2*PI()*N816*$I$2:$I$20+$K$2:$K$20))</f>
        <v>0.75096813622175429</v>
      </c>
      <c r="U816" s="3">
        <f t="shared" si="96"/>
        <v>1947.8333333332716</v>
      </c>
      <c r="V816" s="3">
        <f t="shared" si="97"/>
        <v>0.19123999999999999</v>
      </c>
      <c r="Z816" s="1">
        <v>1947.875</v>
      </c>
      <c r="AA816" s="2">
        <f t="shared" si="101"/>
        <v>-0.63417000000000001</v>
      </c>
      <c r="AB816">
        <v>-31.708500000000001</v>
      </c>
      <c r="AE816">
        <v>1947.8333333332716</v>
      </c>
      <c r="AF816">
        <v>0.75096813622175429</v>
      </c>
    </row>
    <row r="817" spans="4:32" x14ac:dyDescent="0.35">
      <c r="D817">
        <v>-0.7949679999999999</v>
      </c>
      <c r="M817">
        <f t="shared" si="102"/>
        <v>816</v>
      </c>
      <c r="N817">
        <f t="shared" si="103"/>
        <v>1947.9166666666049</v>
      </c>
      <c r="O817">
        <f t="shared" si="98"/>
        <v>0</v>
      </c>
      <c r="P817">
        <f t="array" ref="P817">+SUM($G$2:$G$18*SIN(2*PI()*(N817)*$B$1/$F$2:$F$18+$H$2:$H$18))</f>
        <v>-0.21820940928848745</v>
      </c>
      <c r="Q817">
        <f t="shared" si="99"/>
        <v>0</v>
      </c>
      <c r="R817">
        <f t="shared" si="100"/>
        <v>1.7758407130877396E-2</v>
      </c>
      <c r="S817">
        <f t="array" ref="S817">+$B$2*SIN(R817*$B$3+$B$4)+0*R817+ SUM($J$2:$J$20*SIN(2*PI()*N817*$I$2:$I$20+$K$2:$K$20))</f>
        <v>0.75069300403272188</v>
      </c>
      <c r="U817" s="3">
        <f t="shared" si="96"/>
        <v>1947.9166666666049</v>
      </c>
      <c r="V817" s="3">
        <f t="shared" si="97"/>
        <v>0.23823799999999998</v>
      </c>
      <c r="Z817" s="1">
        <v>1947.9583</v>
      </c>
      <c r="AA817" s="2">
        <f t="shared" si="101"/>
        <v>-0.36875799999999997</v>
      </c>
      <c r="AB817">
        <v>-18.437899999999999</v>
      </c>
      <c r="AE817">
        <v>1947.9166666666049</v>
      </c>
      <c r="AF817">
        <v>0.75069300403272188</v>
      </c>
    </row>
    <row r="818" spans="4:32" x14ac:dyDescent="0.35">
      <c r="D818">
        <v>-0.63417000000000001</v>
      </c>
      <c r="M818">
        <f t="shared" si="102"/>
        <v>817</v>
      </c>
      <c r="N818">
        <f t="shared" si="103"/>
        <v>1947.9999999999382</v>
      </c>
      <c r="O818">
        <f t="shared" si="98"/>
        <v>36.637715116165623</v>
      </c>
      <c r="P818">
        <f t="array" ref="P818">+SUM($G$2:$G$18*SIN(2*PI()*(N818)*$B$1/$F$2:$F$18+$H$2:$H$18))</f>
        <v>-0.13456677934981798</v>
      </c>
      <c r="Q818">
        <f t="shared" si="99"/>
        <v>-4.9302193259185501</v>
      </c>
      <c r="R818">
        <f t="shared" si="100"/>
        <v>1.0147720057723377E-2</v>
      </c>
      <c r="S818">
        <f t="array" ref="S818">+$B$2*SIN(R818*$B$3+$B$4)+0*R818+ SUM($J$2:$J$20*SIN(2*PI()*N818*$I$2:$I$20+$K$2:$K$20))</f>
        <v>4.8706438761648624E-2</v>
      </c>
      <c r="U818" s="3">
        <f t="shared" si="96"/>
        <v>1947.9999999999382</v>
      </c>
      <c r="V818" s="3">
        <f t="shared" si="97"/>
        <v>0.257544</v>
      </c>
      <c r="Z818" s="1">
        <v>1948.0417</v>
      </c>
      <c r="AA818" s="2">
        <f t="shared" si="101"/>
        <v>-0.115658</v>
      </c>
      <c r="AB818">
        <v>-5.7828999999999997</v>
      </c>
      <c r="AE818">
        <v>1947.9999999999382</v>
      </c>
      <c r="AF818">
        <v>4.8706438761648624E-2</v>
      </c>
    </row>
    <row r="819" spans="4:32" x14ac:dyDescent="0.35">
      <c r="D819">
        <v>-0.36875799999999997</v>
      </c>
      <c r="M819">
        <f t="shared" si="102"/>
        <v>818</v>
      </c>
      <c r="N819">
        <f t="shared" si="103"/>
        <v>1948.0833333332714</v>
      </c>
      <c r="O819">
        <f t="shared" si="98"/>
        <v>0</v>
      </c>
      <c r="P819">
        <f t="array" ref="P819">+SUM($G$2:$G$18*SIN(2*PI()*(N819)*$B$1/$F$2:$F$18+$H$2:$H$18))</f>
        <v>0.23573477413042815</v>
      </c>
      <c r="Q819">
        <f t="shared" si="99"/>
        <v>0</v>
      </c>
      <c r="R819">
        <f t="shared" si="100"/>
        <v>1.0132111434153905E-2</v>
      </c>
      <c r="S819">
        <f t="array" ref="S819">+$B$2*SIN(R819*$B$3+$B$4)+0*R819+ SUM($J$2:$J$20*SIN(2*PI()*N819*$I$2:$I$20+$K$2:$K$20))</f>
        <v>4.6499542200704264E-2</v>
      </c>
      <c r="U819" s="3">
        <f t="shared" si="96"/>
        <v>1948.0833333332714</v>
      </c>
      <c r="V819" s="3">
        <f t="shared" si="97"/>
        <v>0.40608</v>
      </c>
      <c r="Z819" s="1">
        <v>1948.125</v>
      </c>
      <c r="AA819" s="2">
        <f t="shared" si="101"/>
        <v>8.5136000000000003E-2</v>
      </c>
      <c r="AB819">
        <v>4.2568000000000001</v>
      </c>
      <c r="AE819">
        <v>1948.0833333332714</v>
      </c>
      <c r="AF819">
        <v>4.6499542200704264E-2</v>
      </c>
    </row>
    <row r="820" spans="4:32" x14ac:dyDescent="0.35">
      <c r="D820">
        <v>-0.115658</v>
      </c>
      <c r="M820">
        <f t="shared" si="102"/>
        <v>819</v>
      </c>
      <c r="N820">
        <f t="shared" si="103"/>
        <v>1948.1666666666047</v>
      </c>
      <c r="O820">
        <f t="shared" si="98"/>
        <v>0</v>
      </c>
      <c r="P820">
        <f t="array" ref="P820">+SUM($G$2:$G$18*SIN(2*PI()*(N820)*$B$1/$F$2:$F$18+$H$2:$H$18))</f>
        <v>0.46803363681039534</v>
      </c>
      <c r="Q820">
        <f t="shared" si="99"/>
        <v>0</v>
      </c>
      <c r="R820">
        <f t="shared" si="100"/>
        <v>1.0116526818847209E-2</v>
      </c>
      <c r="S820">
        <f t="array" ref="S820">+$B$2*SIN(R820*$B$3+$B$4)+0*R820+ SUM($J$2:$J$20*SIN(2*PI()*N820*$I$2:$I$20+$K$2:$K$20))</f>
        <v>4.4295639770589555E-2</v>
      </c>
      <c r="U820" s="3">
        <f t="shared" si="96"/>
        <v>1948.1666666666047</v>
      </c>
      <c r="V820" s="3">
        <f t="shared" si="97"/>
        <v>0.44845999999999997</v>
      </c>
      <c r="Z820" s="1">
        <v>1948.2083</v>
      </c>
      <c r="AA820" s="2">
        <f t="shared" si="101"/>
        <v>0.227468</v>
      </c>
      <c r="AB820">
        <v>11.3734</v>
      </c>
      <c r="AE820">
        <v>1948.1666666666047</v>
      </c>
      <c r="AF820">
        <v>4.4295639770589555E-2</v>
      </c>
    </row>
    <row r="821" spans="4:32" x14ac:dyDescent="0.35">
      <c r="D821">
        <v>8.5136000000000003E-2</v>
      </c>
      <c r="M821">
        <f t="shared" si="102"/>
        <v>820</v>
      </c>
      <c r="N821">
        <f t="shared" si="103"/>
        <v>1948.2499999999379</v>
      </c>
      <c r="O821">
        <f t="shared" si="98"/>
        <v>0</v>
      </c>
      <c r="P821">
        <f t="array" ref="P821">+SUM($G$2:$G$18*SIN(2*PI()*(N821)*$B$1/$F$2:$F$18+$H$2:$H$18))</f>
        <v>0.41600366319407756</v>
      </c>
      <c r="Q821">
        <f t="shared" si="99"/>
        <v>0</v>
      </c>
      <c r="R821">
        <f t="shared" si="100"/>
        <v>1.0100966174875199E-2</v>
      </c>
      <c r="S821">
        <f t="array" ref="S821">+$B$2*SIN(R821*$B$3+$B$4)+0*R821+ SUM($J$2:$J$20*SIN(2*PI()*N821*$I$2:$I$20+$K$2:$K$20))</f>
        <v>4.2094747014718631E-2</v>
      </c>
      <c r="U821" s="3">
        <f t="shared" si="96"/>
        <v>1948.2499999999379</v>
      </c>
      <c r="V821" s="3">
        <f t="shared" si="97"/>
        <v>0.20007000000000003</v>
      </c>
      <c r="Z821" s="1">
        <v>1948.2917</v>
      </c>
      <c r="AA821" s="2">
        <f t="shared" si="101"/>
        <v>0.56364199999999998</v>
      </c>
      <c r="AB821">
        <v>28.182099999999998</v>
      </c>
      <c r="AE821">
        <v>1948.2499999999379</v>
      </c>
      <c r="AF821">
        <v>4.2094747014718631E-2</v>
      </c>
    </row>
    <row r="822" spans="4:32" x14ac:dyDescent="0.35">
      <c r="D822">
        <v>0.227468</v>
      </c>
      <c r="M822">
        <f t="shared" si="102"/>
        <v>821</v>
      </c>
      <c r="N822">
        <f t="shared" si="103"/>
        <v>1948.3333333332712</v>
      </c>
      <c r="O822">
        <f t="shared" si="98"/>
        <v>0</v>
      </c>
      <c r="P822">
        <f t="array" ref="P822">+SUM($G$2:$G$18*SIN(2*PI()*(N822)*$B$1/$F$2:$F$18+$H$2:$H$18))</f>
        <v>0.28805697959222842</v>
      </c>
      <c r="Q822">
        <f t="shared" si="99"/>
        <v>0</v>
      </c>
      <c r="R822">
        <f t="shared" si="100"/>
        <v>1.0085429465366584E-2</v>
      </c>
      <c r="S822">
        <f t="array" ref="S822">+$B$2*SIN(R822*$B$3+$B$4)+0*R822+ SUM($J$2:$J$20*SIN(2*PI()*N822*$I$2:$I$20+$K$2:$K$20))</f>
        <v>3.9896879306754084E-2</v>
      </c>
      <c r="U822" s="3">
        <f t="shared" si="96"/>
        <v>1948.3333333332712</v>
      </c>
      <c r="V822" s="3">
        <f t="shared" si="97"/>
        <v>-1.2936000000000001E-2</v>
      </c>
      <c r="Z822" s="1">
        <v>1948.375</v>
      </c>
      <c r="AA822" s="2">
        <f t="shared" si="101"/>
        <v>0.63520200000000004</v>
      </c>
      <c r="AB822">
        <v>31.760100000000001</v>
      </c>
      <c r="AE822">
        <v>1948.3333333332712</v>
      </c>
      <c r="AF822">
        <v>3.9896879306754084E-2</v>
      </c>
    </row>
    <row r="823" spans="4:32" x14ac:dyDescent="0.35">
      <c r="D823">
        <v>0.56364199999999998</v>
      </c>
      <c r="M823">
        <f t="shared" si="102"/>
        <v>822</v>
      </c>
      <c r="N823">
        <f t="shared" si="103"/>
        <v>1948.4166666666044</v>
      </c>
      <c r="O823">
        <f t="shared" si="98"/>
        <v>0</v>
      </c>
      <c r="P823">
        <f t="array" ref="P823">+SUM($G$2:$G$18*SIN(2*PI()*(N823)*$B$1/$F$2:$F$18+$H$2:$H$18))</f>
        <v>-0.15156815297336879</v>
      </c>
      <c r="Q823">
        <f t="shared" si="99"/>
        <v>0</v>
      </c>
      <c r="R823">
        <f t="shared" si="100"/>
        <v>1.0069916653506785E-2</v>
      </c>
      <c r="S823">
        <f t="array" ref="S823">+$B$2*SIN(R823*$B$3+$B$4)+0*R823+ SUM($J$2:$J$20*SIN(2*PI()*N823*$I$2:$I$20+$K$2:$K$20))</f>
        <v>3.7702051851523047E-2</v>
      </c>
      <c r="U823" s="3">
        <f t="shared" si="96"/>
        <v>1948.4166666666044</v>
      </c>
      <c r="V823" s="3">
        <f t="shared" si="97"/>
        <v>-6.4406000000000005E-2</v>
      </c>
      <c r="Z823" s="1">
        <v>1948.4583</v>
      </c>
      <c r="AA823" s="2">
        <f t="shared" si="101"/>
        <v>0.61599199999999998</v>
      </c>
      <c r="AB823">
        <v>30.799600000000002</v>
      </c>
      <c r="AE823">
        <v>1948.4166666666044</v>
      </c>
      <c r="AF823">
        <v>3.7702051851523047E-2</v>
      </c>
    </row>
    <row r="824" spans="4:32" x14ac:dyDescent="0.35">
      <c r="D824">
        <v>0.63520200000000004</v>
      </c>
      <c r="M824">
        <f t="shared" si="102"/>
        <v>823</v>
      </c>
      <c r="N824">
        <f t="shared" si="103"/>
        <v>1948.4999999999377</v>
      </c>
      <c r="O824">
        <f t="shared" si="98"/>
        <v>0</v>
      </c>
      <c r="P824">
        <f t="array" ref="P824">+SUM($G$2:$G$18*SIN(2*PI()*(N824)*$B$1/$F$2:$F$18+$H$2:$H$18))</f>
        <v>-0.64631352313560908</v>
      </c>
      <c r="Q824">
        <f t="shared" si="99"/>
        <v>0</v>
      </c>
      <c r="R824">
        <f t="shared" si="100"/>
        <v>1.005442770253785E-2</v>
      </c>
      <c r="S824">
        <f t="array" ref="S824">+$B$2*SIN(R824*$B$3+$B$4)+0*R824+ SUM($J$2:$J$20*SIN(2*PI()*N824*$I$2:$I$20+$K$2:$K$20))</f>
        <v>3.5510279685929139E-2</v>
      </c>
      <c r="U824" s="3">
        <f t="shared" si="96"/>
        <v>1948.4999999999377</v>
      </c>
      <c r="V824" s="3">
        <f t="shared" si="97"/>
        <v>8.7399999999999995E-3</v>
      </c>
      <c r="Z824" s="1">
        <v>1948.5417</v>
      </c>
      <c r="AA824" s="2">
        <f t="shared" si="101"/>
        <v>0.44293199999999999</v>
      </c>
      <c r="AB824">
        <v>22.146599999999999</v>
      </c>
      <c r="AE824">
        <v>1948.4999999999377</v>
      </c>
      <c r="AF824">
        <v>3.5510279685929139E-2</v>
      </c>
    </row>
    <row r="825" spans="4:32" x14ac:dyDescent="0.35">
      <c r="D825">
        <v>0.61599199999999998</v>
      </c>
      <c r="M825">
        <f t="shared" si="102"/>
        <v>824</v>
      </c>
      <c r="N825">
        <f t="shared" si="103"/>
        <v>1948.583333333271</v>
      </c>
      <c r="O825">
        <f t="shared" si="98"/>
        <v>0</v>
      </c>
      <c r="P825">
        <f t="array" ref="P825">+SUM($G$2:$G$18*SIN(2*PI()*(N825)*$B$1/$F$2:$F$18+$H$2:$H$18))</f>
        <v>-0.57604947364421433</v>
      </c>
      <c r="Q825">
        <f t="shared" si="99"/>
        <v>0</v>
      </c>
      <c r="R825">
        <f t="shared" si="100"/>
        <v>1.0038962575758368E-2</v>
      </c>
      <c r="S825">
        <f t="array" ref="S825">+$B$2*SIN(R825*$B$3+$B$4)+0*R825+ SUM($J$2:$J$20*SIN(2*PI()*N825*$I$2:$I$20+$K$2:$K$20))</f>
        <v>3.3321577679865287E-2</v>
      </c>
      <c r="U825" s="3">
        <f t="shared" si="96"/>
        <v>1948.583333333271</v>
      </c>
      <c r="V825" s="3">
        <f t="shared" si="97"/>
        <v>5.5731999999999997E-2</v>
      </c>
      <c r="Z825" s="1">
        <v>1948.625</v>
      </c>
      <c r="AA825" s="2">
        <f t="shared" si="101"/>
        <v>0.50987199999999999</v>
      </c>
      <c r="AB825">
        <v>25.493600000000001</v>
      </c>
      <c r="AE825">
        <v>1948.583333333271</v>
      </c>
      <c r="AF825">
        <v>3.3321577679865287E-2</v>
      </c>
    </row>
    <row r="826" spans="4:32" x14ac:dyDescent="0.35">
      <c r="D826">
        <v>0.44293199999999999</v>
      </c>
      <c r="M826">
        <f t="shared" si="102"/>
        <v>825</v>
      </c>
      <c r="N826">
        <f t="shared" si="103"/>
        <v>1948.6666666666042</v>
      </c>
      <c r="O826">
        <f t="shared" si="98"/>
        <v>0</v>
      </c>
      <c r="P826">
        <f t="array" ref="P826">+SUM($G$2:$G$18*SIN(2*PI()*(N826)*$B$1/$F$2:$F$18+$H$2:$H$18))</f>
        <v>-0.21112025072303703</v>
      </c>
      <c r="Q826">
        <f t="shared" si="99"/>
        <v>0</v>
      </c>
      <c r="R826">
        <f t="shared" si="100"/>
        <v>1.0023521236523378E-2</v>
      </c>
      <c r="S826">
        <f t="array" ref="S826">+$B$2*SIN(R826*$B$3+$B$4)+0*R826+ SUM($J$2:$J$20*SIN(2*PI()*N826*$I$2:$I$20+$K$2:$K$20))</f>
        <v>3.1135960537121844E-2</v>
      </c>
      <c r="U826" s="3">
        <f t="shared" si="96"/>
        <v>1948.6666666666042</v>
      </c>
      <c r="V826" s="3">
        <f t="shared" si="97"/>
        <v>0.17194999999999999</v>
      </c>
      <c r="Z826" s="1">
        <v>1948.7083</v>
      </c>
      <c r="AA826" s="2">
        <f t="shared" si="101"/>
        <v>0.68912000000000007</v>
      </c>
      <c r="AB826">
        <v>34.456000000000003</v>
      </c>
      <c r="AE826">
        <v>1948.6666666666042</v>
      </c>
      <c r="AF826">
        <v>3.1135960537121844E-2</v>
      </c>
    </row>
    <row r="827" spans="4:32" x14ac:dyDescent="0.35">
      <c r="D827">
        <v>0.50987199999999999</v>
      </c>
      <c r="M827">
        <f t="shared" si="102"/>
        <v>826</v>
      </c>
      <c r="N827">
        <f t="shared" si="103"/>
        <v>1948.7499999999375</v>
      </c>
      <c r="O827">
        <f t="shared" si="98"/>
        <v>0</v>
      </c>
      <c r="P827">
        <f t="array" ref="P827">+SUM($G$2:$G$18*SIN(2*PI()*(N827)*$B$1/$F$2:$F$18+$H$2:$H$18))</f>
        <v>2.685167007132553E-2</v>
      </c>
      <c r="Q827">
        <f t="shared" si="99"/>
        <v>0</v>
      </c>
      <c r="R827">
        <f t="shared" si="100"/>
        <v>1.0008103648244282E-2</v>
      </c>
      <c r="S827">
        <f t="array" ref="S827">+$B$2*SIN(R827*$B$3+$B$4)+0*R827+ SUM($J$2:$J$20*SIN(2*PI()*N827*$I$2:$I$20+$K$2:$K$20))</f>
        <v>2.8953442796293326E-2</v>
      </c>
      <c r="U827" s="3">
        <f t="shared" ref="U827:U890" si="104">+N827</f>
        <v>1948.7499999999375</v>
      </c>
      <c r="V827" s="3">
        <f t="shared" ref="V827:V890" si="105">+D785</f>
        <v>0.32355400000000001</v>
      </c>
      <c r="Z827" s="1">
        <v>1948.7917</v>
      </c>
      <c r="AA827" s="2">
        <f t="shared" si="101"/>
        <v>0.91451800000000005</v>
      </c>
      <c r="AB827">
        <v>45.725900000000003</v>
      </c>
      <c r="AE827">
        <v>1948.7499999999375</v>
      </c>
      <c r="AF827">
        <v>2.8953442796293326E-2</v>
      </c>
    </row>
    <row r="828" spans="4:32" x14ac:dyDescent="0.35">
      <c r="D828">
        <v>0.68912000000000007</v>
      </c>
      <c r="M828">
        <f t="shared" si="102"/>
        <v>827</v>
      </c>
      <c r="N828">
        <f t="shared" si="103"/>
        <v>1948.8333333332707</v>
      </c>
      <c r="O828">
        <f t="shared" si="98"/>
        <v>0</v>
      </c>
      <c r="P828">
        <f t="array" ref="P828">+SUM($G$2:$G$18*SIN(2*PI()*(N828)*$B$1/$F$2:$F$18+$H$2:$H$18))</f>
        <v>0.10170401170843789</v>
      </c>
      <c r="Q828">
        <f t="shared" si="99"/>
        <v>0</v>
      </c>
      <c r="R828">
        <f t="shared" si="100"/>
        <v>9.9927097743887638E-3</v>
      </c>
      <c r="S828">
        <f t="array" ref="S828">+$B$2*SIN(R828*$B$3+$B$4)+0*R828+ SUM($J$2:$J$20*SIN(2*PI()*N828*$I$2:$I$20+$K$2:$K$20))</f>
        <v>2.6774038831684364E-2</v>
      </c>
      <c r="U828" s="3">
        <f t="shared" si="104"/>
        <v>1948.8333333332707</v>
      </c>
      <c r="V828" s="3">
        <f t="shared" si="105"/>
        <v>0.37361800000000001</v>
      </c>
      <c r="Z828" s="1">
        <v>1948.875</v>
      </c>
      <c r="AA828" s="2">
        <f t="shared" si="101"/>
        <v>1.122994</v>
      </c>
      <c r="AB828">
        <v>56.149700000000003</v>
      </c>
      <c r="AE828">
        <v>1948.8333333332707</v>
      </c>
      <c r="AF828">
        <v>2.6774038831684364E-2</v>
      </c>
    </row>
    <row r="829" spans="4:32" x14ac:dyDescent="0.35">
      <c r="D829">
        <v>0.91451800000000005</v>
      </c>
      <c r="M829">
        <f t="shared" si="102"/>
        <v>828</v>
      </c>
      <c r="N829">
        <f t="shared" si="103"/>
        <v>1948.916666666604</v>
      </c>
      <c r="O829">
        <f t="shared" si="98"/>
        <v>0</v>
      </c>
      <c r="P829">
        <f t="array" ref="P829">+SUM($G$2:$G$18*SIN(2*PI()*(N829)*$B$1/$F$2:$F$18+$H$2:$H$18))</f>
        <v>2.749047224471729E-2</v>
      </c>
      <c r="Q829">
        <f t="shared" si="99"/>
        <v>0</v>
      </c>
      <c r="R829">
        <f t="shared" si="100"/>
        <v>9.9773395784806974E-3</v>
      </c>
      <c r="S829">
        <f t="array" ref="S829">+$B$2*SIN(R829*$B$3+$B$4)+0*R829+ SUM($J$2:$J$20*SIN(2*PI()*N829*$I$2:$I$20+$K$2:$K$20))</f>
        <v>2.459776285421162E-2</v>
      </c>
      <c r="U829" s="3">
        <f t="shared" si="104"/>
        <v>1948.916666666604</v>
      </c>
      <c r="V829" s="3">
        <f t="shared" si="105"/>
        <v>0.50829400000000002</v>
      </c>
      <c r="Z829" s="1">
        <v>1948.9583</v>
      </c>
      <c r="AA829" s="2">
        <f t="shared" si="101"/>
        <v>1.365316</v>
      </c>
      <c r="AB829">
        <v>68.265799999999999</v>
      </c>
      <c r="AE829">
        <v>1948.916666666604</v>
      </c>
      <c r="AF829">
        <v>2.459776285421162E-2</v>
      </c>
    </row>
    <row r="830" spans="4:32" x14ac:dyDescent="0.35">
      <c r="D830">
        <v>1.122994</v>
      </c>
      <c r="M830">
        <f t="shared" si="102"/>
        <v>829</v>
      </c>
      <c r="N830">
        <f t="shared" si="103"/>
        <v>1948.9999999999372</v>
      </c>
      <c r="O830">
        <f t="shared" si="98"/>
        <v>36.637715116165623</v>
      </c>
      <c r="P830">
        <f t="array" ref="P830">+SUM($G$2:$G$18*SIN(2*PI()*(N830)*$B$1/$F$2:$F$18+$H$2:$H$18))</f>
        <v>6.6853577675089787E-2</v>
      </c>
      <c r="Q830">
        <f t="shared" si="99"/>
        <v>2.4493623333563899</v>
      </c>
      <c r="R830">
        <f t="shared" si="100"/>
        <v>1.372945748204079E-2</v>
      </c>
      <c r="S830">
        <f t="array" ref="S830">+$B$2*SIN(R830*$B$3+$B$4)+0*R830+ SUM($J$2:$J$20*SIN(2*PI()*N830*$I$2:$I$20+$K$2:$K$20))</f>
        <v>0.50693379219932888</v>
      </c>
      <c r="U830" s="3">
        <f t="shared" si="104"/>
        <v>1948.9999999999372</v>
      </c>
      <c r="V830" s="3">
        <f t="shared" si="105"/>
        <v>0.48758800000000002</v>
      </c>
      <c r="Z830" s="1">
        <v>1949.0417</v>
      </c>
      <c r="AA830" s="2">
        <f t="shared" si="101"/>
        <v>1.2599420000000001</v>
      </c>
      <c r="AB830">
        <v>62.997100000000003</v>
      </c>
      <c r="AE830">
        <v>1948.9999999999372</v>
      </c>
      <c r="AF830">
        <v>0.50693379219932888</v>
      </c>
    </row>
    <row r="831" spans="4:32" x14ac:dyDescent="0.35">
      <c r="D831">
        <v>1.365316</v>
      </c>
      <c r="M831">
        <f t="shared" si="102"/>
        <v>830</v>
      </c>
      <c r="N831">
        <f t="shared" si="103"/>
        <v>1949.0833333332705</v>
      </c>
      <c r="O831">
        <f t="shared" si="98"/>
        <v>0</v>
      </c>
      <c r="P831">
        <f t="array" ref="P831">+SUM($G$2:$G$18*SIN(2*PI()*(N831)*$B$1/$F$2:$F$18+$H$2:$H$18))</f>
        <v>4.0379942176070813E-2</v>
      </c>
      <c r="Q831">
        <f t="shared" si="99"/>
        <v>0</v>
      </c>
      <c r="R831">
        <f t="shared" si="100"/>
        <v>1.3708339641537578E-2</v>
      </c>
      <c r="S831">
        <f t="array" ref="S831">+$B$2*SIN(R831*$B$3+$B$4)+0*R831+ SUM($J$2:$J$20*SIN(2*PI()*N831*$I$2:$I$20+$K$2:$K$20))</f>
        <v>0.50471815655375063</v>
      </c>
      <c r="U831" s="3">
        <f t="shared" si="104"/>
        <v>1949.0833333332705</v>
      </c>
      <c r="V831" s="3">
        <f t="shared" si="105"/>
        <v>0.517648</v>
      </c>
      <c r="Z831" s="1">
        <v>1949.125</v>
      </c>
      <c r="AA831" s="2">
        <f t="shared" si="101"/>
        <v>1.3314920000000001</v>
      </c>
      <c r="AB831">
        <v>66.574600000000004</v>
      </c>
      <c r="AE831">
        <v>1949.0833333332705</v>
      </c>
      <c r="AF831">
        <v>0.50471815655375063</v>
      </c>
    </row>
    <row r="832" spans="4:32" x14ac:dyDescent="0.35">
      <c r="D832">
        <v>1.2599420000000001</v>
      </c>
      <c r="M832">
        <f t="shared" si="102"/>
        <v>831</v>
      </c>
      <c r="N832">
        <f t="shared" si="103"/>
        <v>1949.1666666666038</v>
      </c>
      <c r="O832">
        <f t="shared" si="98"/>
        <v>0</v>
      </c>
      <c r="P832">
        <f t="array" ref="P832">+SUM($G$2:$G$18*SIN(2*PI()*(N832)*$B$1/$F$2:$F$18+$H$2:$H$18))</f>
        <v>-0.54276489280671147</v>
      </c>
      <c r="Q832">
        <f t="shared" si="99"/>
        <v>0</v>
      </c>
      <c r="R832">
        <f t="shared" si="100"/>
        <v>1.3687254283249203E-2</v>
      </c>
      <c r="S832">
        <f t="array" ref="S832">+$B$2*SIN(R832*$B$3+$B$4)+0*R832+ SUM($J$2:$J$20*SIN(2*PI()*N832*$I$2:$I$20+$K$2:$K$20))</f>
        <v>0.50249797386636808</v>
      </c>
      <c r="U832" s="3">
        <f t="shared" si="104"/>
        <v>1949.1666666666038</v>
      </c>
      <c r="V832" s="3">
        <f t="shared" si="105"/>
        <v>0.59847600000000001</v>
      </c>
      <c r="Z832" s="1">
        <v>1949.2083</v>
      </c>
      <c r="AA832" s="2">
        <f t="shared" si="101"/>
        <v>1.152272</v>
      </c>
      <c r="AB832">
        <v>57.613599999999998</v>
      </c>
      <c r="AE832">
        <v>1949.1666666666038</v>
      </c>
      <c r="AF832">
        <v>0.50249797386636808</v>
      </c>
    </row>
    <row r="833" spans="4:32" x14ac:dyDescent="0.35">
      <c r="D833">
        <v>1.3314920000000001</v>
      </c>
      <c r="M833">
        <f t="shared" si="102"/>
        <v>832</v>
      </c>
      <c r="N833">
        <f t="shared" si="103"/>
        <v>1949.249999999937</v>
      </c>
      <c r="O833">
        <f t="shared" si="98"/>
        <v>0</v>
      </c>
      <c r="P833">
        <f t="array" ref="P833">+SUM($G$2:$G$18*SIN(2*PI()*(N833)*$B$1/$F$2:$F$18+$H$2:$H$18))</f>
        <v>-1.0120087449212558</v>
      </c>
      <c r="Q833">
        <f t="shared" si="99"/>
        <v>0</v>
      </c>
      <c r="R833">
        <f t="shared" si="100"/>
        <v>1.3666201357213439E-2</v>
      </c>
      <c r="S833">
        <f t="array" ref="S833">+$B$2*SIN(R833*$B$3+$B$4)+0*R833+ SUM($J$2:$J$20*SIN(2*PI()*N833*$I$2:$I$20+$K$2:$K$20))</f>
        <v>0.50027331046937618</v>
      </c>
      <c r="U833" s="3">
        <f t="shared" si="104"/>
        <v>1949.249999999937</v>
      </c>
      <c r="V833" s="3">
        <f t="shared" si="105"/>
        <v>0.85622600000000004</v>
      </c>
      <c r="Z833" s="1">
        <v>1949.2917</v>
      </c>
      <c r="AA833" s="2">
        <f t="shared" si="101"/>
        <v>0.84227799999999997</v>
      </c>
      <c r="AB833">
        <v>42.113900000000001</v>
      </c>
      <c r="AE833">
        <v>1949.249999999937</v>
      </c>
      <c r="AF833">
        <v>0.50027331046937618</v>
      </c>
    </row>
    <row r="834" spans="4:32" x14ac:dyDescent="0.35">
      <c r="D834">
        <v>1.152272</v>
      </c>
      <c r="M834">
        <f t="shared" si="102"/>
        <v>833</v>
      </c>
      <c r="N834">
        <f t="shared" si="103"/>
        <v>1949.3333333332703</v>
      </c>
      <c r="O834">
        <f t="shared" ref="O834:O897" si="106">+IF(MOD(M834,$B$5)=1, $B$6, 0)</f>
        <v>0</v>
      </c>
      <c r="P834">
        <f t="array" ref="P834">+SUM($G$2:$G$18*SIN(2*PI()*(N834)*$B$1/$F$2:$F$18+$H$2:$H$18))</f>
        <v>-0.62099689769217914</v>
      </c>
      <c r="Q834">
        <f t="shared" si="99"/>
        <v>0</v>
      </c>
      <c r="R834">
        <f t="shared" si="100"/>
        <v>1.3645180813544912E-2</v>
      </c>
      <c r="S834">
        <f t="array" ref="S834">+$B$2*SIN(R834*$B$3+$B$4)+0*R834+ SUM($J$2:$J$20*SIN(2*PI()*N834*$I$2:$I$20+$K$2:$K$20))</f>
        <v>0.4980442323734971</v>
      </c>
      <c r="U834" s="3">
        <f t="shared" si="104"/>
        <v>1949.3333333332703</v>
      </c>
      <c r="V834" s="3">
        <f t="shared" si="105"/>
        <v>0.90782200000000002</v>
      </c>
      <c r="Z834" s="1">
        <v>1949.375</v>
      </c>
      <c r="AA834" s="2">
        <f t="shared" si="101"/>
        <v>0.70920799999999995</v>
      </c>
      <c r="AB834">
        <v>35.4604</v>
      </c>
      <c r="AE834">
        <v>1949.3333333332703</v>
      </c>
      <c r="AF834">
        <v>0.4980442323734971</v>
      </c>
    </row>
    <row r="835" spans="4:32" x14ac:dyDescent="0.35">
      <c r="D835">
        <v>0.84227799999999997</v>
      </c>
      <c r="M835">
        <f t="shared" si="102"/>
        <v>834</v>
      </c>
      <c r="N835">
        <f t="shared" si="103"/>
        <v>1949.4166666666035</v>
      </c>
      <c r="O835">
        <f t="shared" si="106"/>
        <v>0</v>
      </c>
      <c r="P835">
        <f t="array" ref="P835">+SUM($G$2:$G$18*SIN(2*PI()*(N835)*$B$1/$F$2:$F$18+$H$2:$H$18))</f>
        <v>1.702698087511758E-2</v>
      </c>
      <c r="Q835">
        <f t="shared" ref="Q835:Q898" si="107">+O835*P835</f>
        <v>0</v>
      </c>
      <c r="R835">
        <f t="shared" ref="R835:R898" si="108">+(1-$B$7)*R834+($B$7)*Q835</f>
        <v>1.3624192602434977E-2</v>
      </c>
      <c r="S835">
        <f t="array" ref="S835">+$B$2*SIN(R835*$B$3+$B$4)+0*R835+ SUM($J$2:$J$20*SIN(2*PI()*N835*$I$2:$I$20+$K$2:$K$20))</f>
        <v>0.49581080526801408</v>
      </c>
      <c r="U835" s="3">
        <f t="shared" si="104"/>
        <v>1949.4166666666035</v>
      </c>
      <c r="V835" s="3">
        <f t="shared" si="105"/>
        <v>0.97941599999999995</v>
      </c>
      <c r="Z835" s="1">
        <v>1949.4583</v>
      </c>
      <c r="AA835" s="2">
        <f t="shared" ref="AA835:AA898" si="109">+AB835/50</f>
        <v>0.69459999999999988</v>
      </c>
      <c r="AB835">
        <v>34.729999999999997</v>
      </c>
      <c r="AE835">
        <v>1949.4166666666035</v>
      </c>
      <c r="AF835">
        <v>0.49581080526801408</v>
      </c>
    </row>
    <row r="836" spans="4:32" x14ac:dyDescent="0.35">
      <c r="D836">
        <v>0.70920799999999995</v>
      </c>
      <c r="M836">
        <f t="shared" ref="M836:M899" si="110">+M835+1</f>
        <v>835</v>
      </c>
      <c r="N836">
        <f t="shared" ref="N836:N899" si="111">+N835+1/12</f>
        <v>1949.4999999999368</v>
      </c>
      <c r="O836">
        <f t="shared" si="106"/>
        <v>0</v>
      </c>
      <c r="P836">
        <f t="array" ref="P836">+SUM($G$2:$G$18*SIN(2*PI()*(N836)*$B$1/$F$2:$F$18+$H$2:$H$18))</f>
        <v>0.21193741792199494</v>
      </c>
      <c r="Q836">
        <f t="shared" si="107"/>
        <v>0</v>
      </c>
      <c r="R836">
        <f t="shared" si="108"/>
        <v>1.3603236674151604E-2</v>
      </c>
      <c r="S836">
        <f t="array" ref="S836">+$B$2*SIN(R836*$B$3+$B$4)+0*R836+ SUM($J$2:$J$20*SIN(2*PI()*N836*$I$2:$I$20+$K$2:$K$20))</f>
        <v>0.49357309452082643</v>
      </c>
      <c r="U836" s="3">
        <f t="shared" si="104"/>
        <v>1949.4999999999368</v>
      </c>
      <c r="V836" s="3">
        <f t="shared" si="105"/>
        <v>0.87254799999999999</v>
      </c>
      <c r="Z836" s="1">
        <v>1949.5417</v>
      </c>
      <c r="AA836" s="2">
        <f t="shared" si="109"/>
        <v>0.84921800000000003</v>
      </c>
      <c r="AB836">
        <v>42.460900000000002</v>
      </c>
      <c r="AE836">
        <v>1949.4999999999368</v>
      </c>
      <c r="AF836">
        <v>0.49357309452082643</v>
      </c>
    </row>
    <row r="837" spans="4:32" x14ac:dyDescent="0.35">
      <c r="D837">
        <v>0.69459999999999988</v>
      </c>
      <c r="M837">
        <f t="shared" si="110"/>
        <v>836</v>
      </c>
      <c r="N837">
        <f t="shared" si="111"/>
        <v>1949.58333333327</v>
      </c>
      <c r="O837">
        <f t="shared" si="106"/>
        <v>0</v>
      </c>
      <c r="P837">
        <f t="array" ref="P837">+SUM($G$2:$G$18*SIN(2*PI()*(N837)*$B$1/$F$2:$F$18+$H$2:$H$18))</f>
        <v>-1.5527827803643895E-2</v>
      </c>
      <c r="Q837">
        <f t="shared" si="107"/>
        <v>0</v>
      </c>
      <c r="R837">
        <f t="shared" si="108"/>
        <v>1.3582312979039255E-2</v>
      </c>
      <c r="S837">
        <f t="array" ref="S837">+$B$2*SIN(R837*$B$3+$B$4)+0*R837+ SUM($J$2:$J$20*SIN(2*PI()*N837*$I$2:$I$20+$K$2:$K$20))</f>
        <v>0.49133116517851821</v>
      </c>
      <c r="U837" s="3">
        <f t="shared" si="104"/>
        <v>1949.58333333327</v>
      </c>
      <c r="V837" s="3">
        <f t="shared" si="105"/>
        <v>0.88721800000000006</v>
      </c>
      <c r="Z837" s="1">
        <v>1949.625</v>
      </c>
      <c r="AA837" s="2">
        <f t="shared" si="109"/>
        <v>0.8838379999999999</v>
      </c>
      <c r="AB837">
        <v>44.191899999999997</v>
      </c>
      <c r="AE837">
        <v>1949.58333333327</v>
      </c>
      <c r="AF837">
        <v>0.49133116517851821</v>
      </c>
    </row>
    <row r="838" spans="4:32" x14ac:dyDescent="0.35">
      <c r="D838">
        <v>0.84921800000000003</v>
      </c>
      <c r="M838">
        <f t="shared" si="110"/>
        <v>837</v>
      </c>
      <c r="N838">
        <f t="shared" si="111"/>
        <v>1949.6666666666033</v>
      </c>
      <c r="O838">
        <f t="shared" si="106"/>
        <v>0</v>
      </c>
      <c r="P838">
        <f t="array" ref="P838">+SUM($G$2:$G$18*SIN(2*PI()*(N838)*$B$1/$F$2:$F$18+$H$2:$H$18))</f>
        <v>-0.23394554259450814</v>
      </c>
      <c r="Q838">
        <f t="shared" si="107"/>
        <v>0</v>
      </c>
      <c r="R838">
        <f t="shared" si="108"/>
        <v>1.3561421467518771E-2</v>
      </c>
      <c r="S838">
        <f t="array" ref="S838">+$B$2*SIN(R838*$B$3+$B$4)+0*R838+ SUM($J$2:$J$20*SIN(2*PI()*N838*$I$2:$I$20+$K$2:$K$20))</f>
        <v>0.48908508196644462</v>
      </c>
      <c r="U838" s="3">
        <f t="shared" si="104"/>
        <v>1949.6666666666033</v>
      </c>
      <c r="V838" s="3">
        <f t="shared" si="105"/>
        <v>0.84650000000000003</v>
      </c>
      <c r="Z838" s="1">
        <v>1949.7083</v>
      </c>
      <c r="AA838" s="2">
        <f t="shared" si="109"/>
        <v>0.73845799999999995</v>
      </c>
      <c r="AB838">
        <v>36.922899999999998</v>
      </c>
      <c r="AE838">
        <v>1949.6666666666033</v>
      </c>
      <c r="AF838">
        <v>0.48908508196644462</v>
      </c>
    </row>
    <row r="839" spans="4:32" x14ac:dyDescent="0.35">
      <c r="D839">
        <v>0.8838379999999999</v>
      </c>
      <c r="M839">
        <f t="shared" si="110"/>
        <v>838</v>
      </c>
      <c r="N839">
        <f t="shared" si="111"/>
        <v>1949.7499999999366</v>
      </c>
      <c r="O839">
        <f t="shared" si="106"/>
        <v>0</v>
      </c>
      <c r="P839">
        <f t="array" ref="P839">+SUM($G$2:$G$18*SIN(2*PI()*(N839)*$B$1/$F$2:$F$18+$H$2:$H$18))</f>
        <v>-6.4073650274318619E-2</v>
      </c>
      <c r="Q839">
        <f t="shared" si="107"/>
        <v>0</v>
      </c>
      <c r="R839">
        <f t="shared" si="108"/>
        <v>1.3540562090087251E-2</v>
      </c>
      <c r="S839">
        <f t="array" ref="S839">+$B$2*SIN(R839*$B$3+$B$4)+0*R839+ SUM($J$2:$J$20*SIN(2*PI()*N839*$I$2:$I$20+$K$2:$K$20))</f>
        <v>0.48683490928883449</v>
      </c>
      <c r="U839" s="3">
        <f t="shared" si="104"/>
        <v>1949.7499999999366</v>
      </c>
      <c r="V839" s="3">
        <f t="shared" si="105"/>
        <v>0.79962800000000001</v>
      </c>
      <c r="Z839" s="1">
        <v>1949.7917</v>
      </c>
      <c r="AA839" s="2">
        <f t="shared" si="109"/>
        <v>0.62384200000000001</v>
      </c>
      <c r="AB839">
        <v>31.1921</v>
      </c>
      <c r="AE839">
        <v>1949.7499999999366</v>
      </c>
      <c r="AF839">
        <v>0.48683490928883449</v>
      </c>
    </row>
    <row r="840" spans="4:32" x14ac:dyDescent="0.35">
      <c r="D840">
        <v>0.73845799999999995</v>
      </c>
      <c r="M840">
        <f t="shared" si="110"/>
        <v>839</v>
      </c>
      <c r="N840">
        <f t="shared" si="111"/>
        <v>1949.8333333332698</v>
      </c>
      <c r="O840">
        <f t="shared" si="106"/>
        <v>0</v>
      </c>
      <c r="P840">
        <f t="array" ref="P840">+SUM($G$2:$G$18*SIN(2*PI()*(N840)*$B$1/$F$2:$F$18+$H$2:$H$18))</f>
        <v>-7.3634072034909737E-2</v>
      </c>
      <c r="Q840">
        <f t="shared" si="107"/>
        <v>0</v>
      </c>
      <c r="R840">
        <f t="shared" si="108"/>
        <v>1.3519734797317938E-2</v>
      </c>
      <c r="S840">
        <f t="array" ref="S840">+$B$2*SIN(R840*$B$3+$B$4)+0*R840+ SUM($J$2:$J$20*SIN(2*PI()*N840*$I$2:$I$20+$K$2:$K$20))</f>
        <v>0.48458071122890922</v>
      </c>
      <c r="U840" s="3">
        <f t="shared" si="104"/>
        <v>1949.8333333332698</v>
      </c>
      <c r="V840" s="3">
        <f t="shared" si="105"/>
        <v>0.648142</v>
      </c>
      <c r="Z840" s="1">
        <v>1949.875</v>
      </c>
      <c r="AA840" s="2">
        <f t="shared" si="109"/>
        <v>0.52768999999999999</v>
      </c>
      <c r="AB840">
        <v>26.384499999999999</v>
      </c>
      <c r="AE840">
        <v>1949.8333333332698</v>
      </c>
      <c r="AF840">
        <v>0.48458071122890922</v>
      </c>
    </row>
    <row r="841" spans="4:32" x14ac:dyDescent="0.35">
      <c r="D841">
        <v>0.62384200000000001</v>
      </c>
      <c r="M841">
        <f t="shared" si="110"/>
        <v>840</v>
      </c>
      <c r="N841">
        <f t="shared" si="111"/>
        <v>1949.9166666666031</v>
      </c>
      <c r="O841">
        <f t="shared" si="106"/>
        <v>0</v>
      </c>
      <c r="P841">
        <f t="array" ref="P841">+SUM($G$2:$G$18*SIN(2*PI()*(N841)*$B$1/$F$2:$F$18+$H$2:$H$18))</f>
        <v>-0.69695551441023296</v>
      </c>
      <c r="Q841">
        <f t="shared" si="107"/>
        <v>0</v>
      </c>
      <c r="R841">
        <f t="shared" si="108"/>
        <v>1.3498939539860099E-2</v>
      </c>
      <c r="S841">
        <f t="array" ref="S841">+$B$2*SIN(R841*$B$3+$B$4)+0*R841+ SUM($J$2:$J$20*SIN(2*PI()*N841*$I$2:$I$20+$K$2:$K$20))</f>
        <v>0.48232255154901676</v>
      </c>
      <c r="U841" s="3">
        <f t="shared" si="104"/>
        <v>1949.9166666666031</v>
      </c>
      <c r="V841" s="3">
        <f t="shared" si="105"/>
        <v>0.68587999999999993</v>
      </c>
      <c r="Z841" s="1">
        <v>1949.9583</v>
      </c>
      <c r="AA841" s="2">
        <f t="shared" si="109"/>
        <v>0.50845999999999991</v>
      </c>
      <c r="AB841">
        <v>25.422999999999998</v>
      </c>
      <c r="AE841">
        <v>1949.9166666666031</v>
      </c>
      <c r="AF841">
        <v>0.48232255154901676</v>
      </c>
    </row>
    <row r="842" spans="4:32" x14ac:dyDescent="0.35">
      <c r="D842">
        <v>0.52768999999999999</v>
      </c>
      <c r="M842">
        <f t="shared" si="110"/>
        <v>841</v>
      </c>
      <c r="N842">
        <f t="shared" si="111"/>
        <v>1949.9999999999363</v>
      </c>
      <c r="O842">
        <f t="shared" si="106"/>
        <v>36.637715116165623</v>
      </c>
      <c r="P842">
        <f t="array" ref="P842">+SUM($G$2:$G$18*SIN(2*PI()*(N842)*$B$1/$F$2:$F$18+$H$2:$H$18))</f>
        <v>-0.91721530243507998</v>
      </c>
      <c r="Q842">
        <f t="shared" si="107"/>
        <v>-33.604672950804151</v>
      </c>
      <c r="R842">
        <f t="shared" si="108"/>
        <v>-3.8210546644756718E-2</v>
      </c>
      <c r="S842">
        <f t="array" ref="S842">+$B$2*SIN(R842*$B$3+$B$4)+0*R842+ SUM($J$2:$J$20*SIN(2*PI()*N842*$I$2:$I$20+$K$2:$K$20))</f>
        <v>-0.28473388062266225</v>
      </c>
      <c r="U842" s="3">
        <f t="shared" si="104"/>
        <v>1949.9999999999363</v>
      </c>
      <c r="V842" s="3">
        <f t="shared" si="105"/>
        <v>0.30208400000000002</v>
      </c>
      <c r="Z842" s="1">
        <v>1950.0417</v>
      </c>
      <c r="AA842" s="2">
        <f t="shared" si="109"/>
        <v>0.47230200000000006</v>
      </c>
      <c r="AB842">
        <v>23.615100000000002</v>
      </c>
      <c r="AE842">
        <v>1949.9999999999363</v>
      </c>
      <c r="AF842">
        <v>-0.28473388062266225</v>
      </c>
    </row>
    <row r="843" spans="4:32" x14ac:dyDescent="0.35">
      <c r="D843">
        <v>0.50845999999999991</v>
      </c>
      <c r="M843">
        <f t="shared" si="110"/>
        <v>842</v>
      </c>
      <c r="N843">
        <f t="shared" si="111"/>
        <v>1950.0833333332696</v>
      </c>
      <c r="O843">
        <f t="shared" si="106"/>
        <v>0</v>
      </c>
      <c r="P843">
        <f t="array" ref="P843">+SUM($G$2:$G$18*SIN(2*PI()*(N843)*$B$1/$F$2:$F$18+$H$2:$H$18))</f>
        <v>-0.20959234042611277</v>
      </c>
      <c r="Q843">
        <f t="shared" si="107"/>
        <v>0</v>
      </c>
      <c r="R843">
        <f t="shared" si="108"/>
        <v>-3.8151773438995305E-2</v>
      </c>
      <c r="S843">
        <f t="array" ref="S843">+$B$2*SIN(R843*$B$3+$B$4)+0*R843+ SUM($J$2:$J$20*SIN(2*PI()*N843*$I$2:$I$20+$K$2:$K$20))</f>
        <v>-0.29242419622611998</v>
      </c>
      <c r="U843" s="3">
        <f t="shared" si="104"/>
        <v>1950.0833333332696</v>
      </c>
      <c r="V843" s="3">
        <f t="shared" si="105"/>
        <v>-0.169408</v>
      </c>
      <c r="Z843" s="1">
        <v>1950.125</v>
      </c>
      <c r="AA843" s="2">
        <f t="shared" si="109"/>
        <v>0.56383800000000006</v>
      </c>
      <c r="AB843">
        <v>28.1919</v>
      </c>
      <c r="AE843">
        <v>1950.0833333332696</v>
      </c>
      <c r="AF843">
        <v>-0.29242419622611998</v>
      </c>
    </row>
    <row r="844" spans="4:32" x14ac:dyDescent="0.35">
      <c r="D844">
        <v>0.47230200000000006</v>
      </c>
      <c r="M844">
        <f t="shared" si="110"/>
        <v>843</v>
      </c>
      <c r="N844">
        <f t="shared" si="111"/>
        <v>1950.1666666666029</v>
      </c>
      <c r="O844">
        <f t="shared" si="106"/>
        <v>0</v>
      </c>
      <c r="P844">
        <f t="array" ref="P844">+SUM($G$2:$G$18*SIN(2*PI()*(N844)*$B$1/$F$2:$F$18+$H$2:$H$18))</f>
        <v>0.46822920233236365</v>
      </c>
      <c r="Q844">
        <f t="shared" si="107"/>
        <v>0</v>
      </c>
      <c r="R844">
        <f t="shared" si="108"/>
        <v>-3.8093090634707276E-2</v>
      </c>
      <c r="S844">
        <f t="array" ref="S844">+$B$2*SIN(R844*$B$3+$B$4)+0*R844+ SUM($J$2:$J$20*SIN(2*PI()*N844*$I$2:$I$20+$K$2:$K$20))</f>
        <v>-0.30006698423128281</v>
      </c>
      <c r="U844" s="3">
        <f t="shared" si="104"/>
        <v>1950.1666666666029</v>
      </c>
      <c r="V844" s="3">
        <f t="shared" si="105"/>
        <v>-0.71167199999999997</v>
      </c>
      <c r="Z844" s="1">
        <v>1950.2083</v>
      </c>
      <c r="AA844" s="2">
        <f t="shared" si="109"/>
        <v>0.36768000000000001</v>
      </c>
      <c r="AB844">
        <v>18.384</v>
      </c>
      <c r="AE844">
        <v>1950.1666666666029</v>
      </c>
      <c r="AF844">
        <v>-0.30006698423128281</v>
      </c>
    </row>
    <row r="845" spans="4:32" x14ac:dyDescent="0.35">
      <c r="D845">
        <v>0.56383800000000006</v>
      </c>
      <c r="M845">
        <f t="shared" si="110"/>
        <v>844</v>
      </c>
      <c r="N845">
        <f t="shared" si="111"/>
        <v>1950.2499999999361</v>
      </c>
      <c r="O845">
        <f t="shared" si="106"/>
        <v>0</v>
      </c>
      <c r="P845">
        <f t="array" ref="P845">+SUM($G$2:$G$18*SIN(2*PI()*(N845)*$B$1/$F$2:$F$18+$H$2:$H$18))</f>
        <v>0.44941879173852739</v>
      </c>
      <c r="Q845">
        <f t="shared" si="107"/>
        <v>0</v>
      </c>
      <c r="R845">
        <f t="shared" si="108"/>
        <v>-3.8034498092842428E-2</v>
      </c>
      <c r="S845">
        <f t="array" ref="S845">+$B$2*SIN(R845*$B$3+$B$4)+0*R845+ SUM($J$2:$J$20*SIN(2*PI()*N845*$I$2:$I$20+$K$2:$K$20))</f>
        <v>-0.30766149730606079</v>
      </c>
      <c r="U845" s="3">
        <f t="shared" si="104"/>
        <v>1950.2499999999361</v>
      </c>
      <c r="V845" s="3">
        <f t="shared" si="105"/>
        <v>-1.1431640000000001</v>
      </c>
      <c r="Z845" s="1">
        <v>1950.2917</v>
      </c>
      <c r="AA845" s="2">
        <f t="shared" si="109"/>
        <v>0.66536600000000012</v>
      </c>
      <c r="AB845">
        <v>33.268300000000004</v>
      </c>
      <c r="AE845">
        <v>1950.2499999999361</v>
      </c>
      <c r="AF845">
        <v>-0.30766149730606079</v>
      </c>
    </row>
    <row r="846" spans="4:32" x14ac:dyDescent="0.35">
      <c r="D846">
        <v>0.36768000000000001</v>
      </c>
      <c r="M846">
        <f t="shared" si="110"/>
        <v>845</v>
      </c>
      <c r="N846">
        <f t="shared" si="111"/>
        <v>1950.3333333332694</v>
      </c>
      <c r="O846">
        <f t="shared" si="106"/>
        <v>0</v>
      </c>
      <c r="P846">
        <f t="array" ref="P846">+SUM($G$2:$G$18*SIN(2*PI()*(N846)*$B$1/$F$2:$F$18+$H$2:$H$18))</f>
        <v>-8.1711310499288092E-3</v>
      </c>
      <c r="Q846">
        <f t="shared" si="107"/>
        <v>0</v>
      </c>
      <c r="R846">
        <f t="shared" si="108"/>
        <v>-3.7975995674564431E-2</v>
      </c>
      <c r="S846">
        <f t="array" ref="S846">+$B$2*SIN(R846*$B$3+$B$4)+0*R846+ SUM($J$2:$J$20*SIN(2*PI()*N846*$I$2:$I$20+$K$2:$K$20))</f>
        <v>-0.31520700050624145</v>
      </c>
      <c r="U846" s="3">
        <f t="shared" si="104"/>
        <v>1950.3333333332694</v>
      </c>
      <c r="V846" s="3">
        <f t="shared" si="105"/>
        <v>-1.6023500000000002</v>
      </c>
      <c r="Z846" s="1">
        <v>1950.375</v>
      </c>
      <c r="AA846" s="2">
        <f t="shared" si="109"/>
        <v>0.87536000000000003</v>
      </c>
      <c r="AB846">
        <v>43.768000000000001</v>
      </c>
      <c r="AE846">
        <v>1950.3333333332694</v>
      </c>
      <c r="AF846">
        <v>-0.31520700050624145</v>
      </c>
    </row>
    <row r="847" spans="4:32" x14ac:dyDescent="0.35">
      <c r="D847">
        <v>0.66536600000000012</v>
      </c>
      <c r="M847">
        <f t="shared" si="110"/>
        <v>846</v>
      </c>
      <c r="N847">
        <f t="shared" si="111"/>
        <v>1950.4166666666026</v>
      </c>
      <c r="O847">
        <f t="shared" si="106"/>
        <v>0</v>
      </c>
      <c r="P847">
        <f t="array" ref="P847">+SUM($G$2:$G$18*SIN(2*PI()*(N847)*$B$1/$F$2:$F$18+$H$2:$H$18))</f>
        <v>-0.21233808921864417</v>
      </c>
      <c r="Q847">
        <f t="shared" si="107"/>
        <v>0</v>
      </c>
      <c r="R847">
        <f t="shared" si="108"/>
        <v>-3.7917583241250503E-2</v>
      </c>
      <c r="S847">
        <f t="array" ref="S847">+$B$2*SIN(R847*$B$3+$B$4)+0*R847+ SUM($J$2:$J$20*SIN(2*PI()*N847*$I$2:$I$20+$K$2:$K$20))</f>
        <v>-0.32270277126598523</v>
      </c>
      <c r="U847" s="3">
        <f t="shared" si="104"/>
        <v>1950.4166666666026</v>
      </c>
      <c r="V847" s="3">
        <f t="shared" si="105"/>
        <v>-1.601542</v>
      </c>
      <c r="Z847" s="1">
        <v>1950.4583</v>
      </c>
      <c r="AA847" s="2">
        <f t="shared" si="109"/>
        <v>0.79458399999999996</v>
      </c>
      <c r="AB847">
        <v>39.729199999999999</v>
      </c>
      <c r="AE847">
        <v>1950.4166666666026</v>
      </c>
      <c r="AF847">
        <v>-0.32270277126598523</v>
      </c>
    </row>
    <row r="848" spans="4:32" x14ac:dyDescent="0.35">
      <c r="D848">
        <v>0.87536000000000003</v>
      </c>
      <c r="M848">
        <f t="shared" si="110"/>
        <v>847</v>
      </c>
      <c r="N848">
        <f t="shared" si="111"/>
        <v>1950.4999999999359</v>
      </c>
      <c r="O848">
        <f t="shared" si="106"/>
        <v>0</v>
      </c>
      <c r="P848">
        <f t="array" ref="P848">+SUM($G$2:$G$18*SIN(2*PI()*(N848)*$B$1/$F$2:$F$18+$H$2:$H$18))</f>
        <v>6.9662141879049511E-2</v>
      </c>
      <c r="Q848">
        <f t="shared" si="107"/>
        <v>0</v>
      </c>
      <c r="R848">
        <f t="shared" si="108"/>
        <v>-3.7859260654491092E-2</v>
      </c>
      <c r="S848">
        <f t="array" ref="S848">+$B$2*SIN(R848*$B$3+$B$4)+0*R848+ SUM($J$2:$J$20*SIN(2*PI()*N848*$I$2:$I$20+$K$2:$K$20))</f>
        <v>-0.33014809938619477</v>
      </c>
      <c r="U848" s="3">
        <f t="shared" si="104"/>
        <v>1950.4999999999359</v>
      </c>
      <c r="V848" s="3">
        <f t="shared" si="105"/>
        <v>-1.8145760000000002</v>
      </c>
      <c r="Z848" s="1">
        <v>1950.5417</v>
      </c>
      <c r="AA848" s="2">
        <f t="shared" si="109"/>
        <v>0.67072799999999999</v>
      </c>
      <c r="AB848">
        <v>33.5364</v>
      </c>
      <c r="AE848">
        <v>1950.4999999999359</v>
      </c>
      <c r="AF848">
        <v>-0.33014809938619477</v>
      </c>
    </row>
    <row r="849" spans="4:32" x14ac:dyDescent="0.35">
      <c r="D849">
        <v>0.79458399999999996</v>
      </c>
      <c r="M849">
        <f t="shared" si="110"/>
        <v>848</v>
      </c>
      <c r="N849">
        <f t="shared" si="111"/>
        <v>1950.5833333332691</v>
      </c>
      <c r="O849">
        <f t="shared" si="106"/>
        <v>0</v>
      </c>
      <c r="P849">
        <f t="array" ref="P849">+SUM($G$2:$G$18*SIN(2*PI()*(N849)*$B$1/$F$2:$F$18+$H$2:$H$18))</f>
        <v>1.2882288117558871E-3</v>
      </c>
      <c r="Q849">
        <f t="shared" si="107"/>
        <v>0</v>
      </c>
      <c r="R849">
        <f t="shared" si="108"/>
        <v>-3.7801027776089534E-2</v>
      </c>
      <c r="S849">
        <f t="array" ref="S849">+$B$2*SIN(R849*$B$3+$B$4)+0*R849+ SUM($J$2:$J$20*SIN(2*PI()*N849*$I$2:$I$20+$K$2:$K$20))</f>
        <v>-0.33754228702078071</v>
      </c>
      <c r="U849" s="3">
        <f t="shared" si="104"/>
        <v>1950.5833333332691</v>
      </c>
      <c r="V849" s="3">
        <f t="shared" si="105"/>
        <v>-1.9076120000000001</v>
      </c>
      <c r="Z849" s="1">
        <v>1950.625</v>
      </c>
      <c r="AA849" s="2">
        <f t="shared" si="109"/>
        <v>0.21610399999999999</v>
      </c>
      <c r="AB849">
        <v>10.805199999999999</v>
      </c>
      <c r="AE849">
        <v>1950.5833333332691</v>
      </c>
      <c r="AF849">
        <v>-0.33754228702078071</v>
      </c>
    </row>
    <row r="850" spans="4:32" x14ac:dyDescent="0.35">
      <c r="D850">
        <v>0.67072799999999999</v>
      </c>
      <c r="M850">
        <f t="shared" si="110"/>
        <v>849</v>
      </c>
      <c r="N850">
        <f t="shared" si="111"/>
        <v>1950.6666666666024</v>
      </c>
      <c r="O850">
        <f t="shared" si="106"/>
        <v>0</v>
      </c>
      <c r="P850">
        <f t="array" ref="P850">+SUM($G$2:$G$18*SIN(2*PI()*(N850)*$B$1/$F$2:$F$18+$H$2:$H$18))</f>
        <v>-0.5616296060148388</v>
      </c>
      <c r="Q850">
        <f t="shared" si="107"/>
        <v>0</v>
      </c>
      <c r="R850">
        <f t="shared" si="108"/>
        <v>-3.7742884468061726E-2</v>
      </c>
      <c r="S850">
        <f t="array" ref="S850">+$B$2*SIN(R850*$B$3+$B$4)+0*R850+ SUM($J$2:$J$20*SIN(2*PI()*N850*$I$2:$I$20+$K$2:$K$20))</f>
        <v>-0.34488464866086099</v>
      </c>
      <c r="U850" s="3">
        <f t="shared" si="104"/>
        <v>1950.6666666666024</v>
      </c>
      <c r="V850" s="3">
        <f t="shared" si="105"/>
        <v>-1.9868060000000001</v>
      </c>
      <c r="Z850" s="1">
        <v>1950.7083</v>
      </c>
      <c r="AA850" s="2">
        <f t="shared" si="109"/>
        <v>1.6864000000000001E-2</v>
      </c>
      <c r="AB850">
        <v>0.84319999999999995</v>
      </c>
      <c r="AE850">
        <v>1950.6666666666024</v>
      </c>
      <c r="AF850">
        <v>-0.34488464866086099</v>
      </c>
    </row>
    <row r="851" spans="4:32" x14ac:dyDescent="0.35">
      <c r="D851">
        <v>0.21610399999999999</v>
      </c>
      <c r="M851">
        <f t="shared" si="110"/>
        <v>850</v>
      </c>
      <c r="N851">
        <f t="shared" si="111"/>
        <v>1950.7499999999357</v>
      </c>
      <c r="O851">
        <f t="shared" si="106"/>
        <v>0</v>
      </c>
      <c r="P851">
        <f t="array" ref="P851">+SUM($G$2:$G$18*SIN(2*PI()*(N851)*$B$1/$F$2:$F$18+$H$2:$H$18))</f>
        <v>-0.44331305272927141</v>
      </c>
      <c r="Q851">
        <f t="shared" si="107"/>
        <v>0</v>
      </c>
      <c r="R851">
        <f t="shared" si="108"/>
        <v>-3.7684830592635818E-2</v>
      </c>
      <c r="S851">
        <f t="array" ref="S851">+$B$2*SIN(R851*$B$3+$B$4)+0*R851+ SUM($J$2:$J$20*SIN(2*PI()*N851*$I$2:$I$20+$K$2:$K$20))</f>
        <v>-0.35217451111693121</v>
      </c>
      <c r="U851" s="3">
        <f t="shared" si="104"/>
        <v>1950.7499999999357</v>
      </c>
      <c r="V851" s="3">
        <f t="shared" si="105"/>
        <v>-2.0106139999999999</v>
      </c>
      <c r="Z851" s="1">
        <v>1950.7917</v>
      </c>
      <c r="AA851" s="2">
        <f t="shared" si="109"/>
        <v>-9.7766000000000006E-2</v>
      </c>
      <c r="AB851">
        <v>-4.8883000000000001</v>
      </c>
      <c r="AE851">
        <v>1950.7499999999357</v>
      </c>
      <c r="AF851">
        <v>-0.35217451111693121</v>
      </c>
    </row>
    <row r="852" spans="4:32" x14ac:dyDescent="0.35">
      <c r="D852">
        <v>1.6864000000000001E-2</v>
      </c>
      <c r="M852">
        <f t="shared" si="110"/>
        <v>851</v>
      </c>
      <c r="N852">
        <f t="shared" si="111"/>
        <v>1950.8333333332689</v>
      </c>
      <c r="O852">
        <f t="shared" si="106"/>
        <v>0</v>
      </c>
      <c r="P852">
        <f t="array" ref="P852">+SUM($G$2:$G$18*SIN(2*PI()*(N852)*$B$1/$F$2:$F$18+$H$2:$H$18))</f>
        <v>0.44036632596944847</v>
      </c>
      <c r="Q852">
        <f t="shared" si="107"/>
        <v>0</v>
      </c>
      <c r="R852">
        <f t="shared" si="108"/>
        <v>-3.7626866012251861E-2</v>
      </c>
      <c r="S852">
        <f t="array" ref="S852">+$B$2*SIN(R852*$B$3+$B$4)+0*R852+ SUM($J$2:$J$20*SIN(2*PI()*N852*$I$2:$I$20+$K$2:$K$20))</f>
        <v>-0.35941121349902888</v>
      </c>
      <c r="U852" s="3">
        <f t="shared" si="104"/>
        <v>1950.8333333332689</v>
      </c>
      <c r="V852" s="3">
        <f t="shared" si="105"/>
        <v>-2.257498</v>
      </c>
      <c r="Z852" s="1">
        <v>1950.875</v>
      </c>
      <c r="AA852" s="2">
        <f t="shared" si="109"/>
        <v>-0.14316200000000001</v>
      </c>
      <c r="AB852">
        <v>-7.1581000000000001</v>
      </c>
      <c r="AE852">
        <v>1950.8333333332689</v>
      </c>
      <c r="AF852">
        <v>-0.35941121349902888</v>
      </c>
    </row>
    <row r="853" spans="4:32" x14ac:dyDescent="0.35">
      <c r="D853">
        <v>-9.7766000000000006E-2</v>
      </c>
      <c r="M853">
        <f t="shared" si="110"/>
        <v>852</v>
      </c>
      <c r="N853">
        <f t="shared" si="111"/>
        <v>1950.9166666666022</v>
      </c>
      <c r="O853">
        <f t="shared" si="106"/>
        <v>0</v>
      </c>
      <c r="P853">
        <f t="array" ref="P853">+SUM($G$2:$G$18*SIN(2*PI()*(N853)*$B$1/$F$2:$F$18+$H$2:$H$18))</f>
        <v>0.94062105186991818</v>
      </c>
      <c r="Q853">
        <f t="shared" si="107"/>
        <v>0</v>
      </c>
      <c r="R853">
        <f t="shared" si="108"/>
        <v>-3.75689905895615E-2</v>
      </c>
      <c r="S853">
        <f t="array" ref="S853">+$B$2*SIN(R853*$B$3+$B$4)+0*R853+ SUM($J$2:$J$20*SIN(2*PI()*N853*$I$2:$I$20+$K$2:$K$20))</f>
        <v>-0.3665941071949404</v>
      </c>
      <c r="U853" s="3">
        <f t="shared" si="104"/>
        <v>1950.9166666666022</v>
      </c>
      <c r="V853" s="3">
        <f t="shared" si="105"/>
        <v>-2.2720799999999999</v>
      </c>
      <c r="Z853" s="1">
        <v>1950.9583</v>
      </c>
      <c r="AA853" s="2">
        <f t="shared" si="109"/>
        <v>-0.17163799999999999</v>
      </c>
      <c r="AB853">
        <v>-8.5818999999999992</v>
      </c>
      <c r="AE853">
        <v>1950.9166666666022</v>
      </c>
      <c r="AF853">
        <v>-0.3665941071949404</v>
      </c>
    </row>
    <row r="854" spans="4:32" x14ac:dyDescent="0.35">
      <c r="D854">
        <v>-0.14316200000000001</v>
      </c>
      <c r="M854">
        <f t="shared" si="110"/>
        <v>853</v>
      </c>
      <c r="N854">
        <f t="shared" si="111"/>
        <v>1950.9999999999354</v>
      </c>
      <c r="O854">
        <f t="shared" si="106"/>
        <v>36.637715116165623</v>
      </c>
      <c r="P854">
        <f t="array" ref="P854">+SUM($G$2:$G$18*SIN(2*PI()*(N854)*$B$1/$F$2:$F$18+$H$2:$H$18))</f>
        <v>0.63336919070058317</v>
      </c>
      <c r="Q854">
        <f t="shared" si="107"/>
        <v>23.205199972244344</v>
      </c>
      <c r="R854">
        <f t="shared" si="108"/>
        <v>-1.8183363155523866E-3</v>
      </c>
      <c r="S854">
        <f t="array" ref="S854">+$B$2*SIN(R854*$B$3+$B$4)+0*R854+ SUM($J$2:$J$20*SIN(2*PI()*N854*$I$2:$I$20+$K$2:$K$20))</f>
        <v>-0.61411263930849203</v>
      </c>
      <c r="U854" s="3">
        <f t="shared" si="104"/>
        <v>1950.9999999999354</v>
      </c>
      <c r="V854" s="3">
        <f t="shared" si="105"/>
        <v>-2.4020459999999999</v>
      </c>
      <c r="Z854" s="1">
        <v>1951.0417</v>
      </c>
      <c r="AA854" s="2">
        <f t="shared" si="109"/>
        <v>-9.7040000000000001E-2</v>
      </c>
      <c r="AB854">
        <v>-4.8520000000000003</v>
      </c>
      <c r="AE854">
        <v>1950.9999999999354</v>
      </c>
      <c r="AF854">
        <v>-0.61411263930849203</v>
      </c>
    </row>
    <row r="855" spans="4:32" x14ac:dyDescent="0.35">
      <c r="D855">
        <v>-0.17163799999999999</v>
      </c>
      <c r="M855">
        <f t="shared" si="110"/>
        <v>854</v>
      </c>
      <c r="N855">
        <f t="shared" si="111"/>
        <v>1951.0833333332687</v>
      </c>
      <c r="O855">
        <f t="shared" si="106"/>
        <v>0</v>
      </c>
      <c r="P855">
        <f t="array" ref="P855">+SUM($G$2:$G$18*SIN(2*PI()*(N855)*$B$1/$F$2:$F$18+$H$2:$H$18))</f>
        <v>3.5984589127367961E-2</v>
      </c>
      <c r="Q855">
        <f t="shared" si="107"/>
        <v>0</v>
      </c>
      <c r="R855">
        <f t="shared" si="108"/>
        <v>-1.8155394580404809E-3</v>
      </c>
      <c r="S855">
        <f t="array" ref="S855">+$B$2*SIN(R855*$B$3+$B$4)+0*R855+ SUM($J$2:$J$20*SIN(2*PI()*N855*$I$2:$I$20+$K$2:$K$20))</f>
        <v>-0.61434168808269396</v>
      </c>
      <c r="U855" s="3">
        <f t="shared" si="104"/>
        <v>1951.0833333332687</v>
      </c>
      <c r="V855" s="3">
        <f t="shared" si="105"/>
        <v>-1.9535499999999999</v>
      </c>
      <c r="Z855" s="1">
        <v>1951.125</v>
      </c>
      <c r="AA855" s="2">
        <f t="shared" si="109"/>
        <v>-0.27321000000000001</v>
      </c>
      <c r="AB855">
        <v>-13.660500000000001</v>
      </c>
      <c r="AE855">
        <v>1951.0833333332687</v>
      </c>
      <c r="AF855">
        <v>-0.61434168808269396</v>
      </c>
    </row>
    <row r="856" spans="4:32" x14ac:dyDescent="0.35">
      <c r="D856">
        <v>-9.7040000000000001E-2</v>
      </c>
      <c r="M856">
        <f t="shared" si="110"/>
        <v>855</v>
      </c>
      <c r="N856">
        <f t="shared" si="111"/>
        <v>1951.1666666666019</v>
      </c>
      <c r="O856">
        <f t="shared" si="106"/>
        <v>0</v>
      </c>
      <c r="P856">
        <f t="array" ref="P856">+SUM($G$2:$G$18*SIN(2*PI()*(N856)*$B$1/$F$2:$F$18+$H$2:$H$18))</f>
        <v>-7.0105633453916585E-2</v>
      </c>
      <c r="Q856">
        <f t="shared" si="107"/>
        <v>0</v>
      </c>
      <c r="R856">
        <f t="shared" si="108"/>
        <v>-1.8127469024895905E-3</v>
      </c>
      <c r="S856">
        <f t="array" ref="S856">+$B$2*SIN(R856*$B$3+$B$4)+0*R856+ SUM($J$2:$J$20*SIN(2*PI()*N856*$I$2:$I$20+$K$2:$K$20))</f>
        <v>-0.6145702147066141</v>
      </c>
      <c r="U856" s="3">
        <f t="shared" si="104"/>
        <v>1951.1666666666019</v>
      </c>
      <c r="V856" s="3">
        <f t="shared" si="105"/>
        <v>-1.5281340000000001</v>
      </c>
      <c r="Z856" s="1">
        <v>1951.2083</v>
      </c>
      <c r="AA856" s="2">
        <f t="shared" si="109"/>
        <v>-0.30015000000000003</v>
      </c>
      <c r="AB856">
        <v>-15.0075</v>
      </c>
      <c r="AE856">
        <v>1951.1666666666019</v>
      </c>
      <c r="AF856">
        <v>-0.6145702147066141</v>
      </c>
    </row>
    <row r="857" spans="4:32" x14ac:dyDescent="0.35">
      <c r="D857">
        <v>-0.27321000000000001</v>
      </c>
      <c r="M857">
        <f t="shared" si="110"/>
        <v>856</v>
      </c>
      <c r="N857">
        <f t="shared" si="111"/>
        <v>1951.2499999999352</v>
      </c>
      <c r="O857">
        <f t="shared" si="106"/>
        <v>0</v>
      </c>
      <c r="P857">
        <f t="array" ref="P857">+SUM($G$2:$G$18*SIN(2*PI()*(N857)*$B$1/$F$2:$F$18+$H$2:$H$18))</f>
        <v>0.28171556692874128</v>
      </c>
      <c r="Q857">
        <f t="shared" si="107"/>
        <v>0</v>
      </c>
      <c r="R857">
        <f t="shared" si="108"/>
        <v>-1.8099586422826929E-3</v>
      </c>
      <c r="S857">
        <f t="array" ref="S857">+$B$2*SIN(R857*$B$3+$B$4)+0*R857+ SUM($J$2:$J$20*SIN(2*PI()*N857*$I$2:$I$20+$K$2:$K$20))</f>
        <v>-0.61479822044248622</v>
      </c>
      <c r="U857" s="3">
        <f t="shared" si="104"/>
        <v>1951.2499999999352</v>
      </c>
      <c r="V857" s="3">
        <f t="shared" si="105"/>
        <v>-1.1442559999999999</v>
      </c>
      <c r="Z857" s="1">
        <v>1951.2917</v>
      </c>
      <c r="AA857" s="2">
        <f t="shared" si="109"/>
        <v>-0.52093999999999996</v>
      </c>
      <c r="AB857">
        <v>-26.047000000000001</v>
      </c>
      <c r="AE857">
        <v>1951.2499999999352</v>
      </c>
      <c r="AF857">
        <v>-0.61479822044248622</v>
      </c>
    </row>
    <row r="858" spans="4:32" x14ac:dyDescent="0.35">
      <c r="D858">
        <v>-0.30015000000000003</v>
      </c>
      <c r="M858">
        <f t="shared" si="110"/>
        <v>857</v>
      </c>
      <c r="N858">
        <f t="shared" si="111"/>
        <v>1951.3333333332685</v>
      </c>
      <c r="O858">
        <f t="shared" si="106"/>
        <v>0</v>
      </c>
      <c r="P858">
        <f t="array" ref="P858">+SUM($G$2:$G$18*SIN(2*PI()*(N858)*$B$1/$F$2:$F$18+$H$2:$H$18))</f>
        <v>0.13625646202537905</v>
      </c>
      <c r="Q858">
        <f t="shared" si="107"/>
        <v>0</v>
      </c>
      <c r="R858">
        <f t="shared" si="108"/>
        <v>-1.8071746708129438E-3</v>
      </c>
      <c r="S858">
        <f t="array" ref="S858">+$B$2*SIN(R858*$B$3+$B$4)+0*R858+ SUM($J$2:$J$20*SIN(2*PI()*N858*$I$2:$I$20+$K$2:$K$20))</f>
        <v>-0.61502570654952737</v>
      </c>
      <c r="U858" s="3">
        <f t="shared" si="104"/>
        <v>1951.3333333332685</v>
      </c>
      <c r="V858" s="3">
        <f t="shared" si="105"/>
        <v>-0.96960999999999997</v>
      </c>
      <c r="Z858" s="1">
        <v>1951.375</v>
      </c>
      <c r="AA858" s="2">
        <f t="shared" si="109"/>
        <v>-1.0263420000000001</v>
      </c>
      <c r="AB858">
        <v>-51.317100000000003</v>
      </c>
      <c r="AE858">
        <v>1951.3333333332685</v>
      </c>
      <c r="AF858">
        <v>-0.61502570654952737</v>
      </c>
    </row>
    <row r="859" spans="4:32" x14ac:dyDescent="0.35">
      <c r="D859">
        <v>-0.52093999999999996</v>
      </c>
      <c r="M859">
        <f t="shared" si="110"/>
        <v>858</v>
      </c>
      <c r="N859">
        <f t="shared" si="111"/>
        <v>1951.4166666666017</v>
      </c>
      <c r="O859">
        <f t="shared" si="106"/>
        <v>0</v>
      </c>
      <c r="P859">
        <f t="array" ref="P859">+SUM($G$2:$G$18*SIN(2*PI()*(N859)*$B$1/$F$2:$F$18+$H$2:$H$18))</f>
        <v>-0.31038662824505958</v>
      </c>
      <c r="Q859">
        <f t="shared" si="107"/>
        <v>0</v>
      </c>
      <c r="R859">
        <f t="shared" si="108"/>
        <v>-1.8043949814836608E-3</v>
      </c>
      <c r="S859">
        <f t="array" ref="S859">+$B$2*SIN(R859*$B$3+$B$4)+0*R859+ SUM($J$2:$J$20*SIN(2*PI()*N859*$I$2:$I$20+$K$2:$K$20))</f>
        <v>-0.61525267428394492</v>
      </c>
      <c r="U859" s="3">
        <f t="shared" si="104"/>
        <v>1951.4166666666017</v>
      </c>
      <c r="V859" s="3">
        <f t="shared" si="105"/>
        <v>-0.7949679999999999</v>
      </c>
      <c r="Z859" s="1">
        <v>1951.4583</v>
      </c>
      <c r="AA859" s="2">
        <f t="shared" si="109"/>
        <v>-1.0579019999999999</v>
      </c>
      <c r="AB859">
        <v>-52.895099999999999</v>
      </c>
      <c r="AE859">
        <v>1951.4166666666017</v>
      </c>
      <c r="AF859">
        <v>-0.61525267428394492</v>
      </c>
    </row>
    <row r="860" spans="4:32" x14ac:dyDescent="0.35">
      <c r="D860">
        <v>-1.0263420000000001</v>
      </c>
      <c r="M860">
        <f t="shared" si="110"/>
        <v>859</v>
      </c>
      <c r="N860">
        <f t="shared" si="111"/>
        <v>1951.499999999935</v>
      </c>
      <c r="O860">
        <f t="shared" si="106"/>
        <v>0</v>
      </c>
      <c r="P860">
        <f t="array" ref="P860">+SUM($G$2:$G$18*SIN(2*PI()*(N860)*$B$1/$F$2:$F$18+$H$2:$H$18))</f>
        <v>6.7080133513315487E-2</v>
      </c>
      <c r="Q860">
        <f t="shared" si="107"/>
        <v>0</v>
      </c>
      <c r="R860">
        <f t="shared" si="108"/>
        <v>-1.8016195677083085E-3</v>
      </c>
      <c r="S860">
        <f t="array" ref="S860">+$B$2*SIN(R860*$B$3+$B$4)+0*R860+ SUM($J$2:$J$20*SIN(2*PI()*N860*$I$2:$I$20+$K$2:$K$20))</f>
        <v>-0.61547912489894241</v>
      </c>
      <c r="U860" s="3">
        <f t="shared" si="104"/>
        <v>1951.499999999935</v>
      </c>
      <c r="V860" s="3">
        <f t="shared" si="105"/>
        <v>-0.63417000000000001</v>
      </c>
      <c r="Z860" s="1">
        <v>1951.5417</v>
      </c>
      <c r="AA860" s="2">
        <f t="shared" si="109"/>
        <v>-0.87715599999999994</v>
      </c>
      <c r="AB860">
        <v>-43.857799999999997</v>
      </c>
      <c r="AE860">
        <v>1951.499999999935</v>
      </c>
      <c r="AF860">
        <v>-0.61547912489894241</v>
      </c>
    </row>
    <row r="861" spans="4:32" x14ac:dyDescent="0.35">
      <c r="D861">
        <v>-1.0579019999999999</v>
      </c>
      <c r="M861">
        <f t="shared" si="110"/>
        <v>860</v>
      </c>
      <c r="N861">
        <f t="shared" si="111"/>
        <v>1951.5833333332682</v>
      </c>
      <c r="O861">
        <f t="shared" si="106"/>
        <v>0</v>
      </c>
      <c r="P861">
        <f t="array" ref="P861">+SUM($G$2:$G$18*SIN(2*PI()*(N861)*$B$1/$F$2:$F$18+$H$2:$H$18))</f>
        <v>0.92978691836743466</v>
      </c>
      <c r="Q861">
        <f t="shared" si="107"/>
        <v>0</v>
      </c>
      <c r="R861">
        <f t="shared" si="108"/>
        <v>-1.7988484229104825E-3</v>
      </c>
      <c r="S861">
        <f t="array" ref="S861">+$B$2*SIN(R861*$B$3+$B$4)+0*R861+ SUM($J$2:$J$20*SIN(2*PI()*N861*$I$2:$I$20+$K$2:$K$20))</f>
        <v>-0.61570505964472633</v>
      </c>
      <c r="U861" s="3">
        <f t="shared" si="104"/>
        <v>1951.5833333332682</v>
      </c>
      <c r="V861" s="3">
        <f t="shared" si="105"/>
        <v>-0.36875799999999997</v>
      </c>
      <c r="Z861" s="1">
        <v>1951.625</v>
      </c>
      <c r="AA861" s="2">
        <f t="shared" si="109"/>
        <v>-0.75641000000000003</v>
      </c>
      <c r="AB861">
        <v>-37.820500000000003</v>
      </c>
      <c r="AE861">
        <v>1951.5833333332682</v>
      </c>
      <c r="AF861">
        <v>-0.61570505964472633</v>
      </c>
    </row>
    <row r="862" spans="4:32" x14ac:dyDescent="0.35">
      <c r="D862">
        <v>-0.87715599999999994</v>
      </c>
      <c r="M862">
        <f t="shared" si="110"/>
        <v>861</v>
      </c>
      <c r="N862">
        <f t="shared" si="111"/>
        <v>1951.6666666666015</v>
      </c>
      <c r="O862">
        <f t="shared" si="106"/>
        <v>0</v>
      </c>
      <c r="P862">
        <f t="array" ref="P862">+SUM($G$2:$G$18*SIN(2*PI()*(N862)*$B$1/$F$2:$F$18+$H$2:$H$18))</f>
        <v>1.1626356732964223</v>
      </c>
      <c r="Q862">
        <f t="shared" si="107"/>
        <v>0</v>
      </c>
      <c r="R862">
        <f t="shared" si="108"/>
        <v>-1.7960815405238936E-3</v>
      </c>
      <c r="S862">
        <f t="array" ref="S862">+$B$2*SIN(R862*$B$3+$B$4)+0*R862+ SUM($J$2:$J$20*SIN(2*PI()*N862*$I$2:$I$20+$K$2:$K$20))</f>
        <v>-0.61593047976851067</v>
      </c>
      <c r="U862" s="3">
        <f t="shared" si="104"/>
        <v>1951.6666666666015</v>
      </c>
      <c r="V862" s="3">
        <f t="shared" si="105"/>
        <v>-0.115658</v>
      </c>
      <c r="Z862" s="1">
        <v>1951.7083</v>
      </c>
      <c r="AA862" s="2">
        <f t="shared" si="109"/>
        <v>-0.47720199999999996</v>
      </c>
      <c r="AB862">
        <v>-23.860099999999999</v>
      </c>
      <c r="AE862">
        <v>1951.6666666666015</v>
      </c>
      <c r="AF862">
        <v>-0.61593047976851067</v>
      </c>
    </row>
    <row r="863" spans="4:32" x14ac:dyDescent="0.35">
      <c r="D863">
        <v>-0.75641000000000003</v>
      </c>
      <c r="M863">
        <f t="shared" si="110"/>
        <v>862</v>
      </c>
      <c r="N863">
        <f t="shared" si="111"/>
        <v>1951.7499999999347</v>
      </c>
      <c r="O863">
        <f t="shared" si="106"/>
        <v>0</v>
      </c>
      <c r="P863">
        <f t="array" ref="P863">+SUM($G$2:$G$18*SIN(2*PI()*(N863)*$B$1/$F$2:$F$18+$H$2:$H$18))</f>
        <v>0.60982163467439721</v>
      </c>
      <c r="Q863">
        <f t="shared" si="107"/>
        <v>0</v>
      </c>
      <c r="R863">
        <f t="shared" si="108"/>
        <v>-1.7933189139923528E-3</v>
      </c>
      <c r="S863">
        <f t="array" ref="S863">+$B$2*SIN(R863*$B$3+$B$4)+0*R863+ SUM($J$2:$J$20*SIN(2*PI()*N863*$I$2:$I$20+$K$2:$K$20))</f>
        <v>-0.61615538651452506</v>
      </c>
      <c r="U863" s="3">
        <f t="shared" si="104"/>
        <v>1951.7499999999347</v>
      </c>
      <c r="V863" s="3">
        <f t="shared" si="105"/>
        <v>8.5136000000000003E-2</v>
      </c>
      <c r="Z863" s="1">
        <v>1951.7917</v>
      </c>
      <c r="AA863" s="2">
        <f t="shared" si="109"/>
        <v>-0.42415199999999997</v>
      </c>
      <c r="AB863">
        <v>-21.207599999999999</v>
      </c>
      <c r="AE863">
        <v>1951.7499999999347</v>
      </c>
      <c r="AF863">
        <v>-0.61615538651452506</v>
      </c>
    </row>
    <row r="864" spans="4:32" x14ac:dyDescent="0.35">
      <c r="D864">
        <v>-0.47720199999999996</v>
      </c>
      <c r="M864">
        <f t="shared" si="110"/>
        <v>863</v>
      </c>
      <c r="N864">
        <f t="shared" si="111"/>
        <v>1951.833333333268</v>
      </c>
      <c r="O864">
        <f t="shared" si="106"/>
        <v>0</v>
      </c>
      <c r="P864">
        <f t="array" ref="P864">+SUM($G$2:$G$18*SIN(2*PI()*(N864)*$B$1/$F$2:$F$18+$H$2:$H$18))</f>
        <v>-6.3614615319418547E-2</v>
      </c>
      <c r="Q864">
        <f t="shared" si="107"/>
        <v>0</v>
      </c>
      <c r="R864">
        <f t="shared" si="108"/>
        <v>-1.7905605367697552E-3</v>
      </c>
      <c r="S864">
        <f t="array" ref="S864">+$B$2*SIN(R864*$B$3+$B$4)+0*R864+ SUM($J$2:$J$20*SIN(2*PI()*N864*$I$2:$I$20+$K$2:$K$20))</f>
        <v>-0.61637978112401914</v>
      </c>
      <c r="U864" s="3">
        <f t="shared" si="104"/>
        <v>1951.833333333268</v>
      </c>
      <c r="V864" s="3">
        <f t="shared" si="105"/>
        <v>0.227468</v>
      </c>
      <c r="Z864" s="1">
        <v>1951.875</v>
      </c>
      <c r="AA864" s="2">
        <f t="shared" si="109"/>
        <v>-0.30341000000000001</v>
      </c>
      <c r="AB864">
        <v>-15.170500000000001</v>
      </c>
      <c r="AE864">
        <v>1951.833333333268</v>
      </c>
      <c r="AF864">
        <v>-0.61637978112401914</v>
      </c>
    </row>
    <row r="865" spans="4:32" x14ac:dyDescent="0.35">
      <c r="D865">
        <v>-0.42415199999999997</v>
      </c>
      <c r="M865">
        <f t="shared" si="110"/>
        <v>864</v>
      </c>
      <c r="N865">
        <f t="shared" si="111"/>
        <v>1951.9166666666013</v>
      </c>
      <c r="O865">
        <f t="shared" si="106"/>
        <v>0</v>
      </c>
      <c r="P865">
        <f t="array" ref="P865">+SUM($G$2:$G$18*SIN(2*PI()*(N865)*$B$1/$F$2:$F$18+$H$2:$H$18))</f>
        <v>-6.6377967982295324E-2</v>
      </c>
      <c r="Q865">
        <f t="shared" si="107"/>
        <v>0</v>
      </c>
      <c r="R865">
        <f t="shared" si="108"/>
        <v>-1.7878064023200647E-3</v>
      </c>
      <c r="S865">
        <f t="array" ref="S865">+$B$2*SIN(R865*$B$3+$B$4)+0*R865+ SUM($J$2:$J$20*SIN(2*PI()*N865*$I$2:$I$20+$K$2:$K$20))</f>
        <v>-0.6166036648352694</v>
      </c>
      <c r="U865" s="3">
        <f t="shared" si="104"/>
        <v>1951.9166666666013</v>
      </c>
      <c r="V865" s="3">
        <f t="shared" si="105"/>
        <v>0.56364199999999998</v>
      </c>
      <c r="Z865" s="1">
        <v>1951.9583</v>
      </c>
      <c r="AA865" s="2">
        <f t="shared" si="109"/>
        <v>-6.5743999999999997E-2</v>
      </c>
      <c r="AB865">
        <v>-3.2871999999999999</v>
      </c>
      <c r="AE865">
        <v>1951.9166666666013</v>
      </c>
      <c r="AF865">
        <v>-0.6166036648352694</v>
      </c>
    </row>
    <row r="866" spans="4:32" x14ac:dyDescent="0.35">
      <c r="D866">
        <v>-0.30341000000000001</v>
      </c>
      <c r="M866">
        <f t="shared" si="110"/>
        <v>865</v>
      </c>
      <c r="N866">
        <f t="shared" si="111"/>
        <v>1951.9999999999345</v>
      </c>
      <c r="O866">
        <f t="shared" si="106"/>
        <v>36.637715116165623</v>
      </c>
      <c r="P866">
        <f t="array" ref="P866">+SUM($G$2:$G$18*SIN(2*PI()*(N866)*$B$1/$F$2:$F$18+$H$2:$H$18))</f>
        <v>0.33786073287084673</v>
      </c>
      <c r="Q866">
        <f t="shared" si="107"/>
        <v>12.378445279861017</v>
      </c>
      <c r="R866">
        <f t="shared" si="108"/>
        <v>1.725473683365954E-2</v>
      </c>
      <c r="S866">
        <f t="array" ref="S866">+$B$2*SIN(R866*$B$3+$B$4)+0*R866+ SUM($J$2:$J$20*SIN(2*PI()*N866*$I$2:$I$20+$K$2:$K$20))</f>
        <v>0.7420816692800476</v>
      </c>
      <c r="U866" s="3">
        <f t="shared" si="104"/>
        <v>1951.9999999999345</v>
      </c>
      <c r="V866" s="3">
        <f t="shared" si="105"/>
        <v>0.63520200000000004</v>
      </c>
      <c r="Z866" s="1">
        <v>1952.0417</v>
      </c>
      <c r="AA866" s="2">
        <f t="shared" si="109"/>
        <v>0.10422599999999999</v>
      </c>
      <c r="AB866">
        <v>5.2112999999999996</v>
      </c>
      <c r="AE866">
        <v>1951.9999999999345</v>
      </c>
      <c r="AF866">
        <v>0.7420816692800476</v>
      </c>
    </row>
    <row r="867" spans="4:32" x14ac:dyDescent="0.35">
      <c r="D867">
        <v>-6.5743999999999997E-2</v>
      </c>
      <c r="M867">
        <f t="shared" si="110"/>
        <v>866</v>
      </c>
      <c r="N867">
        <f t="shared" si="111"/>
        <v>1952.0833333332678</v>
      </c>
      <c r="O867">
        <f t="shared" si="106"/>
        <v>0</v>
      </c>
      <c r="P867">
        <f t="array" ref="P867">+SUM($G$2:$G$18*SIN(2*PI()*(N867)*$B$1/$F$2:$F$18+$H$2:$H$18))</f>
        <v>0.16728468930053197</v>
      </c>
      <c r="Q867">
        <f t="shared" si="107"/>
        <v>0</v>
      </c>
      <c r="R867">
        <f t="shared" si="108"/>
        <v>1.722819661669505E-2</v>
      </c>
      <c r="S867">
        <f t="array" ref="S867">+$B$2*SIN(R867*$B$3+$B$4)+0*R867+ SUM($J$2:$J$20*SIN(2*PI()*N867*$I$2:$I$20+$K$2:$K$20))</f>
        <v>0.74144214111280049</v>
      </c>
      <c r="U867" s="3">
        <f t="shared" si="104"/>
        <v>1952.0833333332678</v>
      </c>
      <c r="V867" s="3">
        <f t="shared" si="105"/>
        <v>0.61599199999999998</v>
      </c>
      <c r="Z867" s="1">
        <v>1952.125</v>
      </c>
      <c r="AA867" s="2">
        <f t="shared" si="109"/>
        <v>1.4196E-2</v>
      </c>
      <c r="AB867">
        <v>0.70979999999999999</v>
      </c>
      <c r="AE867">
        <v>1952.0833333332678</v>
      </c>
      <c r="AF867">
        <v>0.74144214111280049</v>
      </c>
    </row>
    <row r="868" spans="4:32" x14ac:dyDescent="0.35">
      <c r="D868">
        <v>0.10422599999999999</v>
      </c>
      <c r="M868">
        <f t="shared" si="110"/>
        <v>867</v>
      </c>
      <c r="N868">
        <f t="shared" si="111"/>
        <v>1952.166666666601</v>
      </c>
      <c r="O868">
        <f t="shared" si="106"/>
        <v>0</v>
      </c>
      <c r="P868">
        <f t="array" ref="P868">+SUM($G$2:$G$18*SIN(2*PI()*(N868)*$B$1/$F$2:$F$18+$H$2:$H$18))</f>
        <v>-0.16691646283744155</v>
      </c>
      <c r="Q868">
        <f t="shared" si="107"/>
        <v>0</v>
      </c>
      <c r="R868">
        <f t="shared" si="108"/>
        <v>1.720169722232457E-2</v>
      </c>
      <c r="S868">
        <f t="array" ref="S868">+$B$2*SIN(R868*$B$3+$B$4)+0*R868+ SUM($J$2:$J$20*SIN(2*PI()*N868*$I$2:$I$20+$K$2:$K$20))</f>
        <v>0.74078513893670472</v>
      </c>
      <c r="U868" s="3">
        <f t="shared" si="104"/>
        <v>1952.166666666601</v>
      </c>
      <c r="V868" s="3">
        <f t="shared" si="105"/>
        <v>0.44293199999999999</v>
      </c>
      <c r="Z868" s="1">
        <v>1952.2083</v>
      </c>
      <c r="AA868" s="2">
        <f t="shared" si="109"/>
        <v>0.17339599999999999</v>
      </c>
      <c r="AB868">
        <v>8.6698000000000004</v>
      </c>
      <c r="AE868">
        <v>1952.166666666601</v>
      </c>
      <c r="AF868">
        <v>0.74078513893670472</v>
      </c>
    </row>
    <row r="869" spans="4:32" x14ac:dyDescent="0.35">
      <c r="D869">
        <v>1.4196E-2</v>
      </c>
      <c r="M869">
        <f t="shared" si="110"/>
        <v>868</v>
      </c>
      <c r="N869">
        <f t="shared" si="111"/>
        <v>1952.2499999999343</v>
      </c>
      <c r="O869">
        <f t="shared" si="106"/>
        <v>0</v>
      </c>
      <c r="P869">
        <f t="array" ref="P869">+SUM($G$2:$G$18*SIN(2*PI()*(N869)*$B$1/$F$2:$F$18+$H$2:$H$18))</f>
        <v>0.2819528112942507</v>
      </c>
      <c r="Q869">
        <f t="shared" si="107"/>
        <v>0</v>
      </c>
      <c r="R869">
        <f t="shared" si="108"/>
        <v>1.7175238587757196E-2</v>
      </c>
      <c r="S869">
        <f t="array" ref="S869">+$B$2*SIN(R869*$B$3+$B$4)+0*R869+ SUM($J$2:$J$20*SIN(2*PI()*N869*$I$2:$I$20+$K$2:$K$20))</f>
        <v>0.74011076267164289</v>
      </c>
      <c r="U869" s="3">
        <f t="shared" si="104"/>
        <v>1952.2499999999343</v>
      </c>
      <c r="V869" s="3">
        <f t="shared" si="105"/>
        <v>0.50987199999999999</v>
      </c>
      <c r="Z869" s="1">
        <v>1952.2917</v>
      </c>
      <c r="AA869" s="2">
        <f t="shared" si="109"/>
        <v>0.32336199999999998</v>
      </c>
      <c r="AB869">
        <v>16.168099999999999</v>
      </c>
      <c r="AE869">
        <v>1952.2499999999343</v>
      </c>
      <c r="AF869">
        <v>0.74011076267164289</v>
      </c>
    </row>
    <row r="870" spans="4:32" x14ac:dyDescent="0.35">
      <c r="D870">
        <v>0.17339599999999999</v>
      </c>
      <c r="M870">
        <f t="shared" si="110"/>
        <v>869</v>
      </c>
      <c r="N870">
        <f t="shared" si="111"/>
        <v>1952.3333333332675</v>
      </c>
      <c r="O870">
        <f t="shared" si="106"/>
        <v>0</v>
      </c>
      <c r="P870">
        <f t="array" ref="P870">+SUM($G$2:$G$18*SIN(2*PI()*(N870)*$B$1/$F$2:$F$18+$H$2:$H$18))</f>
        <v>0.97948532222031737</v>
      </c>
      <c r="Q870">
        <f t="shared" si="107"/>
        <v>0</v>
      </c>
      <c r="R870">
        <f t="shared" si="108"/>
        <v>1.7148820650298609E-2</v>
      </c>
      <c r="S870">
        <f t="array" ref="S870">+$B$2*SIN(R870*$B$3+$B$4)+0*R870+ SUM($J$2:$J$20*SIN(2*PI()*N870*$I$2:$I$20+$K$2:$K$20))</f>
        <v>0.73941911223902346</v>
      </c>
      <c r="U870" s="3">
        <f t="shared" si="104"/>
        <v>1952.3333333332675</v>
      </c>
      <c r="V870" s="3">
        <f t="shared" si="105"/>
        <v>0.68912000000000007</v>
      </c>
      <c r="Z870" s="1">
        <v>1952.375</v>
      </c>
      <c r="AA870" s="2">
        <f t="shared" si="109"/>
        <v>0.67332999999999998</v>
      </c>
      <c r="AB870">
        <v>33.666499999999999</v>
      </c>
      <c r="AE870">
        <v>1952.3333333332675</v>
      </c>
      <c r="AF870">
        <v>0.73941911223902346</v>
      </c>
    </row>
    <row r="871" spans="4:32" x14ac:dyDescent="0.35">
      <c r="D871">
        <v>0.32336199999999998</v>
      </c>
      <c r="M871">
        <f t="shared" si="110"/>
        <v>870</v>
      </c>
      <c r="N871">
        <f t="shared" si="111"/>
        <v>1952.4166666666008</v>
      </c>
      <c r="O871">
        <f t="shared" si="106"/>
        <v>0</v>
      </c>
      <c r="P871">
        <f t="array" ref="P871">+SUM($G$2:$G$18*SIN(2*PI()*(N871)*$B$1/$F$2:$F$18+$H$2:$H$18))</f>
        <v>1.0178996628288872</v>
      </c>
      <c r="Q871">
        <f t="shared" si="107"/>
        <v>0</v>
      </c>
      <c r="R871">
        <f t="shared" si="108"/>
        <v>1.712244334735092E-2</v>
      </c>
      <c r="S871">
        <f t="array" ref="S871">+$B$2*SIN(R871*$B$3+$B$4)+0*R871+ SUM($J$2:$J$20*SIN(2*PI()*N871*$I$2:$I$20+$K$2:$K$20))</f>
        <v>0.73871028755634704</v>
      </c>
      <c r="U871" s="3">
        <f t="shared" si="104"/>
        <v>1952.4166666666008</v>
      </c>
      <c r="V871" s="3">
        <f t="shared" si="105"/>
        <v>0.91451800000000005</v>
      </c>
      <c r="Z871" s="1">
        <v>1952.4583</v>
      </c>
      <c r="AA871" s="2">
        <f t="shared" si="109"/>
        <v>0.85714200000000007</v>
      </c>
      <c r="AB871">
        <v>42.857100000000003</v>
      </c>
      <c r="AE871">
        <v>1952.4166666666008</v>
      </c>
      <c r="AF871">
        <v>0.73871028755634704</v>
      </c>
    </row>
    <row r="872" spans="4:32" x14ac:dyDescent="0.35">
      <c r="D872">
        <v>0.67332999999999998</v>
      </c>
      <c r="M872">
        <f t="shared" si="110"/>
        <v>871</v>
      </c>
      <c r="N872">
        <f t="shared" si="111"/>
        <v>1952.4999999999341</v>
      </c>
      <c r="O872">
        <f t="shared" si="106"/>
        <v>0</v>
      </c>
      <c r="P872">
        <f t="array" ref="P872">+SUM($G$2:$G$18*SIN(2*PI()*(N872)*$B$1/$F$2:$F$18+$H$2:$H$18))</f>
        <v>0.34346989575840858</v>
      </c>
      <c r="Q872">
        <f t="shared" si="107"/>
        <v>0</v>
      </c>
      <c r="R872">
        <f t="shared" si="108"/>
        <v>1.7096106616412525E-2</v>
      </c>
      <c r="S872">
        <f t="array" ref="S872">+$B$2*SIN(R872*$B$3+$B$4)+0*R872+ SUM($J$2:$J$20*SIN(2*PI()*N872*$I$2:$I$20+$K$2:$K$20))</f>
        <v>0.73798438853183435</v>
      </c>
      <c r="U872" s="3">
        <f t="shared" si="104"/>
        <v>1952.4999999999341</v>
      </c>
      <c r="V872" s="3">
        <f t="shared" si="105"/>
        <v>1.122994</v>
      </c>
      <c r="Z872" s="1">
        <v>1952.5417</v>
      </c>
      <c r="AA872" s="2">
        <f t="shared" si="109"/>
        <v>0.72710400000000008</v>
      </c>
      <c r="AB872">
        <v>36.355200000000004</v>
      </c>
      <c r="AE872">
        <v>1952.4999999999341</v>
      </c>
      <c r="AF872">
        <v>0.73798438853183435</v>
      </c>
    </row>
    <row r="873" spans="4:32" x14ac:dyDescent="0.35">
      <c r="D873">
        <v>0.85714200000000007</v>
      </c>
      <c r="M873">
        <f t="shared" si="110"/>
        <v>872</v>
      </c>
      <c r="N873">
        <f t="shared" si="111"/>
        <v>1952.5833333332673</v>
      </c>
      <c r="O873">
        <f t="shared" si="106"/>
        <v>0</v>
      </c>
      <c r="P873">
        <f t="array" ref="P873">+SUM($G$2:$G$18*SIN(2*PI()*(N873)*$B$1/$F$2:$F$18+$H$2:$H$18))</f>
        <v>-0.37656640369095506</v>
      </c>
      <c r="Q873">
        <f t="shared" si="107"/>
        <v>0</v>
      </c>
      <c r="R873">
        <f t="shared" si="108"/>
        <v>1.7069810395077954E-2</v>
      </c>
      <c r="S873">
        <f t="array" ref="S873">+$B$2*SIN(R873*$B$3+$B$4)+0*R873+ SUM($J$2:$J$20*SIN(2*PI()*N873*$I$2:$I$20+$K$2:$K$20))</f>
        <v>0.73724151505911162</v>
      </c>
      <c r="U873" s="3">
        <f t="shared" si="104"/>
        <v>1952.5833333332673</v>
      </c>
      <c r="V873" s="3">
        <f t="shared" si="105"/>
        <v>1.365316</v>
      </c>
      <c r="Z873" s="1">
        <v>1952.625</v>
      </c>
      <c r="AA873" s="2">
        <f t="shared" si="109"/>
        <v>0.677068</v>
      </c>
      <c r="AB873">
        <v>33.853400000000001</v>
      </c>
      <c r="AE873">
        <v>1952.5833333332673</v>
      </c>
      <c r="AF873">
        <v>0.73724151505911162</v>
      </c>
    </row>
    <row r="874" spans="4:32" x14ac:dyDescent="0.35">
      <c r="D874">
        <v>0.72710400000000008</v>
      </c>
      <c r="M874">
        <f t="shared" si="110"/>
        <v>873</v>
      </c>
      <c r="N874">
        <f t="shared" si="111"/>
        <v>1952.6666666666006</v>
      </c>
      <c r="O874">
        <f t="shared" si="106"/>
        <v>0</v>
      </c>
      <c r="P874">
        <f t="array" ref="P874">+SUM($G$2:$G$18*SIN(2*PI()*(N874)*$B$1/$F$2:$F$18+$H$2:$H$18))</f>
        <v>-0.30519963365992903</v>
      </c>
      <c r="Q874">
        <f t="shared" si="107"/>
        <v>0</v>
      </c>
      <c r="R874">
        <f t="shared" si="108"/>
        <v>1.7043554621037731E-2</v>
      </c>
      <c r="S874">
        <f t="array" ref="S874">+$B$2*SIN(R874*$B$3+$B$4)+0*R874+ SUM($J$2:$J$20*SIN(2*PI()*N874*$I$2:$I$20+$K$2:$K$20))</f>
        <v>0.73648176701195589</v>
      </c>
      <c r="U874" s="3">
        <f t="shared" si="104"/>
        <v>1952.6666666666006</v>
      </c>
      <c r="V874" s="3">
        <f t="shared" si="105"/>
        <v>1.2599420000000001</v>
      </c>
      <c r="Z874" s="1">
        <v>1952.7083</v>
      </c>
      <c r="AA874" s="2">
        <f t="shared" si="109"/>
        <v>0.45779999999999998</v>
      </c>
      <c r="AB874">
        <v>22.89</v>
      </c>
      <c r="AE874">
        <v>1952.6666666666006</v>
      </c>
      <c r="AF874">
        <v>0.73648176701195589</v>
      </c>
    </row>
    <row r="875" spans="4:32" x14ac:dyDescent="0.35">
      <c r="D875">
        <v>0.677068</v>
      </c>
      <c r="M875">
        <f t="shared" si="110"/>
        <v>874</v>
      </c>
      <c r="N875">
        <f t="shared" si="111"/>
        <v>1952.7499999999338</v>
      </c>
      <c r="O875">
        <f t="shared" si="106"/>
        <v>0</v>
      </c>
      <c r="P875">
        <f t="array" ref="P875">+SUM($G$2:$G$18*SIN(2*PI()*(N875)*$B$1/$F$2:$F$18+$H$2:$H$18))</f>
        <v>0.1756662672455222</v>
      </c>
      <c r="Q875">
        <f t="shared" si="107"/>
        <v>0</v>
      </c>
      <c r="R875">
        <f t="shared" si="108"/>
        <v>1.7017339232078214E-2</v>
      </c>
      <c r="S875">
        <f t="array" ref="S875">+$B$2*SIN(R875*$B$3+$B$4)+0*R875+ SUM($J$2:$J$20*SIN(2*PI()*N875*$I$2:$I$20+$K$2:$K$20))</f>
        <v>0.73570524423909911</v>
      </c>
      <c r="U875" s="3">
        <f t="shared" si="104"/>
        <v>1952.7499999999338</v>
      </c>
      <c r="V875" s="3">
        <f t="shared" si="105"/>
        <v>1.3314920000000001</v>
      </c>
      <c r="Z875" s="1">
        <v>1952.7917</v>
      </c>
      <c r="AA875" s="2">
        <f t="shared" si="109"/>
        <v>0.48776000000000003</v>
      </c>
      <c r="AB875">
        <v>24.388000000000002</v>
      </c>
      <c r="AE875">
        <v>1952.7499999999338</v>
      </c>
      <c r="AF875">
        <v>0.73570524423909911</v>
      </c>
    </row>
    <row r="876" spans="4:32" x14ac:dyDescent="0.35">
      <c r="D876">
        <v>0.45779999999999998</v>
      </c>
      <c r="M876">
        <f t="shared" si="110"/>
        <v>875</v>
      </c>
      <c r="N876">
        <f t="shared" si="111"/>
        <v>1952.8333333332671</v>
      </c>
      <c r="O876">
        <f t="shared" si="106"/>
        <v>0</v>
      </c>
      <c r="P876">
        <f t="array" ref="P876">+SUM($G$2:$G$18*SIN(2*PI()*(N876)*$B$1/$F$2:$F$18+$H$2:$H$18))</f>
        <v>6.4856793716556019E-2</v>
      </c>
      <c r="Q876">
        <f t="shared" si="107"/>
        <v>0</v>
      </c>
      <c r="R876">
        <f t="shared" si="108"/>
        <v>1.6991164166081457E-2</v>
      </c>
      <c r="S876">
        <f t="array" ref="S876">+$B$2*SIN(R876*$B$3+$B$4)+0*R876+ SUM($J$2:$J$20*SIN(2*PI()*N876*$I$2:$I$20+$K$2:$K$20))</f>
        <v>0.73491204655908982</v>
      </c>
      <c r="U876" s="3">
        <f t="shared" si="104"/>
        <v>1952.8333333332671</v>
      </c>
      <c r="V876" s="3">
        <f t="shared" si="105"/>
        <v>1.152272</v>
      </c>
      <c r="Z876" s="1">
        <v>1952.875</v>
      </c>
      <c r="AA876" s="2">
        <f t="shared" si="109"/>
        <v>0.62541200000000008</v>
      </c>
      <c r="AB876">
        <v>31.270600000000002</v>
      </c>
      <c r="AE876">
        <v>1952.8333333332671</v>
      </c>
      <c r="AF876">
        <v>0.73491204655908982</v>
      </c>
    </row>
    <row r="877" spans="4:32" x14ac:dyDescent="0.35">
      <c r="D877">
        <v>0.48776000000000003</v>
      </c>
      <c r="M877">
        <f t="shared" si="110"/>
        <v>876</v>
      </c>
      <c r="N877">
        <f t="shared" si="111"/>
        <v>1952.9166666666003</v>
      </c>
      <c r="O877">
        <f t="shared" si="106"/>
        <v>0</v>
      </c>
      <c r="P877">
        <f t="array" ref="P877">+SUM($G$2:$G$18*SIN(2*PI()*(N877)*$B$1/$F$2:$F$18+$H$2:$H$18))</f>
        <v>-0.20471404474324884</v>
      </c>
      <c r="Q877">
        <f t="shared" si="107"/>
        <v>0</v>
      </c>
      <c r="R877">
        <f t="shared" si="108"/>
        <v>1.6965029361025064E-2</v>
      </c>
      <c r="S877">
        <f t="array" ref="S877">+$B$2*SIN(R877*$B$3+$B$4)+0*R877+ SUM($J$2:$J$20*SIN(2*PI()*N877*$I$2:$I$20+$K$2:$K$20))</f>
        <v>0.7341022737552132</v>
      </c>
      <c r="U877" s="3">
        <f t="shared" si="104"/>
        <v>1952.9166666666003</v>
      </c>
      <c r="V877" s="3">
        <f t="shared" si="105"/>
        <v>0.84227799999999997</v>
      </c>
      <c r="Z877" s="1">
        <v>1952.9583</v>
      </c>
      <c r="AA877" s="2">
        <f t="shared" si="109"/>
        <v>0.63537199999999994</v>
      </c>
      <c r="AB877">
        <v>31.768599999999999</v>
      </c>
      <c r="AE877">
        <v>1952.9166666666003</v>
      </c>
      <c r="AF877">
        <v>0.7341022737552132</v>
      </c>
    </row>
    <row r="878" spans="4:32" x14ac:dyDescent="0.35">
      <c r="D878">
        <v>0.62541200000000008</v>
      </c>
      <c r="M878">
        <f t="shared" si="110"/>
        <v>877</v>
      </c>
      <c r="N878">
        <f t="shared" si="111"/>
        <v>1952.9999999999336</v>
      </c>
      <c r="O878">
        <f t="shared" si="106"/>
        <v>36.637715116165623</v>
      </c>
      <c r="P878">
        <f t="array" ref="P878">+SUM($G$2:$G$18*SIN(2*PI()*(N878)*$B$1/$F$2:$F$18+$H$2:$H$18))</f>
        <v>0.1314203494655862</v>
      </c>
      <c r="Q878">
        <f t="shared" si="107"/>
        <v>4.8149413241870764</v>
      </c>
      <c r="R878">
        <f t="shared" si="108"/>
        <v>2.4344993082451798E-2</v>
      </c>
      <c r="S878">
        <f t="array" ref="S878">+$B$2*SIN(R878*$B$3+$B$4)+0*R878+ SUM($J$2:$J$20*SIN(2*PI()*N878*$I$2:$I$20+$K$2:$K$20))</f>
        <v>0.29641356298860366</v>
      </c>
      <c r="U878" s="3">
        <f t="shared" si="104"/>
        <v>1952.9999999999336</v>
      </c>
      <c r="V878" s="3">
        <f t="shared" si="105"/>
        <v>0.70920799999999995</v>
      </c>
      <c r="Z878" s="1">
        <v>1953.0417</v>
      </c>
      <c r="AA878" s="2">
        <f t="shared" si="109"/>
        <v>0.39301999999999998</v>
      </c>
      <c r="AB878">
        <v>19.651</v>
      </c>
      <c r="AE878">
        <v>1952.9999999999336</v>
      </c>
      <c r="AF878">
        <v>0.29641356298860366</v>
      </c>
    </row>
    <row r="879" spans="4:32" x14ac:dyDescent="0.35">
      <c r="D879">
        <v>0.63537199999999994</v>
      </c>
      <c r="M879">
        <f t="shared" si="110"/>
        <v>878</v>
      </c>
      <c r="N879">
        <f t="shared" si="111"/>
        <v>1953.0833333332669</v>
      </c>
      <c r="O879">
        <f t="shared" si="106"/>
        <v>0</v>
      </c>
      <c r="P879">
        <f t="array" ref="P879">+SUM($G$2:$G$18*SIN(2*PI()*(N879)*$B$1/$F$2:$F$18+$H$2:$H$18))</f>
        <v>0.63671315425415742</v>
      </c>
      <c r="Q879">
        <f t="shared" si="107"/>
        <v>0</v>
      </c>
      <c r="R879">
        <f t="shared" si="108"/>
        <v>2.43075470521451E-2</v>
      </c>
      <c r="S879">
        <f t="array" ref="S879">+$B$2*SIN(R879*$B$3+$B$4)+0*R879+ SUM($J$2:$J$20*SIN(2*PI()*N879*$I$2:$I$20+$K$2:$K$20))</f>
        <v>0.3012826248810212</v>
      </c>
      <c r="U879" s="3">
        <f t="shared" si="104"/>
        <v>1953.0833333332669</v>
      </c>
      <c r="V879" s="3">
        <f t="shared" si="105"/>
        <v>0.69459999999999988</v>
      </c>
      <c r="Z879" s="1">
        <v>1953.125</v>
      </c>
      <c r="AA879" s="2">
        <f t="shared" si="109"/>
        <v>0.47528399999999998</v>
      </c>
      <c r="AB879">
        <v>23.764199999999999</v>
      </c>
      <c r="AE879">
        <v>1953.0833333332669</v>
      </c>
      <c r="AF879">
        <v>0.3012826248810212</v>
      </c>
    </row>
    <row r="880" spans="4:32" x14ac:dyDescent="0.35">
      <c r="D880">
        <v>0.39301999999999998</v>
      </c>
      <c r="M880">
        <f t="shared" si="110"/>
        <v>879</v>
      </c>
      <c r="N880">
        <f t="shared" si="111"/>
        <v>1953.1666666666001</v>
      </c>
      <c r="O880">
        <f t="shared" si="106"/>
        <v>0</v>
      </c>
      <c r="P880">
        <f t="array" ref="P880">+SUM($G$2:$G$18*SIN(2*PI()*(N880)*$B$1/$F$2:$F$18+$H$2:$H$18))</f>
        <v>0.64993244220492907</v>
      </c>
      <c r="Q880">
        <f t="shared" si="107"/>
        <v>0</v>
      </c>
      <c r="R880">
        <f t="shared" si="108"/>
        <v>2.4270158619110291E-2</v>
      </c>
      <c r="S880">
        <f t="array" ref="S880">+$B$2*SIN(R880*$B$3+$B$4)+0*R880+ SUM($J$2:$J$20*SIN(2*PI()*N880*$I$2:$I$20+$K$2:$K$20))</f>
        <v>0.30612926704418369</v>
      </c>
      <c r="U880" s="3">
        <f t="shared" si="104"/>
        <v>1953.1666666666001</v>
      </c>
      <c r="V880" s="3">
        <f t="shared" si="105"/>
        <v>0.84921800000000003</v>
      </c>
      <c r="Z880" s="1">
        <v>1953.2083</v>
      </c>
      <c r="AA880" s="2">
        <f t="shared" si="109"/>
        <v>0.64062600000000003</v>
      </c>
      <c r="AB880">
        <v>32.031300000000002</v>
      </c>
      <c r="AE880">
        <v>1953.1666666666001</v>
      </c>
      <c r="AF880">
        <v>0.30612926704418369</v>
      </c>
    </row>
    <row r="881" spans="4:32" x14ac:dyDescent="0.35">
      <c r="D881">
        <v>0.47528399999999998</v>
      </c>
      <c r="M881">
        <f t="shared" si="110"/>
        <v>880</v>
      </c>
      <c r="N881">
        <f t="shared" si="111"/>
        <v>1953.2499999999334</v>
      </c>
      <c r="O881">
        <f t="shared" si="106"/>
        <v>0</v>
      </c>
      <c r="P881">
        <f t="array" ref="P881">+SUM($G$2:$G$18*SIN(2*PI()*(N881)*$B$1/$F$2:$F$18+$H$2:$H$18))</f>
        <v>-1.5214739457600213E-2</v>
      </c>
      <c r="Q881">
        <f t="shared" si="107"/>
        <v>0</v>
      </c>
      <c r="R881">
        <f t="shared" si="108"/>
        <v>2.4232827694754652E-2</v>
      </c>
      <c r="S881">
        <f t="array" ref="S881">+$B$2*SIN(R881*$B$3+$B$4)+0*R881+ SUM($J$2:$J$20*SIN(2*PI()*N881*$I$2:$I$20+$K$2:$K$20))</f>
        <v>0.31095333041199319</v>
      </c>
      <c r="U881" s="3">
        <f t="shared" si="104"/>
        <v>1953.2499999999334</v>
      </c>
      <c r="V881" s="3">
        <f t="shared" si="105"/>
        <v>0.8838379999999999</v>
      </c>
      <c r="Z881" s="1">
        <v>1953.2917</v>
      </c>
      <c r="AA881" s="2">
        <f t="shared" si="109"/>
        <v>0.59519199999999994</v>
      </c>
      <c r="AB881">
        <v>29.759599999999999</v>
      </c>
      <c r="AE881">
        <v>1953.2499999999334</v>
      </c>
      <c r="AF881">
        <v>0.31095333041199319</v>
      </c>
    </row>
    <row r="882" spans="4:32" x14ac:dyDescent="0.35">
      <c r="D882">
        <v>0.64062600000000003</v>
      </c>
      <c r="M882">
        <f t="shared" si="110"/>
        <v>881</v>
      </c>
      <c r="N882">
        <f t="shared" si="111"/>
        <v>1953.3333333332666</v>
      </c>
      <c r="O882">
        <f t="shared" si="106"/>
        <v>0</v>
      </c>
      <c r="P882">
        <f t="array" ref="P882">+SUM($G$2:$G$18*SIN(2*PI()*(N882)*$B$1/$F$2:$F$18+$H$2:$H$18))</f>
        <v>-0.7647440361260075</v>
      </c>
      <c r="Q882">
        <f t="shared" si="107"/>
        <v>0</v>
      </c>
      <c r="R882">
        <f t="shared" si="108"/>
        <v>2.4195554190621728E-2</v>
      </c>
      <c r="S882">
        <f t="array" ref="S882">+$B$2*SIN(R882*$B$3+$B$4)+0*R882+ SUM($J$2:$J$20*SIN(2*PI()*N882*$I$2:$I$20+$K$2:$K$20))</f>
        <v>0.31575465860606244</v>
      </c>
      <c r="U882" s="3">
        <f t="shared" si="104"/>
        <v>1953.3333333332666</v>
      </c>
      <c r="V882" s="3">
        <f t="shared" si="105"/>
        <v>0.73845799999999995</v>
      </c>
      <c r="Z882" s="1">
        <v>1953.375</v>
      </c>
      <c r="AA882" s="2">
        <f t="shared" si="109"/>
        <v>0.17129999999999998</v>
      </c>
      <c r="AB882">
        <v>8.5649999999999995</v>
      </c>
      <c r="AE882">
        <v>1953.3333333332666</v>
      </c>
      <c r="AF882">
        <v>0.31575465860606244</v>
      </c>
    </row>
    <row r="883" spans="4:32" x14ac:dyDescent="0.35">
      <c r="D883">
        <v>0.59519199999999994</v>
      </c>
      <c r="M883">
        <f t="shared" si="110"/>
        <v>882</v>
      </c>
      <c r="N883">
        <f t="shared" si="111"/>
        <v>1953.4166666665999</v>
      </c>
      <c r="O883">
        <f t="shared" si="106"/>
        <v>0</v>
      </c>
      <c r="P883">
        <f t="array" ref="P883">+SUM($G$2:$G$18*SIN(2*PI()*(N883)*$B$1/$F$2:$F$18+$H$2:$H$18))</f>
        <v>-0.63743163780474998</v>
      </c>
      <c r="Q883">
        <f t="shared" si="107"/>
        <v>0</v>
      </c>
      <c r="R883">
        <f t="shared" si="108"/>
        <v>2.4158338018391123E-2</v>
      </c>
      <c r="S883">
        <f t="array" ref="S883">+$B$2*SIN(R883*$B$3+$B$4)+0*R883+ SUM($J$2:$J$20*SIN(2*PI()*N883*$I$2:$I$20+$K$2:$K$20))</f>
        <v>0.32053309792265111</v>
      </c>
      <c r="U883" s="3">
        <f t="shared" si="104"/>
        <v>1953.4166666665999</v>
      </c>
      <c r="V883" s="3">
        <f t="shared" si="105"/>
        <v>0.62384200000000001</v>
      </c>
      <c r="Z883" s="1">
        <v>1953.4583</v>
      </c>
      <c r="AA883" s="2">
        <f t="shared" si="109"/>
        <v>7.4080000000000005E-3</v>
      </c>
      <c r="AB883">
        <v>0.37040000000000001</v>
      </c>
      <c r="AE883">
        <v>1953.4166666665999</v>
      </c>
      <c r="AF883">
        <v>0.32053309792265111</v>
      </c>
    </row>
    <row r="884" spans="4:32" x14ac:dyDescent="0.35">
      <c r="D884">
        <v>0.17129999999999998</v>
      </c>
      <c r="M884">
        <f t="shared" si="110"/>
        <v>883</v>
      </c>
      <c r="N884">
        <f t="shared" si="111"/>
        <v>1953.4999999999332</v>
      </c>
      <c r="O884">
        <f t="shared" si="106"/>
        <v>0</v>
      </c>
      <c r="P884">
        <f t="array" ref="P884">+SUM($G$2:$G$18*SIN(2*PI()*(N884)*$B$1/$F$2:$F$18+$H$2:$H$18))</f>
        <v>-4.9181501594929247E-2</v>
      </c>
      <c r="Q884">
        <f t="shared" si="107"/>
        <v>0</v>
      </c>
      <c r="R884">
        <f t="shared" si="108"/>
        <v>2.4121179089878295E-2</v>
      </c>
      <c r="S884">
        <f t="array" ref="S884">+$B$2*SIN(R884*$B$3+$B$4)+0*R884+ SUM($J$2:$J$20*SIN(2*PI()*N884*$I$2:$I$20+$K$2:$K$20))</f>
        <v>0.32528849731948667</v>
      </c>
      <c r="U884" s="3">
        <f t="shared" si="104"/>
        <v>1953.4999999999332</v>
      </c>
      <c r="V884" s="3">
        <f t="shared" si="105"/>
        <v>0.52768999999999999</v>
      </c>
      <c r="Z884" s="1">
        <v>1953.5417</v>
      </c>
      <c r="AA884" s="2">
        <f t="shared" si="109"/>
        <v>0.154278</v>
      </c>
      <c r="AB884">
        <v>7.7138999999999998</v>
      </c>
      <c r="AE884">
        <v>1953.4999999999332</v>
      </c>
      <c r="AF884">
        <v>0.32528849731948667</v>
      </c>
    </row>
    <row r="885" spans="4:32" x14ac:dyDescent="0.35">
      <c r="D885">
        <v>7.4080000000000005E-3</v>
      </c>
      <c r="M885">
        <f t="shared" si="110"/>
        <v>884</v>
      </c>
      <c r="N885">
        <f t="shared" si="111"/>
        <v>1953.5833333332664</v>
      </c>
      <c r="O885">
        <f t="shared" si="106"/>
        <v>0</v>
      </c>
      <c r="P885">
        <f t="array" ref="P885">+SUM($G$2:$G$18*SIN(2*PI()*(N885)*$B$1/$F$2:$F$18+$H$2:$H$18))</f>
        <v>-4.7319507490491658E-2</v>
      </c>
      <c r="Q885">
        <f t="shared" si="107"/>
        <v>0</v>
      </c>
      <c r="R885">
        <f t="shared" si="108"/>
        <v>2.4084077317034335E-2</v>
      </c>
      <c r="S885">
        <f t="array" ref="S885">+$B$2*SIN(R885*$B$3+$B$4)+0*R885+ SUM($J$2:$J$20*SIN(2*PI()*N885*$I$2:$I$20+$K$2:$K$20))</f>
        <v>0.33002070840247166</v>
      </c>
      <c r="U885" s="3">
        <f t="shared" si="104"/>
        <v>1953.5833333332664</v>
      </c>
      <c r="V885" s="3">
        <f t="shared" si="105"/>
        <v>0.50845999999999991</v>
      </c>
      <c r="Z885" s="1">
        <v>1953.625</v>
      </c>
      <c r="AA885" s="2">
        <f t="shared" si="109"/>
        <v>-0.20654</v>
      </c>
      <c r="AB885">
        <v>-10.327</v>
      </c>
      <c r="AE885">
        <v>1953.5833333332664</v>
      </c>
      <c r="AF885">
        <v>0.33002070840247166</v>
      </c>
    </row>
    <row r="886" spans="4:32" x14ac:dyDescent="0.35">
      <c r="D886">
        <v>0.154278</v>
      </c>
      <c r="M886">
        <f t="shared" si="110"/>
        <v>885</v>
      </c>
      <c r="N886">
        <f t="shared" si="111"/>
        <v>1953.6666666665997</v>
      </c>
      <c r="O886">
        <f t="shared" si="106"/>
        <v>0</v>
      </c>
      <c r="P886">
        <f t="array" ref="P886">+SUM($G$2:$G$18*SIN(2*PI()*(N886)*$B$1/$F$2:$F$18+$H$2:$H$18))</f>
        <v>-0.30837416631486414</v>
      </c>
      <c r="Q886">
        <f t="shared" si="107"/>
        <v>0</v>
      </c>
      <c r="R886">
        <f t="shared" si="108"/>
        <v>2.4047032611945771E-2</v>
      </c>
      <c r="S886">
        <f t="array" ref="S886">+$B$2*SIN(R886*$B$3+$B$4)+0*R886+ SUM($J$2:$J$20*SIN(2*PI()*N886*$I$2:$I$20+$K$2:$K$20))</f>
        <v>0.33472958541227826</v>
      </c>
      <c r="U886" s="3">
        <f t="shared" si="104"/>
        <v>1953.6666666665997</v>
      </c>
      <c r="V886" s="3">
        <f t="shared" si="105"/>
        <v>0.47230200000000006</v>
      </c>
      <c r="Z886" s="1">
        <v>1953.7083</v>
      </c>
      <c r="AA886" s="2">
        <f t="shared" si="109"/>
        <v>-0.75966800000000001</v>
      </c>
      <c r="AB886">
        <v>-37.983400000000003</v>
      </c>
      <c r="AE886">
        <v>1953.6666666665997</v>
      </c>
      <c r="AF886">
        <v>0.33472958541227826</v>
      </c>
    </row>
    <row r="887" spans="4:32" x14ac:dyDescent="0.35">
      <c r="D887">
        <v>-0.20654</v>
      </c>
      <c r="M887">
        <f t="shared" si="110"/>
        <v>886</v>
      </c>
      <c r="N887">
        <f t="shared" si="111"/>
        <v>1953.7499999999329</v>
      </c>
      <c r="O887">
        <f t="shared" si="106"/>
        <v>0</v>
      </c>
      <c r="P887">
        <f t="array" ref="P887">+SUM($G$2:$G$18*SIN(2*PI()*(N887)*$B$1/$F$2:$F$18+$H$2:$H$18))</f>
        <v>-0.17172325510750377</v>
      </c>
      <c r="Q887">
        <f t="shared" si="107"/>
        <v>0</v>
      </c>
      <c r="R887">
        <f t="shared" si="108"/>
        <v>2.4010044886834354E-2</v>
      </c>
      <c r="S887">
        <f t="array" ref="S887">+$B$2*SIN(R887*$B$3+$B$4)+0*R887+ SUM($J$2:$J$20*SIN(2*PI()*N887*$I$2:$I$20+$K$2:$K$20))</f>
        <v>0.33941498521084423</v>
      </c>
      <c r="U887" s="3">
        <f t="shared" si="104"/>
        <v>1953.7499999999329</v>
      </c>
      <c r="V887" s="3">
        <f t="shared" si="105"/>
        <v>0.56383800000000006</v>
      </c>
      <c r="Z887" s="1">
        <v>1953.7917</v>
      </c>
      <c r="AA887" s="2">
        <f t="shared" si="109"/>
        <v>-0.80818400000000001</v>
      </c>
      <c r="AB887">
        <v>-40.409199999999998</v>
      </c>
      <c r="AE887">
        <v>1953.7499999999329</v>
      </c>
      <c r="AF887">
        <v>0.33941498521084423</v>
      </c>
    </row>
    <row r="888" spans="4:32" x14ac:dyDescent="0.35">
      <c r="D888">
        <v>-0.75966800000000001</v>
      </c>
      <c r="M888">
        <f t="shared" si="110"/>
        <v>887</v>
      </c>
      <c r="N888">
        <f t="shared" si="111"/>
        <v>1953.8333333332662</v>
      </c>
      <c r="O888">
        <f t="shared" si="106"/>
        <v>0</v>
      </c>
      <c r="P888">
        <f t="array" ref="P888">+SUM($G$2:$G$18*SIN(2*PI()*(N888)*$B$1/$F$2:$F$18+$H$2:$H$18))</f>
        <v>0.21180017221187589</v>
      </c>
      <c r="Q888">
        <f t="shared" si="107"/>
        <v>0</v>
      </c>
      <c r="R888">
        <f t="shared" si="108"/>
        <v>2.3973114054056846E-2</v>
      </c>
      <c r="S888">
        <f t="array" ref="S888">+$B$2*SIN(R888*$B$3+$B$4)+0*R888+ SUM($J$2:$J$20*SIN(2*PI()*N888*$I$2:$I$20+$K$2:$K$20))</f>
        <v>0.34407676726775716</v>
      </c>
      <c r="U888" s="3">
        <f t="shared" si="104"/>
        <v>1953.8333333332662</v>
      </c>
      <c r="V888" s="3">
        <f t="shared" si="105"/>
        <v>0.36768000000000001</v>
      </c>
      <c r="Z888" s="1">
        <v>1953.875</v>
      </c>
      <c r="AA888" s="2">
        <f t="shared" si="109"/>
        <v>-1.0166979999999999</v>
      </c>
      <c r="AB888">
        <v>-50.834899999999998</v>
      </c>
      <c r="AE888">
        <v>1953.8333333332662</v>
      </c>
      <c r="AF888">
        <v>0.34407676726775716</v>
      </c>
    </row>
    <row r="889" spans="4:32" x14ac:dyDescent="0.35">
      <c r="D889">
        <v>-0.80818400000000001</v>
      </c>
      <c r="M889">
        <f t="shared" si="110"/>
        <v>888</v>
      </c>
      <c r="N889">
        <f t="shared" si="111"/>
        <v>1953.9166666665994</v>
      </c>
      <c r="O889">
        <f t="shared" si="106"/>
        <v>0</v>
      </c>
      <c r="P889">
        <f t="array" ref="P889">+SUM($G$2:$G$18*SIN(2*PI()*(N889)*$B$1/$F$2:$F$18+$H$2:$H$18))</f>
        <v>0.33932703853084956</v>
      </c>
      <c r="Q889">
        <f t="shared" si="107"/>
        <v>0</v>
      </c>
      <c r="R889">
        <f t="shared" si="108"/>
        <v>2.3936240026104824E-2</v>
      </c>
      <c r="S889">
        <f t="array" ref="S889">+$B$2*SIN(R889*$B$3+$B$4)+0*R889+ SUM($J$2:$J$20*SIN(2*PI()*N889*$I$2:$I$20+$K$2:$K$20))</f>
        <v>0.34871479364654406</v>
      </c>
      <c r="U889" s="3">
        <f t="shared" si="104"/>
        <v>1953.9166666665994</v>
      </c>
      <c r="V889" s="3">
        <f t="shared" si="105"/>
        <v>0.66536600000000012</v>
      </c>
      <c r="Z889" s="1">
        <v>1953.9583</v>
      </c>
      <c r="AA889" s="2">
        <f t="shared" si="109"/>
        <v>-1.2221359999999999</v>
      </c>
      <c r="AB889">
        <v>-61.1068</v>
      </c>
      <c r="AE889">
        <v>1953.9166666665994</v>
      </c>
      <c r="AF889">
        <v>0.34871479364654406</v>
      </c>
    </row>
    <row r="890" spans="4:32" x14ac:dyDescent="0.35">
      <c r="D890">
        <v>-1.0166979999999999</v>
      </c>
      <c r="M890">
        <f t="shared" si="110"/>
        <v>889</v>
      </c>
      <c r="N890">
        <f t="shared" si="111"/>
        <v>1953.9999999999327</v>
      </c>
      <c r="O890">
        <f t="shared" si="106"/>
        <v>36.637715116165623</v>
      </c>
      <c r="P890">
        <f t="array" ref="P890">+SUM($G$2:$G$18*SIN(2*PI()*(N890)*$B$1/$F$2:$F$18+$H$2:$H$18))</f>
        <v>-0.24566321626346582</v>
      </c>
      <c r="Q890">
        <f t="shared" si="107"/>
        <v>-9.000538931981847</v>
      </c>
      <c r="R890">
        <f t="shared" si="108"/>
        <v>1.0055325390041685E-2</v>
      </c>
      <c r="S890">
        <f t="array" ref="S890">+$B$2*SIN(R890*$B$3+$B$4)+0*R890+ SUM($J$2:$J$20*SIN(2*PI()*N890*$I$2:$I$20+$K$2:$K$20))</f>
        <v>3.5637315846620742E-2</v>
      </c>
      <c r="U890" s="3">
        <f t="shared" si="104"/>
        <v>1953.9999999999327</v>
      </c>
      <c r="V890" s="3">
        <f t="shared" si="105"/>
        <v>0.87536000000000003</v>
      </c>
      <c r="Z890" s="1">
        <v>1954.0417</v>
      </c>
      <c r="AA890" s="2">
        <f t="shared" si="109"/>
        <v>-1.1321939999999999</v>
      </c>
      <c r="AB890">
        <v>-56.609699999999997</v>
      </c>
      <c r="AE890">
        <v>1953.9999999999327</v>
      </c>
      <c r="AF890">
        <v>3.5637315846620742E-2</v>
      </c>
    </row>
    <row r="891" spans="4:32" x14ac:dyDescent="0.35">
      <c r="D891">
        <v>-1.2221359999999999</v>
      </c>
      <c r="M891">
        <f t="shared" si="110"/>
        <v>890</v>
      </c>
      <c r="N891">
        <f t="shared" si="111"/>
        <v>1954.083333333266</v>
      </c>
      <c r="O891">
        <f t="shared" si="106"/>
        <v>0</v>
      </c>
      <c r="P891">
        <f t="array" ref="P891">+SUM($G$2:$G$18*SIN(2*PI()*(N891)*$B$1/$F$2:$F$18+$H$2:$H$18))</f>
        <v>-0.9903642891534753</v>
      </c>
      <c r="Q891">
        <f t="shared" si="107"/>
        <v>0</v>
      </c>
      <c r="R891">
        <f t="shared" si="108"/>
        <v>1.0039858882492311E-2</v>
      </c>
      <c r="S891">
        <f t="array" ref="S891">+$B$2*SIN(R891*$B$3+$B$4)+0*R891+ SUM($J$2:$J$20*SIN(2*PI()*N891*$I$2:$I$20+$K$2:$K$20))</f>
        <v>3.3448435372098746E-2</v>
      </c>
      <c r="U891" s="3">
        <f t="shared" ref="U891:U954" si="112">+N891</f>
        <v>1954.083333333266</v>
      </c>
      <c r="V891" s="3">
        <f t="shared" ref="V891:V954" si="113">+D849</f>
        <v>0.79458399999999996</v>
      </c>
      <c r="Z891" s="1">
        <v>1954.125</v>
      </c>
      <c r="AA891" s="2">
        <f t="shared" si="109"/>
        <v>-0.97917399999999999</v>
      </c>
      <c r="AB891">
        <v>-48.9587</v>
      </c>
      <c r="AE891">
        <v>1954.083333333266</v>
      </c>
      <c r="AF891">
        <v>3.3448435372098746E-2</v>
      </c>
    </row>
    <row r="892" spans="4:32" x14ac:dyDescent="0.35">
      <c r="D892">
        <v>-1.1321939999999999</v>
      </c>
      <c r="M892">
        <f t="shared" si="110"/>
        <v>891</v>
      </c>
      <c r="N892">
        <f t="shared" si="111"/>
        <v>1954.1666666665992</v>
      </c>
      <c r="O892">
        <f t="shared" si="106"/>
        <v>0</v>
      </c>
      <c r="P892">
        <f t="array" ref="P892">+SUM($G$2:$G$18*SIN(2*PI()*(N892)*$B$1/$F$2:$F$18+$H$2:$H$18))</f>
        <v>-0.80115454354982973</v>
      </c>
      <c r="Q892">
        <f t="shared" si="107"/>
        <v>0</v>
      </c>
      <c r="R892">
        <f t="shared" si="108"/>
        <v>1.0024416164611246E-2</v>
      </c>
      <c r="S892">
        <f t="array" ref="S892">+$B$2*SIN(R892*$B$3+$B$4)+0*R892+ SUM($J$2:$J$20*SIN(2*PI()*N892*$I$2:$I$20+$K$2:$K$20))</f>
        <v>3.1262638912618275E-2</v>
      </c>
      <c r="U892" s="3">
        <f t="shared" si="112"/>
        <v>1954.1666666665992</v>
      </c>
      <c r="V892" s="3">
        <f t="shared" si="113"/>
        <v>0.67072799999999999</v>
      </c>
      <c r="Z892" s="1">
        <v>1954.2083</v>
      </c>
      <c r="AA892" s="2">
        <f t="shared" si="109"/>
        <v>-1.1307700000000001</v>
      </c>
      <c r="AB892">
        <v>-56.538499999999999</v>
      </c>
      <c r="AE892">
        <v>1954.1666666665992</v>
      </c>
      <c r="AF892">
        <v>3.1262638912618275E-2</v>
      </c>
    </row>
    <row r="893" spans="4:32" x14ac:dyDescent="0.35">
      <c r="D893">
        <v>-0.97917399999999999</v>
      </c>
      <c r="M893">
        <f t="shared" si="110"/>
        <v>892</v>
      </c>
      <c r="N893">
        <f t="shared" si="111"/>
        <v>1954.2499999999325</v>
      </c>
      <c r="O893">
        <f t="shared" si="106"/>
        <v>0</v>
      </c>
      <c r="P893">
        <f t="array" ref="P893">+SUM($G$2:$G$18*SIN(2*PI()*(N893)*$B$1/$F$2:$F$18+$H$2:$H$18))</f>
        <v>-0.12661540018206524</v>
      </c>
      <c r="Q893">
        <f t="shared" si="107"/>
        <v>0</v>
      </c>
      <c r="R893">
        <f t="shared" si="108"/>
        <v>1.0008997199806628E-2</v>
      </c>
      <c r="S893">
        <f t="array" ref="S893">+$B$2*SIN(R893*$B$3+$B$4)+0*R893+ SUM($J$2:$J$20*SIN(2*PI()*N893*$I$2:$I$20+$K$2:$K$20))</f>
        <v>2.9079941016330067E-2</v>
      </c>
      <c r="U893" s="3">
        <f t="shared" si="112"/>
        <v>1954.2499999999325</v>
      </c>
      <c r="V893" s="3">
        <f t="shared" si="113"/>
        <v>0.21610399999999999</v>
      </c>
      <c r="Z893" s="1">
        <v>1954.2917</v>
      </c>
      <c r="AA893" s="2">
        <f t="shared" si="109"/>
        <v>-1.3839080000000001</v>
      </c>
      <c r="AB893">
        <v>-69.195400000000006</v>
      </c>
      <c r="AE893">
        <v>1954.2499999999325</v>
      </c>
      <c r="AF893">
        <v>2.9079941016330067E-2</v>
      </c>
    </row>
    <row r="894" spans="4:32" x14ac:dyDescent="0.35">
      <c r="D894">
        <v>-1.1307700000000001</v>
      </c>
      <c r="M894">
        <f t="shared" si="110"/>
        <v>893</v>
      </c>
      <c r="N894">
        <f t="shared" si="111"/>
        <v>1954.3333333332657</v>
      </c>
      <c r="O894">
        <f t="shared" si="106"/>
        <v>0</v>
      </c>
      <c r="P894">
        <f t="array" ref="P894">+SUM($G$2:$G$18*SIN(2*PI()*(N894)*$B$1/$F$2:$F$18+$H$2:$H$18))</f>
        <v>-3.553662786752898E-2</v>
      </c>
      <c r="Q894">
        <f t="shared" si="107"/>
        <v>0</v>
      </c>
      <c r="R894">
        <f t="shared" si="108"/>
        <v>9.9936019515428787E-3</v>
      </c>
      <c r="S894">
        <f t="array" ref="S894">+$B$2*SIN(R894*$B$3+$B$4)+0*R894+ SUM($J$2:$J$20*SIN(2*PI()*N894*$I$2:$I$20+$K$2:$K$20))</f>
        <v>2.6900356067042983E-2</v>
      </c>
      <c r="U894" s="3">
        <f t="shared" si="112"/>
        <v>1954.3333333332657</v>
      </c>
      <c r="V894" s="3">
        <f t="shared" si="113"/>
        <v>1.6864000000000001E-2</v>
      </c>
      <c r="Z894" s="1">
        <v>1954.375</v>
      </c>
      <c r="AA894" s="2">
        <f t="shared" si="109"/>
        <v>-1.3878139999999999</v>
      </c>
      <c r="AB894">
        <v>-69.390699999999995</v>
      </c>
      <c r="AE894">
        <v>1954.3333333332657</v>
      </c>
      <c r="AF894">
        <v>2.6900356067042983E-2</v>
      </c>
    </row>
    <row r="895" spans="4:32" x14ac:dyDescent="0.35">
      <c r="D895">
        <v>-1.3839080000000001</v>
      </c>
      <c r="M895">
        <f t="shared" si="110"/>
        <v>894</v>
      </c>
      <c r="N895">
        <f t="shared" si="111"/>
        <v>1954.416666666599</v>
      </c>
      <c r="O895">
        <f t="shared" si="106"/>
        <v>0</v>
      </c>
      <c r="P895">
        <f t="array" ref="P895">+SUM($G$2:$G$18*SIN(2*PI()*(N895)*$B$1/$F$2:$F$18+$H$2:$H$18))</f>
        <v>-0.31398094642043489</v>
      </c>
      <c r="Q895">
        <f t="shared" si="107"/>
        <v>0</v>
      </c>
      <c r="R895">
        <f t="shared" si="108"/>
        <v>9.9782303833406156E-3</v>
      </c>
      <c r="S895">
        <f t="array" ref="S895">+$B$2*SIN(R895*$B$3+$B$4)+0*R895+ SUM($J$2:$J$20*SIN(2*PI()*N895*$I$2:$I$20+$K$2:$K$20))</f>
        <v>2.4723898285125095E-2</v>
      </c>
      <c r="U895" s="3">
        <f t="shared" si="112"/>
        <v>1954.416666666599</v>
      </c>
      <c r="V895" s="3">
        <f t="shared" si="113"/>
        <v>-9.7766000000000006E-2</v>
      </c>
      <c r="Z895" s="1">
        <v>1954.4583</v>
      </c>
      <c r="AA895" s="2">
        <f t="shared" si="109"/>
        <v>-1.1717219999999999</v>
      </c>
      <c r="AB895">
        <v>-58.586100000000002</v>
      </c>
      <c r="AE895">
        <v>1954.416666666599</v>
      </c>
      <c r="AF895">
        <v>2.4723898285125095E-2</v>
      </c>
    </row>
    <row r="896" spans="4:32" x14ac:dyDescent="0.35">
      <c r="D896">
        <v>-1.3878139999999999</v>
      </c>
      <c r="M896">
        <f t="shared" si="110"/>
        <v>895</v>
      </c>
      <c r="N896">
        <f t="shared" si="111"/>
        <v>1954.4999999999322</v>
      </c>
      <c r="O896">
        <f t="shared" si="106"/>
        <v>0</v>
      </c>
      <c r="P896">
        <f t="array" ref="P896">+SUM($G$2:$G$18*SIN(2*PI()*(N896)*$B$1/$F$2:$F$18+$H$2:$H$18))</f>
        <v>-0.33925315516081272</v>
      </c>
      <c r="Q896">
        <f t="shared" si="107"/>
        <v>0</v>
      </c>
      <c r="R896">
        <f t="shared" si="108"/>
        <v>9.9628824587765664E-3</v>
      </c>
      <c r="S896">
        <f t="array" ref="S896">+$B$2*SIN(R896*$B$3+$B$4)+0*R896+ SUM($J$2:$J$20*SIN(2*PI()*N896*$I$2:$I$20+$K$2:$K$20))</f>
        <v>2.255058172840517E-2</v>
      </c>
      <c r="U896" s="3">
        <f t="shared" si="112"/>
        <v>1954.4999999999322</v>
      </c>
      <c r="V896" s="3">
        <f t="shared" si="113"/>
        <v>-0.14316200000000001</v>
      </c>
      <c r="Z896" s="1">
        <v>1954.5417</v>
      </c>
      <c r="AA896" s="2">
        <f t="shared" si="109"/>
        <v>-1.240248</v>
      </c>
      <c r="AB896">
        <v>-62.0124</v>
      </c>
      <c r="AE896">
        <v>1954.4999999999322</v>
      </c>
      <c r="AF896">
        <v>2.255058172840517E-2</v>
      </c>
    </row>
    <row r="897" spans="4:32" x14ac:dyDescent="0.35">
      <c r="D897">
        <v>-1.1717219999999999</v>
      </c>
      <c r="M897">
        <f t="shared" si="110"/>
        <v>896</v>
      </c>
      <c r="N897">
        <f t="shared" si="111"/>
        <v>1954.5833333332655</v>
      </c>
      <c r="O897">
        <f t="shared" si="106"/>
        <v>0</v>
      </c>
      <c r="P897">
        <f t="array" ref="P897">+SUM($G$2:$G$18*SIN(2*PI()*(N897)*$B$1/$F$2:$F$18+$H$2:$H$18))</f>
        <v>1.0166576110462594E-2</v>
      </c>
      <c r="Q897">
        <f t="shared" si="107"/>
        <v>0</v>
      </c>
      <c r="R897">
        <f t="shared" si="108"/>
        <v>9.9475581414834834E-3</v>
      </c>
      <c r="S897">
        <f t="array" ref="S897">+$B$2*SIN(R897*$B$3+$B$4)+0*R897+ SUM($J$2:$J$20*SIN(2*PI()*N897*$I$2:$I$20+$K$2:$K$20))</f>
        <v>2.038042029307098E-2</v>
      </c>
      <c r="U897" s="3">
        <f t="shared" si="112"/>
        <v>1954.5833333332655</v>
      </c>
      <c r="V897" s="3">
        <f t="shared" si="113"/>
        <v>-0.17163799999999999</v>
      </c>
      <c r="Z897" s="1">
        <v>1954.625</v>
      </c>
      <c r="AA897" s="2">
        <f t="shared" si="109"/>
        <v>-1.268772</v>
      </c>
      <c r="AB897">
        <v>-63.438600000000001</v>
      </c>
      <c r="AE897">
        <v>1954.5833333332655</v>
      </c>
      <c r="AF897">
        <v>2.038042029307098E-2</v>
      </c>
    </row>
    <row r="898" spans="4:32" x14ac:dyDescent="0.35">
      <c r="D898">
        <v>-1.240248</v>
      </c>
      <c r="M898">
        <f t="shared" si="110"/>
        <v>897</v>
      </c>
      <c r="N898">
        <f t="shared" si="111"/>
        <v>1954.6666666665988</v>
      </c>
      <c r="O898">
        <f t="shared" ref="O898:O961" si="114">+IF(MOD(M898,$B$5)=1, $B$6, 0)</f>
        <v>0</v>
      </c>
      <c r="P898">
        <f t="array" ref="P898">+SUM($G$2:$G$18*SIN(2*PI()*(N898)*$B$1/$F$2:$F$18+$H$2:$H$18))</f>
        <v>0.26132987531433394</v>
      </c>
      <c r="Q898">
        <f t="shared" si="107"/>
        <v>0</v>
      </c>
      <c r="R898">
        <f t="shared" si="108"/>
        <v>9.9322573951500567E-3</v>
      </c>
      <c r="S898">
        <f t="array" ref="S898">+$B$2*SIN(R898*$B$3+$B$4)+0*R898+ SUM($J$2:$J$20*SIN(2*PI()*N898*$I$2:$I$20+$K$2:$K$20))</f>
        <v>1.8213427714565508E-2</v>
      </c>
      <c r="U898" s="3">
        <f t="shared" si="112"/>
        <v>1954.6666666665988</v>
      </c>
      <c r="V898" s="3">
        <f t="shared" si="113"/>
        <v>-9.7040000000000001E-2</v>
      </c>
      <c r="Z898" s="1">
        <v>1954.7083</v>
      </c>
      <c r="AA898" s="2">
        <f t="shared" si="109"/>
        <v>-0.96345200000000009</v>
      </c>
      <c r="AB898">
        <v>-48.172600000000003</v>
      </c>
      <c r="AE898">
        <v>1954.6666666665988</v>
      </c>
      <c r="AF898">
        <v>1.8213427714565508E-2</v>
      </c>
    </row>
    <row r="899" spans="4:32" x14ac:dyDescent="0.35">
      <c r="D899">
        <v>-1.268772</v>
      </c>
      <c r="M899">
        <f t="shared" si="110"/>
        <v>898</v>
      </c>
      <c r="N899">
        <f t="shared" si="111"/>
        <v>1954.749999999932</v>
      </c>
      <c r="O899">
        <f t="shared" si="114"/>
        <v>0</v>
      </c>
      <c r="P899">
        <f t="array" ref="P899">+SUM($G$2:$G$18*SIN(2*PI()*(N899)*$B$1/$F$2:$F$18+$H$2:$H$18))</f>
        <v>-0.25065782626334276</v>
      </c>
      <c r="Q899">
        <f t="shared" ref="Q899:Q962" si="115">+O899*P899</f>
        <v>0</v>
      </c>
      <c r="R899">
        <f t="shared" ref="R899:R962" si="116">+(1-$B$7)*R898+($B$7)*Q899</f>
        <v>9.9169801835208276E-3</v>
      </c>
      <c r="S899">
        <f t="array" ref="S899">+$B$2*SIN(R899*$B$3+$B$4)+0*R899+ SUM($J$2:$J$20*SIN(2*PI()*N899*$I$2:$I$20+$K$2:$K$20))</f>
        <v>1.6049617568480404E-2</v>
      </c>
      <c r="U899" s="3">
        <f t="shared" si="112"/>
        <v>1954.749999999932</v>
      </c>
      <c r="V899" s="3">
        <f t="shared" si="113"/>
        <v>-0.27321000000000001</v>
      </c>
      <c r="Z899" s="1">
        <v>1954.7917</v>
      </c>
      <c r="AA899" s="2">
        <f t="shared" ref="AA899:AA962" si="117">+AB899/50</f>
        <v>-0.559674</v>
      </c>
      <c r="AB899">
        <v>-27.983699999999999</v>
      </c>
      <c r="AE899">
        <v>1954.749999999932</v>
      </c>
      <c r="AF899">
        <v>1.6049617568480404E-2</v>
      </c>
    </row>
    <row r="900" spans="4:32" x14ac:dyDescent="0.35">
      <c r="D900">
        <v>-0.96345200000000009</v>
      </c>
      <c r="M900">
        <f t="shared" ref="M900:M963" si="118">+M899+1</f>
        <v>899</v>
      </c>
      <c r="N900">
        <f t="shared" ref="N900:N963" si="119">+N899+1/12</f>
        <v>1954.8333333332653</v>
      </c>
      <c r="O900">
        <f t="shared" si="114"/>
        <v>0</v>
      </c>
      <c r="P900">
        <f t="array" ref="P900">+SUM($G$2:$G$18*SIN(2*PI()*(N900)*$B$1/$F$2:$F$18+$H$2:$H$18))</f>
        <v>-0.92236538045844818</v>
      </c>
      <c r="Q900">
        <f t="shared" si="115"/>
        <v>0</v>
      </c>
      <c r="R900">
        <f t="shared" si="116"/>
        <v>9.9017264703961071E-3</v>
      </c>
      <c r="S900">
        <f t="array" ref="S900">+$B$2*SIN(R900*$B$3+$B$4)+0*R900+ SUM($J$2:$J$20*SIN(2*PI()*N900*$I$2:$I$20+$K$2:$K$20))</f>
        <v>1.3889003271449294E-2</v>
      </c>
      <c r="U900" s="3">
        <f t="shared" si="112"/>
        <v>1954.8333333332653</v>
      </c>
      <c r="V900" s="3">
        <f t="shared" si="113"/>
        <v>-0.30015000000000003</v>
      </c>
      <c r="Z900" s="1">
        <v>1954.875</v>
      </c>
      <c r="AA900" s="2">
        <f t="shared" si="117"/>
        <v>-0.34973999999999994</v>
      </c>
      <c r="AB900">
        <v>-17.486999999999998</v>
      </c>
      <c r="AE900">
        <v>1954.8333333332653</v>
      </c>
      <c r="AF900">
        <v>1.3889003271449294E-2</v>
      </c>
    </row>
    <row r="901" spans="4:32" x14ac:dyDescent="0.35">
      <c r="D901">
        <v>-0.559674</v>
      </c>
      <c r="M901">
        <f t="shared" si="118"/>
        <v>900</v>
      </c>
      <c r="N901">
        <f t="shared" si="119"/>
        <v>1954.9166666665985</v>
      </c>
      <c r="O901">
        <f t="shared" si="114"/>
        <v>0</v>
      </c>
      <c r="P901">
        <f t="array" ref="P901">+SUM($G$2:$G$18*SIN(2*PI()*(N901)*$B$1/$F$2:$F$18+$H$2:$H$18))</f>
        <v>-0.65928215994659334</v>
      </c>
      <c r="Q901">
        <f t="shared" si="115"/>
        <v>0</v>
      </c>
      <c r="R901">
        <f t="shared" si="116"/>
        <v>9.886496219631882E-3</v>
      </c>
      <c r="S901">
        <f t="array" ref="S901">+$B$2*SIN(R901*$B$3+$B$4)+0*R901+ SUM($J$2:$J$20*SIN(2*PI()*N901*$I$2:$I$20+$K$2:$K$20))</f>
        <v>1.1731598082035014E-2</v>
      </c>
      <c r="U901" s="3">
        <f t="shared" si="112"/>
        <v>1954.9166666665985</v>
      </c>
      <c r="V901" s="3">
        <f t="shared" si="113"/>
        <v>-0.52093999999999996</v>
      </c>
      <c r="Z901" s="1">
        <v>1954.9583</v>
      </c>
      <c r="AA901" s="2">
        <f t="shared" si="117"/>
        <v>-6.4423999999999995E-2</v>
      </c>
      <c r="AB901">
        <v>-3.2212000000000001</v>
      </c>
      <c r="AE901">
        <v>1954.9166666665985</v>
      </c>
      <c r="AF901">
        <v>1.1731598082035014E-2</v>
      </c>
    </row>
    <row r="902" spans="4:32" x14ac:dyDescent="0.35">
      <c r="D902">
        <v>-0.34973999999999994</v>
      </c>
      <c r="M902">
        <f t="shared" si="118"/>
        <v>901</v>
      </c>
      <c r="N902">
        <f t="shared" si="119"/>
        <v>1954.9999999999318</v>
      </c>
      <c r="O902">
        <f t="shared" si="114"/>
        <v>36.637715116165623</v>
      </c>
      <c r="P902">
        <f t="array" ref="P902">+SUM($G$2:$G$18*SIN(2*PI()*(N902)*$B$1/$F$2:$F$18+$H$2:$H$18))</f>
        <v>1.2901810600012276E-3</v>
      </c>
      <c r="Q902">
        <f t="shared" si="115"/>
        <v>4.7269286124597562E-2</v>
      </c>
      <c r="R902">
        <f t="shared" si="116"/>
        <v>9.9439962188715338E-3</v>
      </c>
      <c r="S902">
        <f t="array" ref="S902">+$B$2*SIN(R902*$B$3+$B$4)+0*R902+ SUM($J$2:$J$20*SIN(2*PI()*N902*$I$2:$I$20+$K$2:$K$20))</f>
        <v>1.9875971761782955E-2</v>
      </c>
      <c r="U902" s="3">
        <f t="shared" si="112"/>
        <v>1954.9999999999318</v>
      </c>
      <c r="V902" s="3">
        <f t="shared" si="113"/>
        <v>-1.0263420000000001</v>
      </c>
      <c r="Z902" s="1">
        <v>1955.0417</v>
      </c>
      <c r="AA902" s="2">
        <f t="shared" si="117"/>
        <v>0.27473600000000004</v>
      </c>
      <c r="AB902">
        <v>13.736800000000001</v>
      </c>
      <c r="AE902">
        <v>1954.9999999999318</v>
      </c>
      <c r="AF902">
        <v>1.9875971761782955E-2</v>
      </c>
    </row>
    <row r="903" spans="4:32" x14ac:dyDescent="0.35">
      <c r="D903">
        <v>-6.4423999999999995E-2</v>
      </c>
      <c r="M903">
        <f t="shared" si="118"/>
        <v>902</v>
      </c>
      <c r="N903">
        <f t="shared" si="119"/>
        <v>1955.083333333265</v>
      </c>
      <c r="O903">
        <f t="shared" si="114"/>
        <v>0</v>
      </c>
      <c r="P903">
        <f t="array" ref="P903">+SUM($G$2:$G$18*SIN(2*PI()*(N903)*$B$1/$F$2:$F$18+$H$2:$H$18))</f>
        <v>9.5336956872596135E-2</v>
      </c>
      <c r="Q903">
        <f t="shared" si="115"/>
        <v>0</v>
      </c>
      <c r="R903">
        <f t="shared" si="116"/>
        <v>9.9287009512770662E-3</v>
      </c>
      <c r="S903">
        <f t="array" ref="S903">+$B$2*SIN(R903*$B$3+$B$4)+0*R903+ SUM($J$2:$J$20*SIN(2*PI()*N903*$I$2:$I$20+$K$2:$K$20))</f>
        <v>1.7709718391280688E-2</v>
      </c>
      <c r="U903" s="3">
        <f t="shared" si="112"/>
        <v>1955.083333333265</v>
      </c>
      <c r="V903" s="3">
        <f t="shared" si="113"/>
        <v>-1.0579019999999999</v>
      </c>
      <c r="Z903" s="1">
        <v>1955.125</v>
      </c>
      <c r="AA903" s="2">
        <f t="shared" si="117"/>
        <v>0.241588</v>
      </c>
      <c r="AB903">
        <v>12.0794</v>
      </c>
      <c r="AE903">
        <v>1955.083333333265</v>
      </c>
      <c r="AF903">
        <v>1.7709718391280688E-2</v>
      </c>
    </row>
    <row r="904" spans="4:32" x14ac:dyDescent="0.35">
      <c r="D904">
        <v>0.27473600000000004</v>
      </c>
      <c r="M904">
        <f t="shared" si="118"/>
        <v>903</v>
      </c>
      <c r="N904">
        <f t="shared" si="119"/>
        <v>1955.1666666665983</v>
      </c>
      <c r="O904">
        <f t="shared" si="114"/>
        <v>0</v>
      </c>
      <c r="P904">
        <f t="array" ref="P904">+SUM($G$2:$G$18*SIN(2*PI()*(N904)*$B$1/$F$2:$F$18+$H$2:$H$18))</f>
        <v>-0.17319594309280351</v>
      </c>
      <c r="Q904">
        <f t="shared" si="115"/>
        <v>0</v>
      </c>
      <c r="R904">
        <f t="shared" si="116"/>
        <v>9.9134292099597246E-3</v>
      </c>
      <c r="S904">
        <f t="array" ref="S904">+$B$2*SIN(R904*$B$3+$B$4)+0*R904+ SUM($J$2:$J$20*SIN(2*PI()*N904*$I$2:$I$20+$K$2:$K$20))</f>
        <v>1.554665058882434E-2</v>
      </c>
      <c r="U904" s="3">
        <f t="shared" si="112"/>
        <v>1955.1666666665983</v>
      </c>
      <c r="V904" s="3">
        <f t="shared" si="113"/>
        <v>-0.87715599999999994</v>
      </c>
      <c r="Z904" s="1">
        <v>1955.2083</v>
      </c>
      <c r="AA904" s="2">
        <f t="shared" si="117"/>
        <v>0.14843999999999999</v>
      </c>
      <c r="AB904">
        <v>7.4219999999999997</v>
      </c>
      <c r="AE904">
        <v>1955.1666666665983</v>
      </c>
      <c r="AF904">
        <v>1.554665058882434E-2</v>
      </c>
    </row>
    <row r="905" spans="4:32" x14ac:dyDescent="0.35">
      <c r="D905">
        <v>0.241588</v>
      </c>
      <c r="M905">
        <f t="shared" si="118"/>
        <v>904</v>
      </c>
      <c r="N905">
        <f t="shared" si="119"/>
        <v>1955.2499999999316</v>
      </c>
      <c r="O905">
        <f t="shared" si="114"/>
        <v>0</v>
      </c>
      <c r="P905">
        <f t="array" ref="P905">+SUM($G$2:$G$18*SIN(2*PI()*(N905)*$B$1/$F$2:$F$18+$H$2:$H$18))</f>
        <v>-0.24259302453799106</v>
      </c>
      <c r="Q905">
        <f t="shared" si="115"/>
        <v>0</v>
      </c>
      <c r="R905">
        <f t="shared" si="116"/>
        <v>9.8981809587327801E-3</v>
      </c>
      <c r="S905">
        <f t="array" ref="S905">+$B$2*SIN(R905*$B$3+$B$4)+0*R905+ SUM($J$2:$J$20*SIN(2*PI()*N905*$I$2:$I$20+$K$2:$K$20))</f>
        <v>1.3386781734191429E-2</v>
      </c>
      <c r="U905" s="3">
        <f t="shared" si="112"/>
        <v>1955.2499999999316</v>
      </c>
      <c r="V905" s="3">
        <f t="shared" si="113"/>
        <v>-0.75641000000000003</v>
      </c>
      <c r="Z905" s="1">
        <v>1955.2917</v>
      </c>
      <c r="AA905" s="2">
        <f t="shared" si="117"/>
        <v>0.246058</v>
      </c>
      <c r="AB905">
        <v>12.302899999999999</v>
      </c>
      <c r="AE905">
        <v>1955.2499999999316</v>
      </c>
      <c r="AF905">
        <v>1.3386781734191429E-2</v>
      </c>
    </row>
    <row r="906" spans="4:32" x14ac:dyDescent="0.35">
      <c r="D906">
        <v>0.14843999999999999</v>
      </c>
      <c r="M906">
        <f t="shared" si="118"/>
        <v>905</v>
      </c>
      <c r="N906">
        <f t="shared" si="119"/>
        <v>1955.3333333332648</v>
      </c>
      <c r="O906">
        <f t="shared" si="114"/>
        <v>0</v>
      </c>
      <c r="P906">
        <f t="array" ref="P906">+SUM($G$2:$G$18*SIN(2*PI()*(N906)*$B$1/$F$2:$F$18+$H$2:$H$18))</f>
        <v>9.9898854871222686E-2</v>
      </c>
      <c r="Q906">
        <f t="shared" si="115"/>
        <v>0</v>
      </c>
      <c r="R906">
        <f t="shared" si="116"/>
        <v>9.8829561614651625E-3</v>
      </c>
      <c r="S906">
        <f t="array" ref="S906">+$B$2*SIN(R906*$B$3+$B$4)+0*R906+ SUM($J$2:$J$20*SIN(2*PI()*N906*$I$2:$I$20+$K$2:$K$20))</f>
        <v>1.1230125049296409E-2</v>
      </c>
      <c r="U906" s="3">
        <f t="shared" si="112"/>
        <v>1955.3333333332648</v>
      </c>
      <c r="V906" s="3">
        <f t="shared" si="113"/>
        <v>-0.47720199999999996</v>
      </c>
      <c r="Z906" s="1">
        <v>1955.375</v>
      </c>
      <c r="AA906" s="2">
        <f t="shared" si="117"/>
        <v>0.38675400000000004</v>
      </c>
      <c r="AB906">
        <v>19.337700000000002</v>
      </c>
      <c r="AE906">
        <v>1955.3333333332648</v>
      </c>
      <c r="AF906">
        <v>1.1230125049296409E-2</v>
      </c>
    </row>
    <row r="907" spans="4:32" x14ac:dyDescent="0.35">
      <c r="D907">
        <v>0.246058</v>
      </c>
      <c r="M907">
        <f t="shared" si="118"/>
        <v>906</v>
      </c>
      <c r="N907">
        <f t="shared" si="119"/>
        <v>1955.4166666665981</v>
      </c>
      <c r="O907">
        <f t="shared" si="114"/>
        <v>0</v>
      </c>
      <c r="P907">
        <f t="array" ref="P907">+SUM($G$2:$G$18*SIN(2*PI()*(N907)*$B$1/$F$2:$F$18+$H$2:$H$18))</f>
        <v>0.34720792603589912</v>
      </c>
      <c r="Q907">
        <f t="shared" si="115"/>
        <v>0</v>
      </c>
      <c r="R907">
        <f t="shared" si="116"/>
        <v>9.8677547820813765E-3</v>
      </c>
      <c r="S907">
        <f t="array" ref="S907">+$B$2*SIN(R907*$B$3+$B$4)+0*R907+ SUM($J$2:$J$20*SIN(2*PI()*N907*$I$2:$I$20+$K$2:$K$20))</f>
        <v>9.0766935990771822E-3</v>
      </c>
      <c r="U907" s="3">
        <f t="shared" si="112"/>
        <v>1955.4166666665981</v>
      </c>
      <c r="V907" s="3">
        <f t="shared" si="113"/>
        <v>-0.42415199999999997</v>
      </c>
      <c r="Z907" s="1">
        <v>1955.4583</v>
      </c>
      <c r="AA907" s="2">
        <f t="shared" si="117"/>
        <v>0.590526</v>
      </c>
      <c r="AB907">
        <v>29.526299999999999</v>
      </c>
      <c r="AE907">
        <v>1955.4166666665981</v>
      </c>
      <c r="AF907">
        <v>9.0766935990771822E-3</v>
      </c>
    </row>
    <row r="908" spans="4:32" x14ac:dyDescent="0.35">
      <c r="D908">
        <v>0.38675400000000004</v>
      </c>
      <c r="M908">
        <f t="shared" si="118"/>
        <v>907</v>
      </c>
      <c r="N908">
        <f t="shared" si="119"/>
        <v>1955.4999999999313</v>
      </c>
      <c r="O908">
        <f t="shared" si="114"/>
        <v>0</v>
      </c>
      <c r="P908">
        <f t="array" ref="P908">+SUM($G$2:$G$18*SIN(2*PI()*(N908)*$B$1/$F$2:$F$18+$H$2:$H$18))</f>
        <v>-0.13748991899108651</v>
      </c>
      <c r="Q908">
        <f t="shared" si="115"/>
        <v>0</v>
      </c>
      <c r="R908">
        <f t="shared" si="116"/>
        <v>9.8525767845614176E-3</v>
      </c>
      <c r="S908">
        <f t="array" ref="S908">+$B$2*SIN(R908*$B$3+$B$4)+0*R908+ SUM($J$2:$J$20*SIN(2*PI()*N908*$I$2:$I$20+$K$2:$K$20))</f>
        <v>6.9265002923792436E-3</v>
      </c>
      <c r="U908" s="3">
        <f t="shared" si="112"/>
        <v>1955.4999999999313</v>
      </c>
      <c r="V908" s="3">
        <f t="shared" si="113"/>
        <v>-0.30341000000000001</v>
      </c>
      <c r="Z908" s="1">
        <v>1955.5417</v>
      </c>
      <c r="AA908" s="2">
        <f t="shared" si="117"/>
        <v>0.77121600000000001</v>
      </c>
      <c r="AB908">
        <v>38.5608</v>
      </c>
      <c r="AE908">
        <v>1955.4999999999313</v>
      </c>
      <c r="AF908">
        <v>6.9265002923792436E-3</v>
      </c>
    </row>
    <row r="909" spans="4:32" x14ac:dyDescent="0.35">
      <c r="D909">
        <v>0.590526</v>
      </c>
      <c r="M909">
        <f t="shared" si="118"/>
        <v>908</v>
      </c>
      <c r="N909">
        <f t="shared" si="119"/>
        <v>1955.5833333332646</v>
      </c>
      <c r="O909">
        <f t="shared" si="114"/>
        <v>0</v>
      </c>
      <c r="P909">
        <f t="array" ref="P909">+SUM($G$2:$G$18*SIN(2*PI()*(N909)*$B$1/$F$2:$F$18+$H$2:$H$18))</f>
        <v>-0.64146301585044141</v>
      </c>
      <c r="Q909">
        <f t="shared" si="115"/>
        <v>0</v>
      </c>
      <c r="R909">
        <f t="shared" si="116"/>
        <v>9.8374221329406829E-3</v>
      </c>
      <c r="S909">
        <f t="array" ref="S909">+$B$2*SIN(R909*$B$3+$B$4)+0*R909+ SUM($J$2:$J$20*SIN(2*PI()*N909*$I$2:$I$20+$K$2:$K$20))</f>
        <v>4.7795578828378205E-3</v>
      </c>
      <c r="U909" s="3">
        <f t="shared" si="112"/>
        <v>1955.5833333332646</v>
      </c>
      <c r="V909" s="3">
        <f t="shared" si="113"/>
        <v>-6.5743999999999997E-2</v>
      </c>
      <c r="Z909" s="1">
        <v>1955.625</v>
      </c>
      <c r="AA909" s="2">
        <f t="shared" si="117"/>
        <v>0.89652399999999999</v>
      </c>
      <c r="AB909">
        <v>44.8262</v>
      </c>
      <c r="AE909">
        <v>1955.5833333332646</v>
      </c>
      <c r="AF909">
        <v>4.7795578828378205E-3</v>
      </c>
    </row>
    <row r="910" spans="4:32" x14ac:dyDescent="0.35">
      <c r="D910">
        <v>0.77121600000000001</v>
      </c>
      <c r="M910">
        <f t="shared" si="118"/>
        <v>909</v>
      </c>
      <c r="N910">
        <f t="shared" si="119"/>
        <v>1955.6666666665978</v>
      </c>
      <c r="O910">
        <f t="shared" si="114"/>
        <v>0</v>
      </c>
      <c r="P910">
        <f t="array" ref="P910">+SUM($G$2:$G$18*SIN(2*PI()*(N910)*$B$1/$F$2:$F$18+$H$2:$H$18))</f>
        <v>-0.31060525145196394</v>
      </c>
      <c r="Q910">
        <f t="shared" si="115"/>
        <v>0</v>
      </c>
      <c r="R910">
        <f t="shared" si="116"/>
        <v>9.82229079130989E-3</v>
      </c>
      <c r="S910">
        <f t="array" ref="S910">+$B$2*SIN(R910*$B$3+$B$4)+0*R910+ SUM($J$2:$J$20*SIN(2*PI()*N910*$I$2:$I$20+$K$2:$K$20))</f>
        <v>2.635878969756953E-3</v>
      </c>
      <c r="U910" s="3">
        <f t="shared" si="112"/>
        <v>1955.6666666665978</v>
      </c>
      <c r="V910" s="3">
        <f t="shared" si="113"/>
        <v>0.10422599999999999</v>
      </c>
      <c r="Z910" s="1">
        <v>1955.7083</v>
      </c>
      <c r="AA910" s="2">
        <f t="shared" si="117"/>
        <v>0.71721599999999996</v>
      </c>
      <c r="AB910">
        <v>35.860799999999998</v>
      </c>
      <c r="AE910">
        <v>1955.6666666665978</v>
      </c>
      <c r="AF910">
        <v>2.635878969756953E-3</v>
      </c>
    </row>
    <row r="911" spans="4:32" x14ac:dyDescent="0.35">
      <c r="D911">
        <v>0.89652399999999999</v>
      </c>
      <c r="M911">
        <f t="shared" si="118"/>
        <v>910</v>
      </c>
      <c r="N911">
        <f t="shared" si="119"/>
        <v>1955.7499999999311</v>
      </c>
      <c r="O911">
        <f t="shared" si="114"/>
        <v>0</v>
      </c>
      <c r="P911">
        <f t="array" ref="P911">+SUM($G$2:$G$18*SIN(2*PI()*(N911)*$B$1/$F$2:$F$18+$H$2:$H$18))</f>
        <v>0.19364127241307533</v>
      </c>
      <c r="Q911">
        <f t="shared" si="115"/>
        <v>0</v>
      </c>
      <c r="R911">
        <f t="shared" si="116"/>
        <v>9.8071827238149882E-3</v>
      </c>
      <c r="S911">
        <f t="array" ref="S911">+$B$2*SIN(R911*$B$3+$B$4)+0*R911+ SUM($J$2:$J$20*SIN(2*PI()*N911*$I$2:$I$20+$K$2:$K$20))</f>
        <v>4.9547599898701843E-4</v>
      </c>
      <c r="U911" s="3">
        <f t="shared" si="112"/>
        <v>1955.7499999999311</v>
      </c>
      <c r="V911" s="3">
        <f t="shared" si="113"/>
        <v>1.4196E-2</v>
      </c>
      <c r="Z911" s="1">
        <v>1955.7917</v>
      </c>
      <c r="AA911" s="2">
        <f t="shared" si="117"/>
        <v>0.78713399999999989</v>
      </c>
      <c r="AB911">
        <v>39.356699999999996</v>
      </c>
      <c r="AE911">
        <v>1955.7499999999311</v>
      </c>
      <c r="AF911">
        <v>4.9547599898701843E-4</v>
      </c>
    </row>
    <row r="912" spans="4:32" x14ac:dyDescent="0.35">
      <c r="D912">
        <v>0.71721599999999996</v>
      </c>
      <c r="M912">
        <f t="shared" si="118"/>
        <v>911</v>
      </c>
      <c r="N912">
        <f t="shared" si="119"/>
        <v>1955.8333333332644</v>
      </c>
      <c r="O912">
        <f t="shared" si="114"/>
        <v>0</v>
      </c>
      <c r="P912">
        <f t="array" ref="P912">+SUM($G$2:$G$18*SIN(2*PI()*(N912)*$B$1/$F$2:$F$18+$H$2:$H$18))</f>
        <v>0.20675056449111306</v>
      </c>
      <c r="Q912">
        <f t="shared" si="115"/>
        <v>0</v>
      </c>
      <c r="R912">
        <f t="shared" si="116"/>
        <v>9.7920978946570772E-3</v>
      </c>
      <c r="S912">
        <f t="array" ref="S912">+$B$2*SIN(R912*$B$3+$B$4)+0*R912+ SUM($J$2:$J$20*SIN(2*PI()*N912*$I$2:$I$20+$K$2:$K$20))</f>
        <v>-1.6416387361999935E-3</v>
      </c>
      <c r="U912" s="3">
        <f t="shared" si="112"/>
        <v>1955.8333333332644</v>
      </c>
      <c r="V912" s="3">
        <f t="shared" si="113"/>
        <v>0.17339599999999999</v>
      </c>
      <c r="Z912" s="1">
        <v>1955.875</v>
      </c>
      <c r="AA912" s="2">
        <f t="shared" si="117"/>
        <v>0.74320800000000009</v>
      </c>
      <c r="AB912">
        <v>37.160400000000003</v>
      </c>
      <c r="AE912">
        <v>1955.8333333332644</v>
      </c>
      <c r="AF912">
        <v>-1.6416387361999935E-3</v>
      </c>
    </row>
    <row r="913" spans="4:32" x14ac:dyDescent="0.35">
      <c r="D913">
        <v>0.78713399999999989</v>
      </c>
      <c r="M913">
        <f t="shared" si="118"/>
        <v>912</v>
      </c>
      <c r="N913">
        <f t="shared" si="119"/>
        <v>1955.9166666665976</v>
      </c>
      <c r="O913">
        <f t="shared" si="114"/>
        <v>0</v>
      </c>
      <c r="P913">
        <f t="array" ref="P913">+SUM($G$2:$G$18*SIN(2*PI()*(N913)*$B$1/$F$2:$F$18+$H$2:$H$18))</f>
        <v>2.071466478976991E-2</v>
      </c>
      <c r="Q913">
        <f t="shared" si="115"/>
        <v>0</v>
      </c>
      <c r="R913">
        <f t="shared" si="116"/>
        <v>9.7770362680923203E-3</v>
      </c>
      <c r="S913">
        <f t="array" ref="S913">+$B$2*SIN(R913*$B$3+$B$4)+0*R913+ SUM($J$2:$J$20*SIN(2*PI()*N913*$I$2:$I$20+$K$2:$K$20))</f>
        <v>-3.7754530942394672E-3</v>
      </c>
      <c r="U913" s="3">
        <f t="shared" si="112"/>
        <v>1955.9166666665976</v>
      </c>
      <c r="V913" s="3">
        <f t="shared" si="113"/>
        <v>0.32336199999999998</v>
      </c>
      <c r="Z913" s="1">
        <v>1955.9583</v>
      </c>
      <c r="AA913" s="2">
        <f t="shared" si="117"/>
        <v>0.74543400000000004</v>
      </c>
      <c r="AB913">
        <v>37.271700000000003</v>
      </c>
      <c r="AE913">
        <v>1955.9166666665976</v>
      </c>
      <c r="AF913">
        <v>-3.7754530942394672E-3</v>
      </c>
    </row>
    <row r="914" spans="4:32" x14ac:dyDescent="0.35">
      <c r="D914">
        <v>0.74320800000000009</v>
      </c>
      <c r="M914">
        <f t="shared" si="118"/>
        <v>913</v>
      </c>
      <c r="N914">
        <f t="shared" si="119"/>
        <v>1955.9999999999309</v>
      </c>
      <c r="O914">
        <f t="shared" si="114"/>
        <v>36.637715116165623</v>
      </c>
      <c r="P914">
        <f t="array" ref="P914">+SUM($G$2:$G$18*SIN(2*PI()*(N914)*$B$1/$F$2:$F$18+$H$2:$H$18))</f>
        <v>2.3734936414715413E-2</v>
      </c>
      <c r="Q914">
        <f t="shared" si="115"/>
        <v>0.86959383866264883</v>
      </c>
      <c r="R914">
        <f t="shared" si="116"/>
        <v>1.1099555684369473E-2</v>
      </c>
      <c r="S914">
        <f t="array" ref="S914">+$B$2*SIN(R914*$B$3+$B$4)+0*R914+ SUM($J$2:$J$20*SIN(2*PI()*N914*$I$2:$I$20+$K$2:$K$20))</f>
        <v>0.18177531431943897</v>
      </c>
      <c r="U914" s="3">
        <f t="shared" si="112"/>
        <v>1955.9999999999309</v>
      </c>
      <c r="V914" s="3">
        <f t="shared" si="113"/>
        <v>0.67332999999999998</v>
      </c>
      <c r="Z914" s="1">
        <v>1956.0417</v>
      </c>
      <c r="AA914" s="2">
        <f t="shared" si="117"/>
        <v>0.76919399999999993</v>
      </c>
      <c r="AB914">
        <v>38.459699999999998</v>
      </c>
      <c r="AE914">
        <v>1955.9999999999309</v>
      </c>
      <c r="AF914">
        <v>0.18177531431943897</v>
      </c>
    </row>
    <row r="915" spans="4:32" x14ac:dyDescent="0.35">
      <c r="D915">
        <v>0.74543400000000004</v>
      </c>
      <c r="M915">
        <f t="shared" si="118"/>
        <v>914</v>
      </c>
      <c r="N915">
        <f t="shared" si="119"/>
        <v>1956.0833333332641</v>
      </c>
      <c r="O915">
        <f t="shared" si="114"/>
        <v>0</v>
      </c>
      <c r="P915">
        <f t="array" ref="P915">+SUM($G$2:$G$18*SIN(2*PI()*(N915)*$B$1/$F$2:$F$18+$H$2:$H$18))</f>
        <v>0.30473703562041976</v>
      </c>
      <c r="Q915">
        <f t="shared" si="115"/>
        <v>0</v>
      </c>
      <c r="R915">
        <f t="shared" si="116"/>
        <v>1.1082483003463789E-2</v>
      </c>
      <c r="S915">
        <f t="array" ref="S915">+$B$2*SIN(R915*$B$3+$B$4)+0*R915+ SUM($J$2:$J$20*SIN(2*PI()*N915*$I$2:$I$20+$K$2:$K$20))</f>
        <v>0.17942722371034672</v>
      </c>
      <c r="U915" s="3">
        <f t="shared" si="112"/>
        <v>1956.0833333332641</v>
      </c>
      <c r="V915" s="3">
        <f t="shared" si="113"/>
        <v>0.85714200000000007</v>
      </c>
      <c r="Z915" s="1">
        <v>1956.125</v>
      </c>
      <c r="AA915" s="2">
        <f t="shared" si="117"/>
        <v>0.80064999999999997</v>
      </c>
      <c r="AB915">
        <v>40.032499999999999</v>
      </c>
      <c r="AE915">
        <v>1956.0833333332641</v>
      </c>
      <c r="AF915">
        <v>0.17942722371034672</v>
      </c>
    </row>
    <row r="916" spans="4:32" x14ac:dyDescent="0.35">
      <c r="D916">
        <v>0.76919399999999993</v>
      </c>
      <c r="M916">
        <f t="shared" si="118"/>
        <v>915</v>
      </c>
      <c r="N916">
        <f t="shared" si="119"/>
        <v>1956.1666666665974</v>
      </c>
      <c r="O916">
        <f t="shared" si="114"/>
        <v>0</v>
      </c>
      <c r="P916">
        <f t="array" ref="P916">+SUM($G$2:$G$18*SIN(2*PI()*(N916)*$B$1/$F$2:$F$18+$H$2:$H$18))</f>
        <v>0.37300555153510184</v>
      </c>
      <c r="Q916">
        <f t="shared" si="115"/>
        <v>0</v>
      </c>
      <c r="R916">
        <f t="shared" si="116"/>
        <v>1.1065436582747395E-2</v>
      </c>
      <c r="S916">
        <f t="array" ref="S916">+$B$2*SIN(R916*$B$3+$B$4)+0*R916+ SUM($J$2:$J$20*SIN(2*PI()*N916*$I$2:$I$20+$K$2:$K$20))</f>
        <v>0.17708089643683733</v>
      </c>
      <c r="U916" s="3">
        <f t="shared" si="112"/>
        <v>1956.1666666665974</v>
      </c>
      <c r="V916" s="3">
        <f t="shared" si="113"/>
        <v>0.72710400000000008</v>
      </c>
      <c r="Z916" s="1">
        <v>1956.2083</v>
      </c>
      <c r="AA916" s="2">
        <f t="shared" si="117"/>
        <v>0.77210400000000012</v>
      </c>
      <c r="AB916">
        <v>38.605200000000004</v>
      </c>
      <c r="AE916">
        <v>1956.1666666665974</v>
      </c>
      <c r="AF916">
        <v>0.17708089643683733</v>
      </c>
    </row>
    <row r="917" spans="4:32" x14ac:dyDescent="0.35">
      <c r="D917">
        <v>0.80064999999999997</v>
      </c>
      <c r="M917">
        <f t="shared" si="118"/>
        <v>916</v>
      </c>
      <c r="N917">
        <f t="shared" si="119"/>
        <v>1956.2499999999307</v>
      </c>
      <c r="O917">
        <f t="shared" si="114"/>
        <v>0</v>
      </c>
      <c r="P917">
        <f t="array" ref="P917">+SUM($G$2:$G$18*SIN(2*PI()*(N917)*$B$1/$F$2:$F$18+$H$2:$H$18))</f>
        <v>-0.10508342263273535</v>
      </c>
      <c r="Q917">
        <f t="shared" si="115"/>
        <v>0</v>
      </c>
      <c r="R917">
        <f t="shared" si="116"/>
        <v>1.104841638182842E-2</v>
      </c>
      <c r="S917">
        <f t="array" ref="S917">+$B$2*SIN(R917*$B$3+$B$4)+0*R917+ SUM($J$2:$J$20*SIN(2*PI()*N917*$I$2:$I$20+$K$2:$K$20))</f>
        <v>0.17473635956444378</v>
      </c>
      <c r="U917" s="3">
        <f t="shared" si="112"/>
        <v>1956.2499999999307</v>
      </c>
      <c r="V917" s="3">
        <f t="shared" si="113"/>
        <v>0.677068</v>
      </c>
      <c r="Z917" s="1">
        <v>1956.2917</v>
      </c>
      <c r="AA917" s="2">
        <f t="shared" si="117"/>
        <v>0.99739999999999995</v>
      </c>
      <c r="AB917">
        <v>49.87</v>
      </c>
      <c r="AE917">
        <v>1956.2499999999307</v>
      </c>
      <c r="AF917">
        <v>0.17473635956444378</v>
      </c>
    </row>
    <row r="918" spans="4:32" x14ac:dyDescent="0.35">
      <c r="D918">
        <v>0.77210400000000012</v>
      </c>
      <c r="M918">
        <f t="shared" si="118"/>
        <v>917</v>
      </c>
      <c r="N918">
        <f t="shared" si="119"/>
        <v>1956.3333333332639</v>
      </c>
      <c r="O918">
        <f t="shared" si="114"/>
        <v>0</v>
      </c>
      <c r="P918">
        <f t="array" ref="P918">+SUM($G$2:$G$18*SIN(2*PI()*(N918)*$B$1/$F$2:$F$18+$H$2:$H$18))</f>
        <v>-0.35084133968811748</v>
      </c>
      <c r="Q918">
        <f t="shared" si="115"/>
        <v>0</v>
      </c>
      <c r="R918">
        <f t="shared" si="116"/>
        <v>1.1031422360377118E-2</v>
      </c>
      <c r="S918">
        <f t="array" ref="S918">+$B$2*SIN(R918*$B$3+$B$4)+0*R918+ SUM($J$2:$J$20*SIN(2*PI()*N918*$I$2:$I$20+$K$2:$K$20))</f>
        <v>0.17239363993313545</v>
      </c>
      <c r="U918" s="3">
        <f t="shared" si="112"/>
        <v>1956.3333333332639</v>
      </c>
      <c r="V918" s="3">
        <f t="shared" si="113"/>
        <v>0.45779999999999998</v>
      </c>
      <c r="Z918" s="1">
        <v>1956.375</v>
      </c>
      <c r="AA918" s="2">
        <f t="shared" si="117"/>
        <v>0.86269800000000008</v>
      </c>
      <c r="AB918">
        <v>43.134900000000002</v>
      </c>
      <c r="AE918">
        <v>1956.3333333332639</v>
      </c>
      <c r="AF918">
        <v>0.17239363993313545</v>
      </c>
    </row>
    <row r="919" spans="4:32" x14ac:dyDescent="0.35">
      <c r="D919">
        <v>0.99739999999999995</v>
      </c>
      <c r="M919">
        <f t="shared" si="118"/>
        <v>918</v>
      </c>
      <c r="N919">
        <f t="shared" si="119"/>
        <v>1956.4166666665972</v>
      </c>
      <c r="O919">
        <f t="shared" si="114"/>
        <v>0</v>
      </c>
      <c r="P919">
        <f t="array" ref="P919">+SUM($G$2:$G$18*SIN(2*PI()*(N919)*$B$1/$F$2:$F$18+$H$2:$H$18))</f>
        <v>1.6225350785949638E-2</v>
      </c>
      <c r="Q919">
        <f t="shared" si="115"/>
        <v>0</v>
      </c>
      <c r="R919">
        <f t="shared" si="116"/>
        <v>1.101445447812578E-2</v>
      </c>
      <c r="S919">
        <f t="array" ref="S919">+$B$2*SIN(R919*$B$3+$B$4)+0*R919+ SUM($J$2:$J$20*SIN(2*PI()*N919*$I$2:$I$20+$K$2:$K$20))</f>
        <v>0.17005276415829634</v>
      </c>
      <c r="U919" s="3">
        <f t="shared" si="112"/>
        <v>1956.4166666665972</v>
      </c>
      <c r="V919" s="3">
        <f t="shared" si="113"/>
        <v>0.48776000000000003</v>
      </c>
      <c r="Z919" s="1">
        <v>1956.4583</v>
      </c>
      <c r="AA919" s="2">
        <f t="shared" si="117"/>
        <v>0.90337800000000001</v>
      </c>
      <c r="AB919">
        <v>45.168900000000001</v>
      </c>
      <c r="AE919">
        <v>1956.4166666665972</v>
      </c>
      <c r="AF919">
        <v>0.17005276415829634</v>
      </c>
    </row>
    <row r="920" spans="4:32" x14ac:dyDescent="0.35">
      <c r="D920">
        <v>0.86269800000000008</v>
      </c>
      <c r="M920">
        <f t="shared" si="118"/>
        <v>919</v>
      </c>
      <c r="N920">
        <f t="shared" si="119"/>
        <v>1956.4999999999304</v>
      </c>
      <c r="O920">
        <f t="shared" si="114"/>
        <v>0</v>
      </c>
      <c r="P920">
        <f t="array" ref="P920">+SUM($G$2:$G$18*SIN(2*PI()*(N920)*$B$1/$F$2:$F$18+$H$2:$H$18))</f>
        <v>0.26185015472038409</v>
      </c>
      <c r="Q920">
        <f t="shared" si="115"/>
        <v>0</v>
      </c>
      <c r="R920">
        <f t="shared" si="116"/>
        <v>1.0997512694868632E-2</v>
      </c>
      <c r="S920">
        <f t="array" ref="S920">+$B$2*SIN(R920*$B$3+$B$4)+0*R920+ SUM($J$2:$J$20*SIN(2*PI()*N920*$I$2:$I$20+$K$2:$K$20))</f>
        <v>0.16771375863170251</v>
      </c>
      <c r="U920" s="3">
        <f t="shared" si="112"/>
        <v>1956.4999999999304</v>
      </c>
      <c r="V920" s="3">
        <f t="shared" si="113"/>
        <v>0.62541200000000008</v>
      </c>
      <c r="Z920" s="1">
        <v>1956.5417</v>
      </c>
      <c r="AA920" s="2">
        <f t="shared" si="117"/>
        <v>0.50867200000000001</v>
      </c>
      <c r="AB920">
        <v>25.433599999999998</v>
      </c>
      <c r="AE920">
        <v>1956.4999999999304</v>
      </c>
      <c r="AF920">
        <v>0.16771375863170251</v>
      </c>
    </row>
    <row r="921" spans="4:32" x14ac:dyDescent="0.35">
      <c r="D921">
        <v>0.90337800000000001</v>
      </c>
      <c r="M921">
        <f t="shared" si="118"/>
        <v>920</v>
      </c>
      <c r="N921">
        <f t="shared" si="119"/>
        <v>1956.5833333332637</v>
      </c>
      <c r="O921">
        <f t="shared" si="114"/>
        <v>0</v>
      </c>
      <c r="P921">
        <f t="array" ref="P921">+SUM($G$2:$G$18*SIN(2*PI()*(N921)*$B$1/$F$2:$F$18+$H$2:$H$18))</f>
        <v>0.17934096805642824</v>
      </c>
      <c r="Q921">
        <f t="shared" si="115"/>
        <v>0</v>
      </c>
      <c r="R921">
        <f t="shared" si="116"/>
        <v>1.0980596970461744E-2</v>
      </c>
      <c r="S921">
        <f t="array" ref="S921">+$B$2*SIN(R921*$B$3+$B$4)+0*R921+ SUM($J$2:$J$20*SIN(2*PI()*N921*$I$2:$I$20+$K$2:$K$20))</f>
        <v>0.16537664952250339</v>
      </c>
      <c r="U921" s="3">
        <f t="shared" si="112"/>
        <v>1956.5833333332637</v>
      </c>
      <c r="V921" s="3">
        <f t="shared" si="113"/>
        <v>0.63537199999999994</v>
      </c>
      <c r="Z921" s="1">
        <v>1956.625</v>
      </c>
      <c r="AA921" s="2">
        <f t="shared" si="117"/>
        <v>0.43396600000000002</v>
      </c>
      <c r="AB921">
        <v>21.6983</v>
      </c>
      <c r="AE921">
        <v>1956.5833333332637</v>
      </c>
      <c r="AF921">
        <v>0.16537664952250339</v>
      </c>
    </row>
    <row r="922" spans="4:32" x14ac:dyDescent="0.35">
      <c r="D922">
        <v>0.50867200000000001</v>
      </c>
      <c r="M922">
        <f t="shared" si="118"/>
        <v>921</v>
      </c>
      <c r="N922">
        <f t="shared" si="119"/>
        <v>1956.6666666665969</v>
      </c>
      <c r="O922">
        <f t="shared" si="114"/>
        <v>0</v>
      </c>
      <c r="P922">
        <f t="array" ref="P922">+SUM($G$2:$G$18*SIN(2*PI()*(N922)*$B$1/$F$2:$F$18+$H$2:$H$18))</f>
        <v>0.15113616791963935</v>
      </c>
      <c r="Q922">
        <f t="shared" si="115"/>
        <v>0</v>
      </c>
      <c r="R922">
        <f t="shared" si="116"/>
        <v>1.0963707264822932E-2</v>
      </c>
      <c r="S922">
        <f t="array" ref="S922">+$B$2*SIN(R922*$B$3+$B$4)+0*R922+ SUM($J$2:$J$20*SIN(2*PI()*N922*$I$2:$I$20+$K$2:$K$20))</f>
        <v>0.16304146277819948</v>
      </c>
      <c r="U922" s="3">
        <f t="shared" si="112"/>
        <v>1956.6666666665969</v>
      </c>
      <c r="V922" s="3">
        <f t="shared" si="113"/>
        <v>0.39301999999999998</v>
      </c>
      <c r="Z922" s="1">
        <v>1956.7083</v>
      </c>
      <c r="AA922" s="2">
        <f t="shared" si="117"/>
        <v>0.25002800000000003</v>
      </c>
      <c r="AB922">
        <v>12.5014</v>
      </c>
      <c r="AE922">
        <v>1956.6666666665969</v>
      </c>
      <c r="AF922">
        <v>0.16304146277819948</v>
      </c>
    </row>
    <row r="923" spans="4:32" x14ac:dyDescent="0.35">
      <c r="D923">
        <v>0.43396600000000002</v>
      </c>
      <c r="M923">
        <f t="shared" si="118"/>
        <v>922</v>
      </c>
      <c r="N923">
        <f t="shared" si="119"/>
        <v>1956.7499999999302</v>
      </c>
      <c r="O923">
        <f t="shared" si="114"/>
        <v>0</v>
      </c>
      <c r="P923">
        <f t="array" ref="P923">+SUM($G$2:$G$18*SIN(2*PI()*(N923)*$B$1/$F$2:$F$18+$H$2:$H$18))</f>
        <v>0.26990376604155109</v>
      </c>
      <c r="Q923">
        <f t="shared" si="115"/>
        <v>0</v>
      </c>
      <c r="R923">
        <f t="shared" si="116"/>
        <v>1.0946843537931662E-2</v>
      </c>
      <c r="S923">
        <f t="array" ref="S923">+$B$2*SIN(R923*$B$3+$B$4)+0*R923+ SUM($J$2:$J$20*SIN(2*PI()*N923*$I$2:$I$20+$K$2:$K$20))</f>
        <v>0.16070822412562025</v>
      </c>
      <c r="U923" s="3">
        <f t="shared" si="112"/>
        <v>1956.7499999999302</v>
      </c>
      <c r="V923" s="3">
        <f t="shared" si="113"/>
        <v>0.47528399999999998</v>
      </c>
      <c r="Z923" s="1">
        <v>1956.7917</v>
      </c>
      <c r="AA923" s="2">
        <f t="shared" si="117"/>
        <v>0.34301000000000004</v>
      </c>
      <c r="AB923">
        <v>17.150500000000001</v>
      </c>
      <c r="AE923">
        <v>1956.7499999999302</v>
      </c>
      <c r="AF923">
        <v>0.16070822412562025</v>
      </c>
    </row>
    <row r="924" spans="4:32" x14ac:dyDescent="0.35">
      <c r="D924">
        <v>0.25002800000000003</v>
      </c>
      <c r="M924">
        <f t="shared" si="118"/>
        <v>923</v>
      </c>
      <c r="N924">
        <f t="shared" si="119"/>
        <v>1956.8333333332635</v>
      </c>
      <c r="O924">
        <f t="shared" si="114"/>
        <v>0</v>
      </c>
      <c r="P924">
        <f t="array" ref="P924">+SUM($G$2:$G$18*SIN(2*PI()*(N924)*$B$1/$F$2:$F$18+$H$2:$H$18))</f>
        <v>0.39556705525583491</v>
      </c>
      <c r="Q924">
        <f t="shared" si="115"/>
        <v>0</v>
      </c>
      <c r="R924">
        <f t="shared" si="116"/>
        <v>1.0930005749828961E-2</v>
      </c>
      <c r="S924">
        <f t="array" ref="S924">+$B$2*SIN(R924*$B$3+$B$4)+0*R924+ SUM($J$2:$J$20*SIN(2*PI()*N924*$I$2:$I$20+$K$2:$K$20))</f>
        <v>0.15837695907190638</v>
      </c>
      <c r="U924" s="3">
        <f t="shared" si="112"/>
        <v>1956.8333333332635</v>
      </c>
      <c r="V924" s="3">
        <f t="shared" si="113"/>
        <v>0.64062600000000003</v>
      </c>
      <c r="Z924" s="1">
        <v>1956.875</v>
      </c>
      <c r="AA924" s="2">
        <f t="shared" si="117"/>
        <v>0.33906999999999998</v>
      </c>
      <c r="AB924">
        <v>16.953499999999998</v>
      </c>
      <c r="AE924">
        <v>1956.8333333332635</v>
      </c>
      <c r="AF924">
        <v>0.15837695907190638</v>
      </c>
    </row>
    <row r="925" spans="4:32" x14ac:dyDescent="0.35">
      <c r="D925">
        <v>0.34301000000000004</v>
      </c>
      <c r="M925">
        <f t="shared" si="118"/>
        <v>924</v>
      </c>
      <c r="N925">
        <f t="shared" si="119"/>
        <v>1956.9166666665967</v>
      </c>
      <c r="O925">
        <f t="shared" si="114"/>
        <v>0</v>
      </c>
      <c r="P925">
        <f t="array" ref="P925">+SUM($G$2:$G$18*SIN(2*PI()*(N925)*$B$1/$F$2:$F$18+$H$2:$H$18))</f>
        <v>0.1819833460835692</v>
      </c>
      <c r="Q925">
        <f t="shared" si="115"/>
        <v>0</v>
      </c>
      <c r="R925">
        <f t="shared" si="116"/>
        <v>1.0913193860617313E-2</v>
      </c>
      <c r="S925">
        <f t="array" ref="S925">+$B$2*SIN(R925*$B$3+$B$4)+0*R925+ SUM($J$2:$J$20*SIN(2*PI()*N925*$I$2:$I$20+$K$2:$K$20))</f>
        <v>0.1560476929054847</v>
      </c>
      <c r="U925" s="3">
        <f t="shared" si="112"/>
        <v>1956.9166666665967</v>
      </c>
      <c r="V925" s="3">
        <f t="shared" si="113"/>
        <v>0.59519199999999994</v>
      </c>
      <c r="Z925" s="1">
        <v>1956.9583</v>
      </c>
      <c r="AA925" s="2">
        <f t="shared" si="117"/>
        <v>0.31512799999999996</v>
      </c>
      <c r="AB925">
        <v>15.756399999999999</v>
      </c>
      <c r="AE925">
        <v>1956.9166666665967</v>
      </c>
      <c r="AF925">
        <v>0.1560476929054847</v>
      </c>
    </row>
    <row r="926" spans="4:32" x14ac:dyDescent="0.35">
      <c r="D926">
        <v>0.33906999999999998</v>
      </c>
      <c r="M926">
        <f t="shared" si="118"/>
        <v>925</v>
      </c>
      <c r="N926">
        <f t="shared" si="119"/>
        <v>1956.99999999993</v>
      </c>
      <c r="O926">
        <f t="shared" si="114"/>
        <v>36.637715116165623</v>
      </c>
      <c r="P926">
        <f t="array" ref="P926">+SUM($G$2:$G$18*SIN(2*PI()*(N926)*$B$1/$F$2:$F$18+$H$2:$H$18))</f>
        <v>-0.24824861665726455</v>
      </c>
      <c r="Q926">
        <f t="shared" si="115"/>
        <v>-9.0952620950710674</v>
      </c>
      <c r="R926">
        <f t="shared" si="116"/>
        <v>-3.0933870692921861E-3</v>
      </c>
      <c r="S926">
        <f t="array" ref="S926">+$B$2*SIN(R926*$B$3+$B$4)+0*R926+ SUM($J$2:$J$20*SIN(2*PI()*N926*$I$2:$I$20+$K$2:$K$20))</f>
        <v>-0.49305449205561253</v>
      </c>
      <c r="U926" s="3">
        <f t="shared" si="112"/>
        <v>1956.99999999993</v>
      </c>
      <c r="V926" s="3">
        <f t="shared" si="113"/>
        <v>0.17129999999999998</v>
      </c>
      <c r="Z926" s="1">
        <v>1957.0417</v>
      </c>
      <c r="AA926" s="2">
        <f t="shared" si="117"/>
        <v>0.38195400000000002</v>
      </c>
      <c r="AB926">
        <v>19.0977</v>
      </c>
      <c r="AE926">
        <v>1956.99999999993</v>
      </c>
      <c r="AF926">
        <v>-0.49305449205561253</v>
      </c>
    </row>
    <row r="927" spans="4:32" x14ac:dyDescent="0.35">
      <c r="D927">
        <v>0.31512799999999996</v>
      </c>
      <c r="M927">
        <f t="shared" si="118"/>
        <v>926</v>
      </c>
      <c r="N927">
        <f t="shared" si="119"/>
        <v>1957.0833333332632</v>
      </c>
      <c r="O927">
        <f t="shared" si="114"/>
        <v>0</v>
      </c>
      <c r="P927">
        <f t="array" ref="P927">+SUM($G$2:$G$18*SIN(2*PI()*(N927)*$B$1/$F$2:$F$18+$H$2:$H$18))</f>
        <v>-0.19155216677519216</v>
      </c>
      <c r="Q927">
        <f t="shared" si="115"/>
        <v>0</v>
      </c>
      <c r="R927">
        <f t="shared" si="116"/>
        <v>-3.0886290040278109E-3</v>
      </c>
      <c r="S927">
        <f t="array" ref="S927">+$B$2*SIN(R927*$B$3+$B$4)+0*R927+ SUM($J$2:$J$20*SIN(2*PI()*N927*$I$2:$I$20+$K$2:$K$20))</f>
        <v>-0.49356364478560122</v>
      </c>
      <c r="U927" s="3">
        <f t="shared" si="112"/>
        <v>1957.0833333332632</v>
      </c>
      <c r="V927" s="3">
        <f t="shared" si="113"/>
        <v>7.4080000000000005E-3</v>
      </c>
      <c r="Z927" s="1">
        <v>1957.125</v>
      </c>
      <c r="AA927" s="2">
        <f t="shared" si="117"/>
        <v>0.38108600000000004</v>
      </c>
      <c r="AB927">
        <v>19.054300000000001</v>
      </c>
      <c r="AE927">
        <v>1957.0833333332632</v>
      </c>
      <c r="AF927">
        <v>-0.49356364478560122</v>
      </c>
    </row>
    <row r="928" spans="4:32" x14ac:dyDescent="0.35">
      <c r="D928">
        <v>0.38195400000000002</v>
      </c>
      <c r="M928">
        <f t="shared" si="118"/>
        <v>927</v>
      </c>
      <c r="N928">
        <f t="shared" si="119"/>
        <v>1957.1666666665965</v>
      </c>
      <c r="O928">
        <f t="shared" si="114"/>
        <v>0</v>
      </c>
      <c r="P928">
        <f t="array" ref="P928">+SUM($G$2:$G$18*SIN(2*PI()*(N928)*$B$1/$F$2:$F$18+$H$2:$H$18))</f>
        <v>0.16712811846721007</v>
      </c>
      <c r="Q928">
        <f t="shared" si="115"/>
        <v>0</v>
      </c>
      <c r="R928">
        <f t="shared" si="116"/>
        <v>-3.083878257338368E-3</v>
      </c>
      <c r="S928">
        <f t="array" ref="S928">+$B$2*SIN(R928*$B$3+$B$4)+0*R928+ SUM($J$2:$J$20*SIN(2*PI()*N928*$I$2:$I$20+$K$2:$K$20))</f>
        <v>-0.49407161945921829</v>
      </c>
      <c r="U928" s="3">
        <f t="shared" si="112"/>
        <v>1957.1666666665965</v>
      </c>
      <c r="V928" s="3">
        <f t="shared" si="113"/>
        <v>0.154278</v>
      </c>
      <c r="Z928" s="1">
        <v>1957.2083</v>
      </c>
      <c r="AA928" s="2">
        <f t="shared" si="117"/>
        <v>0.41406599999999999</v>
      </c>
      <c r="AB928">
        <v>20.703299999999999</v>
      </c>
      <c r="AE928">
        <v>1957.1666666665965</v>
      </c>
      <c r="AF928">
        <v>-0.49407161945921829</v>
      </c>
    </row>
    <row r="929" spans="4:32" x14ac:dyDescent="0.35">
      <c r="D929">
        <v>0.38108600000000004</v>
      </c>
      <c r="M929">
        <f t="shared" si="118"/>
        <v>928</v>
      </c>
      <c r="N929">
        <f t="shared" si="119"/>
        <v>1957.2499999999297</v>
      </c>
      <c r="O929">
        <f t="shared" si="114"/>
        <v>0</v>
      </c>
      <c r="P929">
        <f t="array" ref="P929">+SUM($G$2:$G$18*SIN(2*PI()*(N929)*$B$1/$F$2:$F$18+$H$2:$H$18))</f>
        <v>0.15977871446423167</v>
      </c>
      <c r="Q929">
        <f t="shared" si="115"/>
        <v>0</v>
      </c>
      <c r="R929">
        <f t="shared" si="116"/>
        <v>-3.0791348179668573E-3</v>
      </c>
      <c r="S929">
        <f t="array" ref="S929">+$B$2*SIN(R929*$B$3+$B$4)+0*R929+ SUM($J$2:$J$20*SIN(2*PI()*N929*$I$2:$I$20+$K$2:$K$20))</f>
        <v>-0.49457841869720359</v>
      </c>
      <c r="U929" s="3">
        <f t="shared" si="112"/>
        <v>1957.2499999999297</v>
      </c>
      <c r="V929" s="3">
        <f t="shared" si="113"/>
        <v>-0.20654</v>
      </c>
      <c r="Z929" s="1">
        <v>1957.2917</v>
      </c>
      <c r="AA929" s="2">
        <f t="shared" si="117"/>
        <v>0.54088599999999998</v>
      </c>
      <c r="AB929">
        <v>27.0443</v>
      </c>
      <c r="AE929">
        <v>1957.2499999999297</v>
      </c>
      <c r="AF929">
        <v>-0.49457841869720359</v>
      </c>
    </row>
    <row r="930" spans="4:32" x14ac:dyDescent="0.35">
      <c r="D930">
        <v>0.41406599999999999</v>
      </c>
      <c r="M930">
        <f t="shared" si="118"/>
        <v>929</v>
      </c>
      <c r="N930">
        <f t="shared" si="119"/>
        <v>1957.333333333263</v>
      </c>
      <c r="O930">
        <f t="shared" si="114"/>
        <v>0</v>
      </c>
      <c r="P930">
        <f t="array" ref="P930">+SUM($G$2:$G$18*SIN(2*PI()*(N930)*$B$1/$F$2:$F$18+$H$2:$H$18))</f>
        <v>4.9546152305290331E-2</v>
      </c>
      <c r="Q930">
        <f t="shared" si="115"/>
        <v>0</v>
      </c>
      <c r="R930">
        <f t="shared" si="116"/>
        <v>-3.0743986746735938E-3</v>
      </c>
      <c r="S930">
        <f t="array" ref="S930">+$B$2*SIN(R930*$B$3+$B$4)+0*R930+ SUM($J$2:$J$20*SIN(2*PI()*N930*$I$2:$I$20+$K$2:$K$20))</f>
        <v>-0.49508404511596077</v>
      </c>
      <c r="U930" s="3">
        <f t="shared" si="112"/>
        <v>1957.333333333263</v>
      </c>
      <c r="V930" s="3">
        <f t="shared" si="113"/>
        <v>-0.75966800000000001</v>
      </c>
      <c r="Z930" s="1">
        <v>1957.375</v>
      </c>
      <c r="AA930" s="2">
        <f t="shared" si="117"/>
        <v>0.49232399999999998</v>
      </c>
      <c r="AB930">
        <v>24.616199999999999</v>
      </c>
      <c r="AE930">
        <v>1957.333333333263</v>
      </c>
      <c r="AF930">
        <v>-0.49508404511596077</v>
      </c>
    </row>
    <row r="931" spans="4:32" x14ac:dyDescent="0.35">
      <c r="D931">
        <v>0.54088599999999998</v>
      </c>
      <c r="M931">
        <f t="shared" si="118"/>
        <v>930</v>
      </c>
      <c r="N931">
        <f t="shared" si="119"/>
        <v>1957.4166666665963</v>
      </c>
      <c r="O931">
        <f t="shared" si="114"/>
        <v>0</v>
      </c>
      <c r="P931">
        <f t="array" ref="P931">+SUM($G$2:$G$18*SIN(2*PI()*(N931)*$B$1/$F$2:$F$18+$H$2:$H$18))</f>
        <v>0.19823266871108461</v>
      </c>
      <c r="Q931">
        <f t="shared" si="115"/>
        <v>0</v>
      </c>
      <c r="R931">
        <f t="shared" si="116"/>
        <v>-3.0696698162361812E-3</v>
      </c>
      <c r="S931">
        <f t="array" ref="S931">+$B$2*SIN(R931*$B$3+$B$4)+0*R931+ SUM($J$2:$J$20*SIN(2*PI()*N931*$I$2:$I$20+$K$2:$K$20))</f>
        <v>-0.49558850132755256</v>
      </c>
      <c r="U931" s="3">
        <f t="shared" si="112"/>
        <v>1957.4166666665963</v>
      </c>
      <c r="V931" s="3">
        <f t="shared" si="113"/>
        <v>-0.80818400000000001</v>
      </c>
      <c r="Z931" s="1">
        <v>1957.4583</v>
      </c>
      <c r="AA931" s="2">
        <f t="shared" si="117"/>
        <v>0.64222399999999991</v>
      </c>
      <c r="AB931">
        <v>32.111199999999997</v>
      </c>
      <c r="AE931">
        <v>1957.4166666665963</v>
      </c>
      <c r="AF931">
        <v>-0.49558850132755256</v>
      </c>
    </row>
    <row r="932" spans="4:32" x14ac:dyDescent="0.35">
      <c r="D932">
        <v>0.49232399999999998</v>
      </c>
      <c r="M932">
        <f t="shared" si="118"/>
        <v>931</v>
      </c>
      <c r="N932">
        <f t="shared" si="119"/>
        <v>1957.4999999999295</v>
      </c>
      <c r="O932">
        <f t="shared" si="114"/>
        <v>0</v>
      </c>
      <c r="P932">
        <f t="array" ref="P932">+SUM($G$2:$G$18*SIN(2*PI()*(N932)*$B$1/$F$2:$F$18+$H$2:$H$18))</f>
        <v>0.3773210968512809</v>
      </c>
      <c r="Q932">
        <f t="shared" si="115"/>
        <v>0</v>
      </c>
      <c r="R932">
        <f t="shared" si="116"/>
        <v>-3.0649482314494846E-3</v>
      </c>
      <c r="S932">
        <f t="array" ref="S932">+$B$2*SIN(R932*$B$3+$B$4)+0*R932+ SUM($J$2:$J$20*SIN(2*PI()*N932*$I$2:$I$20+$K$2:$K$20))</f>
        <v>-0.49609178993969683</v>
      </c>
      <c r="U932" s="3">
        <f t="shared" si="112"/>
        <v>1957.4999999999295</v>
      </c>
      <c r="V932" s="3">
        <f t="shared" si="113"/>
        <v>-1.0166979999999999</v>
      </c>
      <c r="Z932" s="1">
        <v>1957.5417</v>
      </c>
      <c r="AA932" s="2">
        <f t="shared" si="117"/>
        <v>0.54134799999999994</v>
      </c>
      <c r="AB932">
        <v>27.067399999999999</v>
      </c>
      <c r="AE932">
        <v>1957.4999999999295</v>
      </c>
      <c r="AF932">
        <v>-0.49609178993969683</v>
      </c>
    </row>
    <row r="933" spans="4:32" x14ac:dyDescent="0.35">
      <c r="D933">
        <v>0.64222399999999991</v>
      </c>
      <c r="M933">
        <f t="shared" si="118"/>
        <v>932</v>
      </c>
      <c r="N933">
        <f t="shared" si="119"/>
        <v>1957.5833333332628</v>
      </c>
      <c r="O933">
        <f t="shared" si="114"/>
        <v>0</v>
      </c>
      <c r="P933">
        <f t="array" ref="P933">+SUM($G$2:$G$18*SIN(2*PI()*(N933)*$B$1/$F$2:$F$18+$H$2:$H$18))</f>
        <v>0.28340644574792873</v>
      </c>
      <c r="Q933">
        <f t="shared" si="115"/>
        <v>0</v>
      </c>
      <c r="R933">
        <f t="shared" si="116"/>
        <v>-3.0602339091256041E-3</v>
      </c>
      <c r="S933">
        <f t="array" ref="S933">+$B$2*SIN(R933*$B$3+$B$4)+0*R933+ SUM($J$2:$J$20*SIN(2*PI()*N933*$I$2:$I$20+$K$2:$K$20))</f>
        <v>-0.49659391355576249</v>
      </c>
      <c r="U933" s="3">
        <f t="shared" si="112"/>
        <v>1957.5833333332628</v>
      </c>
      <c r="V933" s="3">
        <f t="shared" si="113"/>
        <v>-1.2221359999999999</v>
      </c>
      <c r="Z933" s="1">
        <v>1957.625</v>
      </c>
      <c r="AA933" s="2">
        <f t="shared" si="117"/>
        <v>0.83585999999999994</v>
      </c>
      <c r="AB933">
        <v>41.792999999999999</v>
      </c>
      <c r="AE933">
        <v>1957.5833333332628</v>
      </c>
      <c r="AF933">
        <v>-0.49659391355576249</v>
      </c>
    </row>
    <row r="934" spans="4:32" x14ac:dyDescent="0.35">
      <c r="D934">
        <v>0.54134799999999994</v>
      </c>
      <c r="M934">
        <f t="shared" si="118"/>
        <v>933</v>
      </c>
      <c r="N934">
        <f t="shared" si="119"/>
        <v>1957.666666666596</v>
      </c>
      <c r="O934">
        <f t="shared" si="114"/>
        <v>0</v>
      </c>
      <c r="P934">
        <f t="array" ref="P934">+SUM($G$2:$G$18*SIN(2*PI()*(N934)*$B$1/$F$2:$F$18+$H$2:$H$18))</f>
        <v>-0.17421724497148255</v>
      </c>
      <c r="Q934">
        <f t="shared" si="115"/>
        <v>0</v>
      </c>
      <c r="R934">
        <f t="shared" si="116"/>
        <v>-3.0555268380938485E-3</v>
      </c>
      <c r="S934">
        <f t="array" ref="S934">+$B$2*SIN(R934*$B$3+$B$4)+0*R934+ SUM($J$2:$J$20*SIN(2*PI()*N934*$I$2:$I$20+$K$2:$K$20))</f>
        <v>-0.49709487477476672</v>
      </c>
      <c r="U934" s="3">
        <f t="shared" si="112"/>
        <v>1957.666666666596</v>
      </c>
      <c r="V934" s="3">
        <f t="shared" si="113"/>
        <v>-1.1321939999999999</v>
      </c>
      <c r="Z934" s="1">
        <v>1957.7083</v>
      </c>
      <c r="AA934" s="2">
        <f t="shared" si="117"/>
        <v>0.88114000000000003</v>
      </c>
      <c r="AB934">
        <v>44.057000000000002</v>
      </c>
      <c r="AE934">
        <v>1957.666666666596</v>
      </c>
      <c r="AF934">
        <v>-0.49709487477476672</v>
      </c>
    </row>
    <row r="935" spans="4:32" x14ac:dyDescent="0.35">
      <c r="D935">
        <v>0.83585999999999994</v>
      </c>
      <c r="M935">
        <f t="shared" si="118"/>
        <v>934</v>
      </c>
      <c r="N935">
        <f t="shared" si="119"/>
        <v>1957.7499999999293</v>
      </c>
      <c r="O935">
        <f t="shared" si="114"/>
        <v>0</v>
      </c>
      <c r="P935">
        <f t="array" ref="P935">+SUM($G$2:$G$18*SIN(2*PI()*(N935)*$B$1/$F$2:$F$18+$H$2:$H$18))</f>
        <v>-0.47132163205352734</v>
      </c>
      <c r="Q935">
        <f t="shared" si="115"/>
        <v>0</v>
      </c>
      <c r="R935">
        <f t="shared" si="116"/>
        <v>-3.0508270072007082E-3</v>
      </c>
      <c r="S935">
        <f t="array" ref="S935">+$B$2*SIN(R935*$B$3+$B$4)+0*R935+ SUM($J$2:$J$20*SIN(2*PI()*N935*$I$2:$I$20+$K$2:$K$20))</f>
        <v>-0.49759467619137054</v>
      </c>
      <c r="U935" s="3">
        <f t="shared" si="112"/>
        <v>1957.7499999999293</v>
      </c>
      <c r="V935" s="3">
        <f t="shared" si="113"/>
        <v>-0.97917399999999999</v>
      </c>
      <c r="Z935" s="1">
        <v>1957.7917</v>
      </c>
      <c r="AA935" s="2">
        <f t="shared" si="117"/>
        <v>0.82026200000000005</v>
      </c>
      <c r="AB935">
        <v>41.013100000000001</v>
      </c>
      <c r="AE935">
        <v>1957.7499999999293</v>
      </c>
      <c r="AF935">
        <v>-0.49759467619137054</v>
      </c>
    </row>
    <row r="936" spans="4:32" x14ac:dyDescent="0.35">
      <c r="D936">
        <v>0.88114000000000003</v>
      </c>
      <c r="M936">
        <f t="shared" si="118"/>
        <v>935</v>
      </c>
      <c r="N936">
        <f t="shared" si="119"/>
        <v>1957.8333333332625</v>
      </c>
      <c r="O936">
        <f t="shared" si="114"/>
        <v>0</v>
      </c>
      <c r="P936">
        <f t="array" ref="P936">+SUM($G$2:$G$18*SIN(2*PI()*(N936)*$B$1/$F$2:$F$18+$H$2:$H$18))</f>
        <v>-0.14434721995703656</v>
      </c>
      <c r="Q936">
        <f t="shared" si="115"/>
        <v>0</v>
      </c>
      <c r="R936">
        <f t="shared" si="116"/>
        <v>-3.0461344053098298E-3</v>
      </c>
      <c r="S936">
        <f t="array" ref="S936">+$B$2*SIN(R936*$B$3+$B$4)+0*R936+ SUM($J$2:$J$20*SIN(2*PI()*N936*$I$2:$I$20+$K$2:$K$20))</f>
        <v>-0.49809332039587534</v>
      </c>
      <c r="U936" s="3">
        <f t="shared" si="112"/>
        <v>1957.8333333332625</v>
      </c>
      <c r="V936" s="3">
        <f t="shared" si="113"/>
        <v>-1.1307700000000001</v>
      </c>
      <c r="Z936" s="1">
        <v>1957.875</v>
      </c>
      <c r="AA936" s="2">
        <f t="shared" si="117"/>
        <v>0.88092399999999993</v>
      </c>
      <c r="AB936">
        <v>44.046199999999999</v>
      </c>
      <c r="AE936">
        <v>1957.8333333332625</v>
      </c>
      <c r="AF936">
        <v>-0.49809332039587534</v>
      </c>
    </row>
    <row r="937" spans="4:32" x14ac:dyDescent="0.35">
      <c r="D937">
        <v>0.82026200000000005</v>
      </c>
      <c r="M937">
        <f t="shared" si="118"/>
        <v>936</v>
      </c>
      <c r="N937">
        <f t="shared" si="119"/>
        <v>1957.9166666665958</v>
      </c>
      <c r="O937">
        <f t="shared" si="114"/>
        <v>0</v>
      </c>
      <c r="P937">
        <f t="array" ref="P937">+SUM($G$2:$G$18*SIN(2*PI()*(N937)*$B$1/$F$2:$F$18+$H$2:$H$18))</f>
        <v>0.16781426143120581</v>
      </c>
      <c r="Q937">
        <f t="shared" si="115"/>
        <v>0</v>
      </c>
      <c r="R937">
        <f t="shared" si="116"/>
        <v>-3.0414490213019891E-3</v>
      </c>
      <c r="S937">
        <f t="array" ref="S937">+$B$2*SIN(R937*$B$3+$B$4)+0*R937+ SUM($J$2:$J$20*SIN(2*PI()*N937*$I$2:$I$20+$K$2:$K$20))</f>
        <v>-0.49859080997421934</v>
      </c>
      <c r="U937" s="3">
        <f t="shared" si="112"/>
        <v>1957.9166666665958</v>
      </c>
      <c r="V937" s="3">
        <f t="shared" si="113"/>
        <v>-1.3839080000000001</v>
      </c>
      <c r="Z937" s="1">
        <v>1957.9583</v>
      </c>
      <c r="AA937" s="2">
        <f t="shared" si="117"/>
        <v>0.96004599999999995</v>
      </c>
      <c r="AB937">
        <v>48.002299999999998</v>
      </c>
      <c r="AE937">
        <v>1957.9166666665958</v>
      </c>
      <c r="AF937">
        <v>-0.49859080997421934</v>
      </c>
    </row>
    <row r="938" spans="4:32" x14ac:dyDescent="0.35">
      <c r="D938">
        <v>0.88092399999999993</v>
      </c>
      <c r="M938">
        <f t="shared" si="118"/>
        <v>937</v>
      </c>
      <c r="N938">
        <f t="shared" si="119"/>
        <v>1957.9999999999291</v>
      </c>
      <c r="O938">
        <f t="shared" si="114"/>
        <v>36.637715116165623</v>
      </c>
      <c r="P938">
        <f t="array" ref="P938">+SUM($G$2:$G$18*SIN(2*PI()*(N938)*$B$1/$F$2:$F$18+$H$2:$H$18))</f>
        <v>2.1610153949391059E-2</v>
      </c>
      <c r="Q938">
        <f t="shared" si="115"/>
        <v>0.79174666401427107</v>
      </c>
      <c r="R938">
        <f t="shared" si="116"/>
        <v>-1.8189528937682059E-3</v>
      </c>
      <c r="S938">
        <f t="array" ref="S938">+$B$2*SIN(R938*$B$3+$B$4)+0*R938+ SUM($J$2:$J$20*SIN(2*PI()*N938*$I$2:$I$20+$K$2:$K$20))</f>
        <v>-0.61406212171254859</v>
      </c>
      <c r="U938" s="3">
        <f t="shared" si="112"/>
        <v>1957.9999999999291</v>
      </c>
      <c r="V938" s="3">
        <f t="shared" si="113"/>
        <v>-1.3878139999999999</v>
      </c>
      <c r="Z938" s="1">
        <v>1958.0417</v>
      </c>
      <c r="AA938" s="2">
        <f t="shared" si="117"/>
        <v>1.09301</v>
      </c>
      <c r="AB938">
        <v>54.650500000000001</v>
      </c>
      <c r="AE938">
        <v>1957.9999999999291</v>
      </c>
      <c r="AF938">
        <v>-0.61406212171254859</v>
      </c>
    </row>
    <row r="939" spans="4:32" x14ac:dyDescent="0.35">
      <c r="D939">
        <v>0.96004599999999995</v>
      </c>
      <c r="M939">
        <f t="shared" si="118"/>
        <v>938</v>
      </c>
      <c r="N939">
        <f t="shared" si="119"/>
        <v>1958.0833333332623</v>
      </c>
      <c r="O939">
        <f t="shared" si="114"/>
        <v>0</v>
      </c>
      <c r="P939">
        <f t="array" ref="P939">+SUM($G$2:$G$18*SIN(2*PI()*(N939)*$B$1/$F$2:$F$18+$H$2:$H$18))</f>
        <v>-2.0683407940173523E-2</v>
      </c>
      <c r="Q939">
        <f t="shared" si="115"/>
        <v>0</v>
      </c>
      <c r="R939">
        <f t="shared" si="116"/>
        <v>-1.8161550878721098E-3</v>
      </c>
      <c r="S939">
        <f t="array" ref="S939">+$B$2*SIN(R939*$B$3+$B$4)+0*R939+ SUM($J$2:$J$20*SIN(2*PI()*N939*$I$2:$I$20+$K$2:$K$20))</f>
        <v>-0.61429128565869884</v>
      </c>
      <c r="U939" s="3">
        <f t="shared" si="112"/>
        <v>1958.0833333332623</v>
      </c>
      <c r="V939" s="3">
        <f t="shared" si="113"/>
        <v>-1.1717219999999999</v>
      </c>
      <c r="Z939" s="1">
        <v>1958.125</v>
      </c>
      <c r="AA939" s="2">
        <f t="shared" si="117"/>
        <v>1.155208</v>
      </c>
      <c r="AB939">
        <v>57.760399999999997</v>
      </c>
      <c r="AE939">
        <v>1958.0833333332623</v>
      </c>
      <c r="AF939">
        <v>-0.61429128565869884</v>
      </c>
    </row>
    <row r="940" spans="4:32" x14ac:dyDescent="0.35">
      <c r="D940">
        <v>1.09301</v>
      </c>
      <c r="M940">
        <f t="shared" si="118"/>
        <v>939</v>
      </c>
      <c r="N940">
        <f t="shared" si="119"/>
        <v>1958.1666666665956</v>
      </c>
      <c r="O940">
        <f t="shared" si="114"/>
        <v>0</v>
      </c>
      <c r="P940">
        <f t="array" ref="P940">+SUM($G$2:$G$18*SIN(2*PI()*(N940)*$B$1/$F$2:$F$18+$H$2:$H$18))</f>
        <v>0.23038261033159685</v>
      </c>
      <c r="Q940">
        <f t="shared" si="115"/>
        <v>0</v>
      </c>
      <c r="R940">
        <f t="shared" si="116"/>
        <v>-1.8133615853957775E-3</v>
      </c>
      <c r="S940">
        <f t="array" ref="S940">+$B$2*SIN(R940*$B$3+$B$4)+0*R940+ SUM($J$2:$J$20*SIN(2*PI()*N940*$I$2:$I$20+$K$2:$K$20))</f>
        <v>-0.61451992717615844</v>
      </c>
      <c r="U940" s="3">
        <f t="shared" si="112"/>
        <v>1958.1666666665956</v>
      </c>
      <c r="V940" s="3">
        <f t="shared" si="113"/>
        <v>-1.240248</v>
      </c>
      <c r="Z940" s="1">
        <v>1958.2083</v>
      </c>
      <c r="AA940" s="2">
        <f t="shared" si="117"/>
        <v>1.077404</v>
      </c>
      <c r="AB940">
        <v>53.870199999999997</v>
      </c>
      <c r="AE940">
        <v>1958.1666666665956</v>
      </c>
      <c r="AF940">
        <v>-0.61451992717615844</v>
      </c>
    </row>
    <row r="941" spans="4:32" x14ac:dyDescent="0.35">
      <c r="D941">
        <v>1.155208</v>
      </c>
      <c r="M941">
        <f t="shared" si="118"/>
        <v>940</v>
      </c>
      <c r="N941">
        <f t="shared" si="119"/>
        <v>1958.2499999999288</v>
      </c>
      <c r="O941">
        <f t="shared" si="114"/>
        <v>0</v>
      </c>
      <c r="P941">
        <f t="array" ref="P941">+SUM($G$2:$G$18*SIN(2*PI()*(N941)*$B$1/$F$2:$F$18+$H$2:$H$18))</f>
        <v>0.34922834256273783</v>
      </c>
      <c r="Q941">
        <f t="shared" si="115"/>
        <v>0</v>
      </c>
      <c r="R941">
        <f t="shared" si="116"/>
        <v>-1.8105723797199429E-3</v>
      </c>
      <c r="S941">
        <f t="array" ref="S941">+$B$2*SIN(R941*$B$3+$B$4)+0*R941+ SUM($J$2:$J$20*SIN(2*PI()*N941*$I$2:$I$20+$K$2:$K$20))</f>
        <v>-0.61474804752782586</v>
      </c>
      <c r="U941" s="3">
        <f t="shared" si="112"/>
        <v>1958.2499999999288</v>
      </c>
      <c r="V941" s="3">
        <f t="shared" si="113"/>
        <v>-1.268772</v>
      </c>
      <c r="Z941" s="1">
        <v>1958.2917</v>
      </c>
      <c r="AA941" s="2">
        <f t="shared" si="117"/>
        <v>0.99036400000000002</v>
      </c>
      <c r="AB941">
        <v>49.5182</v>
      </c>
      <c r="AE941">
        <v>1958.2499999999288</v>
      </c>
      <c r="AF941">
        <v>-0.61474804752782586</v>
      </c>
    </row>
    <row r="942" spans="4:32" x14ac:dyDescent="0.35">
      <c r="D942">
        <v>1.077404</v>
      </c>
      <c r="M942">
        <f t="shared" si="118"/>
        <v>941</v>
      </c>
      <c r="N942">
        <f t="shared" si="119"/>
        <v>1958.3333333332621</v>
      </c>
      <c r="O942">
        <f t="shared" si="114"/>
        <v>0</v>
      </c>
      <c r="P942">
        <f t="array" ref="P942">+SUM($G$2:$G$18*SIN(2*PI()*(N942)*$B$1/$F$2:$F$18+$H$2:$H$18))</f>
        <v>4.7691858142164173E-2</v>
      </c>
      <c r="Q942">
        <f t="shared" si="115"/>
        <v>0</v>
      </c>
      <c r="R942">
        <f t="shared" si="116"/>
        <v>-1.8077874642355211E-3</v>
      </c>
      <c r="S942">
        <f t="array" ref="S942">+$B$2*SIN(R942*$B$3+$B$4)+0*R942+ SUM($J$2:$J$20*SIN(2*PI()*N942*$I$2:$I$20+$K$2:$K$20))</f>
        <v>-0.61497564797358206</v>
      </c>
      <c r="U942" s="3">
        <f t="shared" si="112"/>
        <v>1958.3333333332621</v>
      </c>
      <c r="V942" s="3">
        <f t="shared" si="113"/>
        <v>-0.96345200000000009</v>
      </c>
      <c r="Z942" s="1">
        <v>1958.375</v>
      </c>
      <c r="AA942" s="2">
        <f t="shared" si="117"/>
        <v>0.77717400000000003</v>
      </c>
      <c r="AB942">
        <v>38.858699999999999</v>
      </c>
      <c r="AE942">
        <v>1958.3333333332621</v>
      </c>
      <c r="AF942">
        <v>-0.61497564797358206</v>
      </c>
    </row>
    <row r="943" spans="4:32" x14ac:dyDescent="0.35">
      <c r="D943">
        <v>0.99036400000000002</v>
      </c>
      <c r="M943">
        <f t="shared" si="118"/>
        <v>942</v>
      </c>
      <c r="N943">
        <f t="shared" si="119"/>
        <v>1958.4166666665953</v>
      </c>
      <c r="O943">
        <f t="shared" si="114"/>
        <v>0</v>
      </c>
      <c r="P943">
        <f t="array" ref="P943">+SUM($G$2:$G$18*SIN(2*PI()*(N943)*$B$1/$F$2:$F$18+$H$2:$H$18))</f>
        <v>-0.50027871773297505</v>
      </c>
      <c r="Q943">
        <f t="shared" si="115"/>
        <v>0</v>
      </c>
      <c r="R943">
        <f t="shared" si="116"/>
        <v>-1.805006832343593E-3</v>
      </c>
      <c r="S943">
        <f t="array" ref="S943">+$B$2*SIN(R943*$B$3+$B$4)+0*R943+ SUM($J$2:$J$20*SIN(2*PI()*N943*$I$2:$I$20+$K$2:$K$20))</f>
        <v>-0.61520272977029711</v>
      </c>
      <c r="U943" s="3">
        <f t="shared" si="112"/>
        <v>1958.4166666665953</v>
      </c>
      <c r="V943" s="3">
        <f t="shared" si="113"/>
        <v>-0.559674</v>
      </c>
      <c r="Z943" s="1">
        <v>1958.4583</v>
      </c>
      <c r="AA943" s="2">
        <f t="shared" si="117"/>
        <v>0.64398200000000005</v>
      </c>
      <c r="AB943">
        <v>32.199100000000001</v>
      </c>
      <c r="AE943">
        <v>1958.4166666665953</v>
      </c>
      <c r="AF943">
        <v>-0.61520272977029711</v>
      </c>
    </row>
    <row r="944" spans="4:32" x14ac:dyDescent="0.35">
      <c r="D944">
        <v>0.77717400000000003</v>
      </c>
      <c r="M944">
        <f t="shared" si="118"/>
        <v>943</v>
      </c>
      <c r="N944">
        <f t="shared" si="119"/>
        <v>1958.4999999999286</v>
      </c>
      <c r="O944">
        <f t="shared" si="114"/>
        <v>0</v>
      </c>
      <c r="P944">
        <f t="array" ref="P944">+SUM($G$2:$G$18*SIN(2*PI()*(N944)*$B$1/$F$2:$F$18+$H$2:$H$18))</f>
        <v>-0.59063145653810734</v>
      </c>
      <c r="Q944">
        <f t="shared" si="115"/>
        <v>0</v>
      </c>
      <c r="R944">
        <f t="shared" si="116"/>
        <v>-1.8022304774553898E-3</v>
      </c>
      <c r="S944">
        <f t="array" ref="S944">+$B$2*SIN(R944*$B$3+$B$4)+0*R944+ SUM($J$2:$J$20*SIN(2*PI()*N944*$I$2:$I$20+$K$2:$K$20))</f>
        <v>-0.61542929417183534</v>
      </c>
      <c r="U944" s="3">
        <f t="shared" si="112"/>
        <v>1958.4999999999286</v>
      </c>
      <c r="V944" s="3">
        <f t="shared" si="113"/>
        <v>-0.34973999999999994</v>
      </c>
      <c r="Z944" s="1">
        <v>1958.5417</v>
      </c>
      <c r="AA944" s="2">
        <f t="shared" si="117"/>
        <v>0.55386200000000008</v>
      </c>
      <c r="AB944">
        <v>27.693100000000001</v>
      </c>
      <c r="AE944">
        <v>1958.4999999999286</v>
      </c>
      <c r="AF944">
        <v>-0.61542929417183534</v>
      </c>
    </row>
    <row r="945" spans="4:32" x14ac:dyDescent="0.35">
      <c r="D945">
        <v>0.64398200000000005</v>
      </c>
      <c r="M945">
        <f t="shared" si="118"/>
        <v>944</v>
      </c>
      <c r="N945">
        <f t="shared" si="119"/>
        <v>1958.5833333332619</v>
      </c>
      <c r="O945">
        <f t="shared" si="114"/>
        <v>0</v>
      </c>
      <c r="P945">
        <f t="array" ref="P945">+SUM($G$2:$G$18*SIN(2*PI()*(N945)*$B$1/$F$2:$F$18+$H$2:$H$18))</f>
        <v>-9.7012939738545731E-2</v>
      </c>
      <c r="Q945">
        <f t="shared" si="115"/>
        <v>0</v>
      </c>
      <c r="R945">
        <f t="shared" si="116"/>
        <v>-1.7994583929922773E-3</v>
      </c>
      <c r="S945">
        <f t="array" ref="S945">+$B$2*SIN(R945*$B$3+$B$4)+0*R945+ SUM($J$2:$J$20*SIN(2*PI()*N945*$I$2:$I$20+$K$2:$K$20))</f>
        <v>-0.61565534242906284</v>
      </c>
      <c r="U945" s="3">
        <f t="shared" si="112"/>
        <v>1958.5833333332619</v>
      </c>
      <c r="V945" s="3">
        <f t="shared" si="113"/>
        <v>-6.4423999999999995E-2</v>
      </c>
      <c r="Z945" s="1">
        <v>1958.625</v>
      </c>
      <c r="AA945" s="2">
        <f t="shared" si="117"/>
        <v>0.39759</v>
      </c>
      <c r="AB945">
        <v>19.8795</v>
      </c>
      <c r="AE945">
        <v>1958.5833333332619</v>
      </c>
      <c r="AF945">
        <v>-0.61565534242906284</v>
      </c>
    </row>
    <row r="946" spans="4:32" x14ac:dyDescent="0.35">
      <c r="D946">
        <v>0.55386200000000008</v>
      </c>
      <c r="M946">
        <f t="shared" si="118"/>
        <v>945</v>
      </c>
      <c r="N946">
        <f t="shared" si="119"/>
        <v>1958.6666666665951</v>
      </c>
      <c r="O946">
        <f t="shared" si="114"/>
        <v>0</v>
      </c>
      <c r="P946">
        <f t="array" ref="P946">+SUM($G$2:$G$18*SIN(2*PI()*(N946)*$B$1/$F$2:$F$18+$H$2:$H$18))</f>
        <v>0.14951781336421338</v>
      </c>
      <c r="Q946">
        <f t="shared" si="115"/>
        <v>0</v>
      </c>
      <c r="R946">
        <f t="shared" si="116"/>
        <v>-1.7966905723857394E-3</v>
      </c>
      <c r="S946">
        <f t="array" ref="S946">+$B$2*SIN(R946*$B$3+$B$4)+0*R946+ SUM($J$2:$J$20*SIN(2*PI()*N946*$I$2:$I$20+$K$2:$K$20))</f>
        <v>-0.6158808757898524</v>
      </c>
      <c r="U946" s="3">
        <f t="shared" si="112"/>
        <v>1958.6666666665951</v>
      </c>
      <c r="V946" s="3">
        <f t="shared" si="113"/>
        <v>0.27473600000000004</v>
      </c>
      <c r="Z946" s="1">
        <v>1958.7083</v>
      </c>
      <c r="AA946" s="2">
        <f t="shared" si="117"/>
        <v>0.12900999999999999</v>
      </c>
      <c r="AB946">
        <v>6.4504999999999999</v>
      </c>
      <c r="AE946">
        <v>1958.6666666665951</v>
      </c>
      <c r="AF946">
        <v>-0.6158808757898524</v>
      </c>
    </row>
    <row r="947" spans="4:32" x14ac:dyDescent="0.35">
      <c r="D947">
        <v>0.39759</v>
      </c>
      <c r="M947">
        <f t="shared" si="118"/>
        <v>946</v>
      </c>
      <c r="N947">
        <f t="shared" si="119"/>
        <v>1958.7499999999284</v>
      </c>
      <c r="O947">
        <f t="shared" si="114"/>
        <v>0</v>
      </c>
      <c r="P947">
        <f t="array" ref="P947">+SUM($G$2:$G$18*SIN(2*PI()*(N947)*$B$1/$F$2:$F$18+$H$2:$H$18))</f>
        <v>1.542065255031741E-2</v>
      </c>
      <c r="Q947">
        <f t="shared" si="115"/>
        <v>0</v>
      </c>
      <c r="R947">
        <f t="shared" si="116"/>
        <v>-1.7939270090773641E-3</v>
      </c>
      <c r="S947">
        <f t="array" ref="S947">+$B$2*SIN(R947*$B$3+$B$4)+0*R947+ SUM($J$2:$J$20*SIN(2*PI()*N947*$I$2:$I$20+$K$2:$K$20))</f>
        <v>-0.61610589549909001</v>
      </c>
      <c r="U947" s="3">
        <f t="shared" si="112"/>
        <v>1958.7499999999284</v>
      </c>
      <c r="V947" s="3">
        <f t="shared" si="113"/>
        <v>0.241588</v>
      </c>
      <c r="Z947" s="1">
        <v>1958.7917</v>
      </c>
      <c r="AA947" s="2">
        <f t="shared" si="117"/>
        <v>-4.8804E-2</v>
      </c>
      <c r="AB947">
        <v>-2.4401999999999999</v>
      </c>
      <c r="AE947">
        <v>1958.7499999999284</v>
      </c>
      <c r="AF947">
        <v>-0.61610589549909001</v>
      </c>
    </row>
    <row r="948" spans="4:32" x14ac:dyDescent="0.35">
      <c r="D948">
        <v>0.12900999999999999</v>
      </c>
      <c r="M948">
        <f t="shared" si="118"/>
        <v>947</v>
      </c>
      <c r="N948">
        <f t="shared" si="119"/>
        <v>1958.8333333332616</v>
      </c>
      <c r="O948">
        <f t="shared" si="114"/>
        <v>0</v>
      </c>
      <c r="P948">
        <f t="array" ref="P948">+SUM($G$2:$G$18*SIN(2*PI()*(N948)*$B$1/$F$2:$F$18+$H$2:$H$18))</f>
        <v>8.2255948730900572E-2</v>
      </c>
      <c r="Q948">
        <f t="shared" si="115"/>
        <v>0</v>
      </c>
      <c r="R948">
        <f t="shared" si="116"/>
        <v>-1.7911676965188267E-3</v>
      </c>
      <c r="S948">
        <f t="array" ref="S948">+$B$2*SIN(R948*$B$3+$B$4)+0*R948+ SUM($J$2:$J$20*SIN(2*PI()*N948*$I$2:$I$20+$K$2:$K$20))</f>
        <v>-0.61633040279868134</v>
      </c>
      <c r="U948" s="3">
        <f t="shared" si="112"/>
        <v>1958.8333333332616</v>
      </c>
      <c r="V948" s="3">
        <f t="shared" si="113"/>
        <v>0.14843999999999999</v>
      </c>
      <c r="Z948" s="1">
        <v>1958.875</v>
      </c>
      <c r="AA948" s="2">
        <f t="shared" si="117"/>
        <v>-4.8155999999999997E-2</v>
      </c>
      <c r="AB948">
        <v>-2.4077999999999999</v>
      </c>
      <c r="AE948">
        <v>1958.8333333332616</v>
      </c>
      <c r="AF948">
        <v>-0.61633040279868134</v>
      </c>
    </row>
    <row r="949" spans="4:32" x14ac:dyDescent="0.35">
      <c r="D949">
        <v>-4.8804E-2</v>
      </c>
      <c r="M949">
        <f t="shared" si="118"/>
        <v>948</v>
      </c>
      <c r="N949">
        <f t="shared" si="119"/>
        <v>1958.9166666665949</v>
      </c>
      <c r="O949">
        <f t="shared" si="114"/>
        <v>0</v>
      </c>
      <c r="P949">
        <f t="array" ref="P949">+SUM($G$2:$G$18*SIN(2*PI()*(N949)*$B$1/$F$2:$F$18+$H$2:$H$18))</f>
        <v>0.28824772677279031</v>
      </c>
      <c r="Q949">
        <f t="shared" si="115"/>
        <v>0</v>
      </c>
      <c r="R949">
        <f t="shared" si="116"/>
        <v>-1.7884126281718751E-3</v>
      </c>
      <c r="S949">
        <f t="array" ref="S949">+$B$2*SIN(R949*$B$3+$B$4)+0*R949+ SUM($J$2:$J$20*SIN(2*PI()*N949*$I$2:$I$20+$K$2:$K$20))</f>
        <v>-0.61655439892755715</v>
      </c>
      <c r="U949" s="3">
        <f t="shared" si="112"/>
        <v>1958.9166666665949</v>
      </c>
      <c r="V949" s="3">
        <f t="shared" si="113"/>
        <v>0.246058</v>
      </c>
      <c r="Z949" s="1">
        <v>1958.9583</v>
      </c>
      <c r="AA949" s="2">
        <f t="shared" si="117"/>
        <v>-6.1353999999999999E-2</v>
      </c>
      <c r="AB949">
        <v>-3.0676999999999999</v>
      </c>
      <c r="AE949">
        <v>1958.9166666665949</v>
      </c>
      <c r="AF949">
        <v>-0.61655439892755715</v>
      </c>
    </row>
    <row r="950" spans="4:32" x14ac:dyDescent="0.35">
      <c r="D950">
        <v>-4.8155999999999997E-2</v>
      </c>
      <c r="M950">
        <f t="shared" si="118"/>
        <v>949</v>
      </c>
      <c r="N950">
        <f t="shared" si="119"/>
        <v>1958.9999999999281</v>
      </c>
      <c r="O950">
        <f t="shared" si="114"/>
        <v>36.637715116165623</v>
      </c>
      <c r="P950">
        <f t="array" ref="P950">+SUM($G$2:$G$18*SIN(2*PI()*(N950)*$B$1/$F$2:$F$18+$H$2:$H$18))</f>
        <v>0.23768638909197984</v>
      </c>
      <c r="Q950">
        <f t="shared" si="115"/>
        <v>8.7082862105420542</v>
      </c>
      <c r="R950">
        <f t="shared" si="116"/>
        <v>1.1608909655231843E-2</v>
      </c>
      <c r="S950">
        <f t="array" ref="S950">+$B$2*SIN(R950*$B$3+$B$4)+0*R950+ SUM($J$2:$J$20*SIN(2*PI()*N950*$I$2:$I$20+$K$2:$K$20))</f>
        <v>0.25085955345862038</v>
      </c>
      <c r="U950" s="3">
        <f t="shared" si="112"/>
        <v>1958.9999999999281</v>
      </c>
      <c r="V950" s="3">
        <f t="shared" si="113"/>
        <v>0.38675400000000004</v>
      </c>
      <c r="Z950" s="1">
        <v>1959.0417</v>
      </c>
      <c r="AA950" s="2">
        <f t="shared" si="117"/>
        <v>2.2366E-2</v>
      </c>
      <c r="AB950">
        <v>1.1183000000000001</v>
      </c>
      <c r="AE950">
        <v>1958.9999999999281</v>
      </c>
      <c r="AF950">
        <v>0.25085955345862038</v>
      </c>
    </row>
    <row r="951" spans="4:32" x14ac:dyDescent="0.35">
      <c r="D951">
        <v>-6.1353999999999999E-2</v>
      </c>
      <c r="M951">
        <f t="shared" si="118"/>
        <v>950</v>
      </c>
      <c r="N951">
        <f t="shared" si="119"/>
        <v>1959.0833333332614</v>
      </c>
      <c r="O951">
        <f t="shared" si="114"/>
        <v>0</v>
      </c>
      <c r="P951">
        <f t="array" ref="P951">+SUM($G$2:$G$18*SIN(2*PI()*(N951)*$B$1/$F$2:$F$18+$H$2:$H$18))</f>
        <v>-0.18528765535488118</v>
      </c>
      <c r="Q951">
        <f t="shared" si="115"/>
        <v>0</v>
      </c>
      <c r="R951">
        <f t="shared" si="116"/>
        <v>1.1591053516135591E-2</v>
      </c>
      <c r="S951">
        <f t="array" ref="S951">+$B$2*SIN(R951*$B$3+$B$4)+0*R951+ SUM($J$2:$J$20*SIN(2*PI()*N951*$I$2:$I$20+$K$2:$K$20))</f>
        <v>0.24847302213892741</v>
      </c>
      <c r="U951" s="3">
        <f t="shared" si="112"/>
        <v>1959.0833333332614</v>
      </c>
      <c r="V951" s="3">
        <f t="shared" si="113"/>
        <v>0.590526</v>
      </c>
      <c r="Z951" s="1">
        <v>1959.125</v>
      </c>
      <c r="AA951" s="2">
        <f t="shared" si="117"/>
        <v>3.9933999999999997E-2</v>
      </c>
      <c r="AB951">
        <v>1.9966999999999999</v>
      </c>
      <c r="AE951">
        <v>1959.0833333332614</v>
      </c>
      <c r="AF951">
        <v>0.24847302213892741</v>
      </c>
    </row>
    <row r="952" spans="4:32" x14ac:dyDescent="0.35">
      <c r="D952">
        <v>2.2366E-2</v>
      </c>
      <c r="M952">
        <f t="shared" si="118"/>
        <v>951</v>
      </c>
      <c r="N952">
        <f t="shared" si="119"/>
        <v>1959.1666666665947</v>
      </c>
      <c r="O952">
        <f t="shared" si="114"/>
        <v>0</v>
      </c>
      <c r="P952">
        <f t="array" ref="P952">+SUM($G$2:$G$18*SIN(2*PI()*(N952)*$B$1/$F$2:$F$18+$H$2:$H$18))</f>
        <v>-0.64665480392732888</v>
      </c>
      <c r="Q952">
        <f t="shared" si="115"/>
        <v>0</v>
      </c>
      <c r="R952">
        <f t="shared" si="116"/>
        <v>1.157322484229774E-2</v>
      </c>
      <c r="S952">
        <f t="array" ref="S952">+$B$2*SIN(R952*$B$3+$B$4)+0*R952+ SUM($J$2:$J$20*SIN(2*PI()*N952*$I$2:$I$20+$K$2:$K$20))</f>
        <v>0.24608736170526488</v>
      </c>
      <c r="U952" s="3">
        <f t="shared" si="112"/>
        <v>1959.1666666665947</v>
      </c>
      <c r="V952" s="3">
        <f t="shared" si="113"/>
        <v>0.77121600000000001</v>
      </c>
      <c r="Z952" s="1">
        <v>1959.2083</v>
      </c>
      <c r="AA952" s="2">
        <f t="shared" si="117"/>
        <v>3.2885999999999999E-2</v>
      </c>
      <c r="AB952">
        <v>1.6443000000000001</v>
      </c>
      <c r="AE952">
        <v>1959.1666666665947</v>
      </c>
      <c r="AF952">
        <v>0.24608736170526488</v>
      </c>
    </row>
    <row r="953" spans="4:32" x14ac:dyDescent="0.35">
      <c r="D953">
        <v>3.9933999999999997E-2</v>
      </c>
      <c r="M953">
        <f t="shared" si="118"/>
        <v>952</v>
      </c>
      <c r="N953">
        <f t="shared" si="119"/>
        <v>1959.2499999999279</v>
      </c>
      <c r="O953">
        <f t="shared" si="114"/>
        <v>0</v>
      </c>
      <c r="P953">
        <f t="array" ref="P953">+SUM($G$2:$G$18*SIN(2*PI()*(N953)*$B$1/$F$2:$F$18+$H$2:$H$18))</f>
        <v>-0.51499808219401078</v>
      </c>
      <c r="Q953">
        <f t="shared" si="115"/>
        <v>0</v>
      </c>
      <c r="R953">
        <f t="shared" si="116"/>
        <v>1.1555423591472852E-2</v>
      </c>
      <c r="S953">
        <f t="array" ref="S953">+$B$2*SIN(R953*$B$3+$B$4)+0*R953+ SUM($J$2:$J$20*SIN(2*PI()*N953*$I$2:$I$20+$K$2:$K$20))</f>
        <v>0.24370260622506271</v>
      </c>
      <c r="U953" s="3">
        <f t="shared" si="112"/>
        <v>1959.2499999999279</v>
      </c>
      <c r="V953" s="3">
        <f t="shared" si="113"/>
        <v>0.89652399999999999</v>
      </c>
      <c r="Z953" s="1">
        <v>1959.2917</v>
      </c>
      <c r="AA953" s="2">
        <f t="shared" si="117"/>
        <v>-7.5705999999999996E-2</v>
      </c>
      <c r="AB953">
        <v>-3.7852999999999999</v>
      </c>
      <c r="AE953">
        <v>1959.2499999999279</v>
      </c>
      <c r="AF953">
        <v>0.24370260622506271</v>
      </c>
    </row>
    <row r="954" spans="4:32" x14ac:dyDescent="0.35">
      <c r="D954">
        <v>3.2885999999999999E-2</v>
      </c>
      <c r="M954">
        <f t="shared" si="118"/>
        <v>953</v>
      </c>
      <c r="N954">
        <f t="shared" si="119"/>
        <v>1959.3333333332612</v>
      </c>
      <c r="O954">
        <f t="shared" si="114"/>
        <v>0</v>
      </c>
      <c r="P954">
        <f t="array" ref="P954">+SUM($G$2:$G$18*SIN(2*PI()*(N954)*$B$1/$F$2:$F$18+$H$2:$H$18))</f>
        <v>1.6082675029336385E-2</v>
      </c>
      <c r="Q954">
        <f t="shared" si="115"/>
        <v>0</v>
      </c>
      <c r="R954">
        <f t="shared" si="116"/>
        <v>1.1537649721480466E-2</v>
      </c>
      <c r="S954">
        <f t="array" ref="S954">+$B$2*SIN(R954*$B$3+$B$4)+0*R954+ SUM($J$2:$J$20*SIN(2*PI()*N954*$I$2:$I$20+$K$2:$K$20))</f>
        <v>0.24131878951199615</v>
      </c>
      <c r="U954" s="3">
        <f t="shared" si="112"/>
        <v>1959.3333333332612</v>
      </c>
      <c r="V954" s="3">
        <f t="shared" si="113"/>
        <v>0.71721599999999996</v>
      </c>
      <c r="Z954" s="1">
        <v>1959.375</v>
      </c>
      <c r="AA954" s="2">
        <f t="shared" si="117"/>
        <v>-0.37506400000000001</v>
      </c>
      <c r="AB954">
        <v>-18.7532</v>
      </c>
      <c r="AE954">
        <v>1959.3333333332612</v>
      </c>
      <c r="AF954">
        <v>0.24131878951199615</v>
      </c>
    </row>
    <row r="955" spans="4:32" x14ac:dyDescent="0.35">
      <c r="D955">
        <v>-7.5705999999999996E-2</v>
      </c>
      <c r="M955">
        <f t="shared" si="118"/>
        <v>954</v>
      </c>
      <c r="N955">
        <f t="shared" si="119"/>
        <v>1959.4166666665944</v>
      </c>
      <c r="O955">
        <f t="shared" si="114"/>
        <v>0</v>
      </c>
      <c r="P955">
        <f t="array" ref="P955">+SUM($G$2:$G$18*SIN(2*PI()*(N955)*$B$1/$F$2:$F$18+$H$2:$H$18))</f>
        <v>0.19697882028127223</v>
      </c>
      <c r="Q955">
        <f t="shared" si="115"/>
        <v>0</v>
      </c>
      <c r="R955">
        <f t="shared" si="116"/>
        <v>1.1519903190205004E-2</v>
      </c>
      <c r="S955">
        <f t="array" ref="S955">+$B$2*SIN(R955*$B$3+$B$4)+0*R955+ SUM($J$2:$J$20*SIN(2*PI()*N955*$I$2:$I$20+$K$2:$K$20))</f>
        <v>0.23893594512693309</v>
      </c>
      <c r="U955" s="3">
        <f t="shared" ref="U955:U1018" si="120">+N955</f>
        <v>1959.4166666665944</v>
      </c>
      <c r="V955" s="3">
        <f t="shared" ref="V955:V1018" si="121">+D913</f>
        <v>0.78713399999999989</v>
      </c>
      <c r="Z955" s="1">
        <v>1959.4583</v>
      </c>
      <c r="AA955" s="2">
        <f t="shared" si="117"/>
        <v>-0.68365399999999998</v>
      </c>
      <c r="AB955">
        <v>-34.182699999999997</v>
      </c>
      <c r="AE955">
        <v>1959.4166666665944</v>
      </c>
      <c r="AF955">
        <v>0.23893594512693309</v>
      </c>
    </row>
    <row r="956" spans="4:32" x14ac:dyDescent="0.35">
      <c r="D956">
        <v>-0.37506400000000001</v>
      </c>
      <c r="M956">
        <f t="shared" si="118"/>
        <v>955</v>
      </c>
      <c r="N956">
        <f t="shared" si="119"/>
        <v>1959.4999999999277</v>
      </c>
      <c r="O956">
        <f t="shared" si="114"/>
        <v>0</v>
      </c>
      <c r="P956">
        <f t="array" ref="P956">+SUM($G$2:$G$18*SIN(2*PI()*(N956)*$B$1/$F$2:$F$18+$H$2:$H$18))</f>
        <v>0.16620212828846886</v>
      </c>
      <c r="Q956">
        <f t="shared" si="115"/>
        <v>0</v>
      </c>
      <c r="R956">
        <f t="shared" si="116"/>
        <v>1.1502183955595668E-2</v>
      </c>
      <c r="S956">
        <f t="array" ref="S956">+$B$2*SIN(R956*$B$3+$B$4)+0*R956+ SUM($J$2:$J$20*SIN(2*PI()*N956*$I$2:$I$20+$K$2:$K$20))</f>
        <v>0.2365541063788833</v>
      </c>
      <c r="U956" s="3">
        <f t="shared" si="120"/>
        <v>1959.4999999999277</v>
      </c>
      <c r="V956" s="3">
        <f t="shared" si="121"/>
        <v>0.74320800000000009</v>
      </c>
      <c r="Z956" s="1">
        <v>1959.5417</v>
      </c>
      <c r="AA956" s="2">
        <f t="shared" si="117"/>
        <v>-0.74763199999999996</v>
      </c>
      <c r="AB956">
        <v>-37.381599999999999</v>
      </c>
      <c r="AE956">
        <v>1959.4999999999277</v>
      </c>
      <c r="AF956">
        <v>0.2365541063788833</v>
      </c>
    </row>
    <row r="957" spans="4:32" x14ac:dyDescent="0.35">
      <c r="D957">
        <v>-0.68365399999999998</v>
      </c>
      <c r="M957">
        <f t="shared" si="118"/>
        <v>956</v>
      </c>
      <c r="N957">
        <f t="shared" si="119"/>
        <v>1959.583333333261</v>
      </c>
      <c r="O957">
        <f t="shared" si="114"/>
        <v>0</v>
      </c>
      <c r="P957">
        <f t="array" ref="P957">+SUM($G$2:$G$18*SIN(2*PI()*(N957)*$B$1/$F$2:$F$18+$H$2:$H$18))</f>
        <v>0.28430529799707338</v>
      </c>
      <c r="Q957">
        <f t="shared" si="115"/>
        <v>0</v>
      </c>
      <c r="R957">
        <f t="shared" si="116"/>
        <v>1.1484491975666335E-2</v>
      </c>
      <c r="S957">
        <f t="array" ref="S957">+$B$2*SIN(R957*$B$3+$B$4)+0*R957+ SUM($J$2:$J$20*SIN(2*PI()*N957*$I$2:$I$20+$K$2:$K$20))</f>
        <v>0.23417330632594982</v>
      </c>
      <c r="U957" s="3">
        <f t="shared" si="120"/>
        <v>1959.583333333261</v>
      </c>
      <c r="V957" s="3">
        <f t="shared" si="121"/>
        <v>0.74543400000000004</v>
      </c>
      <c r="Z957" s="1">
        <v>1959.625</v>
      </c>
      <c r="AA957" s="2">
        <f t="shared" si="117"/>
        <v>-1.1269940000000001</v>
      </c>
      <c r="AB957">
        <v>-56.349699999999999</v>
      </c>
      <c r="AE957">
        <v>1959.583333333261</v>
      </c>
      <c r="AF957">
        <v>0.23417330632594982</v>
      </c>
    </row>
    <row r="958" spans="4:32" x14ac:dyDescent="0.35">
      <c r="D958">
        <v>-0.74763199999999996</v>
      </c>
      <c r="M958">
        <f t="shared" si="118"/>
        <v>957</v>
      </c>
      <c r="N958">
        <f t="shared" si="119"/>
        <v>1959.6666666665942</v>
      </c>
      <c r="O958">
        <f t="shared" si="114"/>
        <v>0</v>
      </c>
      <c r="P958">
        <f t="array" ref="P958">+SUM($G$2:$G$18*SIN(2*PI()*(N958)*$B$1/$F$2:$F$18+$H$2:$H$18))</f>
        <v>0.30621224224581983</v>
      </c>
      <c r="Q958">
        <f t="shared" si="115"/>
        <v>0</v>
      </c>
      <c r="R958">
        <f t="shared" si="116"/>
        <v>1.146682720849547E-2</v>
      </c>
      <c r="S958">
        <f t="array" ref="S958">+$B$2*SIN(R958*$B$3+$B$4)+0*R958+ SUM($J$2:$J$20*SIN(2*PI()*N958*$I$2:$I$20+$K$2:$K$20))</f>
        <v>0.23179357777628254</v>
      </c>
      <c r="U958" s="3">
        <f t="shared" si="120"/>
        <v>1959.6666666665942</v>
      </c>
      <c r="V958" s="3">
        <f t="shared" si="121"/>
        <v>0.76919399999999993</v>
      </c>
      <c r="Z958" s="1">
        <v>1959.7083</v>
      </c>
      <c r="AA958" s="2">
        <f t="shared" si="117"/>
        <v>-1.2848200000000001</v>
      </c>
      <c r="AB958">
        <v>-64.241</v>
      </c>
      <c r="AE958">
        <v>1959.6666666665942</v>
      </c>
      <c r="AF958">
        <v>0.23179357777628254</v>
      </c>
    </row>
    <row r="959" spans="4:32" x14ac:dyDescent="0.35">
      <c r="D959">
        <v>-1.1269940000000001</v>
      </c>
      <c r="M959">
        <f t="shared" si="118"/>
        <v>958</v>
      </c>
      <c r="N959">
        <f t="shared" si="119"/>
        <v>1959.7499999999275</v>
      </c>
      <c r="O959">
        <f t="shared" si="114"/>
        <v>0</v>
      </c>
      <c r="P959">
        <f t="array" ref="P959">+SUM($G$2:$G$18*SIN(2*PI()*(N959)*$B$1/$F$2:$F$18+$H$2:$H$18))</f>
        <v>6.7147866265123299E-2</v>
      </c>
      <c r="Q959">
        <f t="shared" si="115"/>
        <v>0</v>
      </c>
      <c r="R959">
        <f t="shared" si="116"/>
        <v>1.1449189612226013E-2</v>
      </c>
      <c r="S959">
        <f t="array" ref="S959">+$B$2*SIN(R959*$B$3+$B$4)+0*R959+ SUM($J$2:$J$20*SIN(2*PI()*N959*$I$2:$I$20+$K$2:$K$20))</f>
        <v>0.22941495328903155</v>
      </c>
      <c r="U959" s="3">
        <f t="shared" si="120"/>
        <v>1959.7499999999275</v>
      </c>
      <c r="V959" s="3">
        <f t="shared" si="121"/>
        <v>0.80064999999999997</v>
      </c>
      <c r="Z959" s="1">
        <v>1959.7917</v>
      </c>
      <c r="AA959" s="2">
        <f t="shared" si="117"/>
        <v>-1.498032</v>
      </c>
      <c r="AB959">
        <v>-74.901600000000002</v>
      </c>
      <c r="AE959">
        <v>1959.7499999999275</v>
      </c>
      <c r="AF959">
        <v>0.22941495328903155</v>
      </c>
    </row>
    <row r="960" spans="4:32" x14ac:dyDescent="0.35">
      <c r="D960">
        <v>-1.2848200000000001</v>
      </c>
      <c r="M960">
        <f t="shared" si="118"/>
        <v>959</v>
      </c>
      <c r="N960">
        <f t="shared" si="119"/>
        <v>1959.8333333332607</v>
      </c>
      <c r="O960">
        <f t="shared" si="114"/>
        <v>0</v>
      </c>
      <c r="P960">
        <f t="array" ref="P960">+SUM($G$2:$G$18*SIN(2*PI()*(N960)*$B$1/$F$2:$F$18+$H$2:$H$18))</f>
        <v>-0.36002955015861077</v>
      </c>
      <c r="Q960">
        <f t="shared" si="115"/>
        <v>0</v>
      </c>
      <c r="R960">
        <f t="shared" si="116"/>
        <v>1.143157914506529E-2</v>
      </c>
      <c r="S960">
        <f t="array" ref="S960">+$B$2*SIN(R960*$B$3+$B$4)+0*R960+ SUM($J$2:$J$20*SIN(2*PI()*N960*$I$2:$I$20+$K$2:$K$20))</f>
        <v>0.22703746517530721</v>
      </c>
      <c r="U960" s="3">
        <f t="shared" si="120"/>
        <v>1959.8333333332607</v>
      </c>
      <c r="V960" s="3">
        <f t="shared" si="121"/>
        <v>0.77210400000000012</v>
      </c>
      <c r="Z960" s="1">
        <v>1959.875</v>
      </c>
      <c r="AA960" s="2">
        <f t="shared" si="117"/>
        <v>-1.5712440000000001</v>
      </c>
      <c r="AB960">
        <v>-78.562200000000004</v>
      </c>
      <c r="AE960">
        <v>1959.8333333332607</v>
      </c>
      <c r="AF960">
        <v>0.22703746517530721</v>
      </c>
    </row>
    <row r="961" spans="4:32" x14ac:dyDescent="0.35">
      <c r="D961">
        <v>-1.498032</v>
      </c>
      <c r="M961">
        <f t="shared" si="118"/>
        <v>960</v>
      </c>
      <c r="N961">
        <f t="shared" si="119"/>
        <v>1959.916666666594</v>
      </c>
      <c r="O961">
        <f t="shared" si="114"/>
        <v>0</v>
      </c>
      <c r="P961">
        <f t="array" ref="P961">+SUM($G$2:$G$18*SIN(2*PI()*(N961)*$B$1/$F$2:$F$18+$H$2:$H$18))</f>
        <v>-0.62902695177360379</v>
      </c>
      <c r="Q961">
        <f t="shared" si="115"/>
        <v>0</v>
      </c>
      <c r="R961">
        <f t="shared" si="116"/>
        <v>1.1413995765284908E-2</v>
      </c>
      <c r="S961">
        <f t="array" ref="S961">+$B$2*SIN(R961*$B$3+$B$4)+0*R961+ SUM($J$2:$J$20*SIN(2*PI()*N961*$I$2:$I$20+$K$2:$K$20))</f>
        <v>0.22466114549913463</v>
      </c>
      <c r="U961" s="3">
        <f t="shared" si="120"/>
        <v>1959.916666666594</v>
      </c>
      <c r="V961" s="3">
        <f t="shared" si="121"/>
        <v>0.99739999999999995</v>
      </c>
      <c r="Z961" s="1">
        <v>1959.9583</v>
      </c>
      <c r="AA961" s="2">
        <f t="shared" si="117"/>
        <v>-1.4536859999999998</v>
      </c>
      <c r="AB961">
        <v>-72.684299999999993</v>
      </c>
      <c r="AE961">
        <v>1959.916666666594</v>
      </c>
      <c r="AF961">
        <v>0.22466114549913463</v>
      </c>
    </row>
    <row r="962" spans="4:32" x14ac:dyDescent="0.35">
      <c r="D962">
        <v>-1.5712440000000001</v>
      </c>
      <c r="M962">
        <f t="shared" si="118"/>
        <v>961</v>
      </c>
      <c r="N962">
        <f t="shared" si="119"/>
        <v>1959.9999999999272</v>
      </c>
      <c r="O962">
        <f t="shared" ref="O962:O1025" si="122">+IF(MOD(M962,$B$5)=1, $B$6, 0)</f>
        <v>36.637715116165623</v>
      </c>
      <c r="P962">
        <f t="array" ref="P962">+SUM($G$2:$G$18*SIN(2*PI()*(N962)*$B$1/$F$2:$F$18+$H$2:$H$18))</f>
        <v>-0.32047241392384029</v>
      </c>
      <c r="Q962">
        <f t="shared" si="115"/>
        <v>-11.74137700393157</v>
      </c>
      <c r="R962">
        <f t="shared" si="116"/>
        <v>-6.6634531159872161E-3</v>
      </c>
      <c r="S962">
        <f t="array" ref="S962">+$B$2*SIN(R962*$B$3+$B$4)+0*R962+ SUM($J$2:$J$20*SIN(2*PI()*N962*$I$2:$I$20+$K$2:$K$20))</f>
        <v>-3.1815819245051356E-2</v>
      </c>
      <c r="U962" s="3">
        <f t="shared" si="120"/>
        <v>1959.9999999999272</v>
      </c>
      <c r="V962" s="3">
        <f t="shared" si="121"/>
        <v>0.86269800000000008</v>
      </c>
      <c r="Z962" s="1">
        <v>1960.0417</v>
      </c>
      <c r="AA962" s="2">
        <f t="shared" si="117"/>
        <v>-1.397672</v>
      </c>
      <c r="AB962">
        <v>-69.883600000000001</v>
      </c>
      <c r="AE962">
        <v>1959.9999999999272</v>
      </c>
      <c r="AF962">
        <v>-3.1815819245051356E-2</v>
      </c>
    </row>
    <row r="963" spans="4:32" x14ac:dyDescent="0.35">
      <c r="D963">
        <v>-1.4536859999999998</v>
      </c>
      <c r="M963">
        <f t="shared" si="118"/>
        <v>962</v>
      </c>
      <c r="N963">
        <f t="shared" si="119"/>
        <v>1960.0833333332605</v>
      </c>
      <c r="O963">
        <f t="shared" si="122"/>
        <v>0</v>
      </c>
      <c r="P963">
        <f t="array" ref="P963">+SUM($G$2:$G$18*SIN(2*PI()*(N963)*$B$1/$F$2:$F$18+$H$2:$H$18))</f>
        <v>0.15672680405247796</v>
      </c>
      <c r="Q963">
        <f t="shared" ref="Q963:Q1026" si="123">+O963*P963</f>
        <v>0</v>
      </c>
      <c r="R963">
        <f t="shared" ref="R963:R1026" si="124">+(1-$B$7)*R962+($B$7)*Q963</f>
        <v>-6.6532037860127348E-3</v>
      </c>
      <c r="S963">
        <f t="array" ref="S963">+$B$2*SIN(R963*$B$3+$B$4)+0*R963+ SUM($J$2:$J$20*SIN(2*PI()*N963*$I$2:$I$20+$K$2:$K$20))</f>
        <v>-3.3266516925197442E-2</v>
      </c>
      <c r="U963" s="3">
        <f t="shared" si="120"/>
        <v>1960.0833333332605</v>
      </c>
      <c r="V963" s="3">
        <f t="shared" si="121"/>
        <v>0.90337800000000001</v>
      </c>
      <c r="Z963" s="1">
        <v>1960.125</v>
      </c>
      <c r="AA963" s="2">
        <f t="shared" ref="AA963:AA1026" si="125">+AB963/50</f>
        <v>-1.270888</v>
      </c>
      <c r="AB963">
        <v>-63.544400000000003</v>
      </c>
      <c r="AE963">
        <v>1960.0833333332605</v>
      </c>
      <c r="AF963">
        <v>-3.3266516925197442E-2</v>
      </c>
    </row>
    <row r="964" spans="4:32" x14ac:dyDescent="0.35">
      <c r="D964">
        <v>-1.397672</v>
      </c>
      <c r="M964">
        <f t="shared" ref="M964:M1027" si="126">+M963+1</f>
        <v>963</v>
      </c>
      <c r="N964">
        <f t="shared" ref="N964:N1027" si="127">+N963+1/12</f>
        <v>1960.1666666665938</v>
      </c>
      <c r="O964">
        <f t="shared" si="122"/>
        <v>0</v>
      </c>
      <c r="P964">
        <f t="array" ref="P964">+SUM($G$2:$G$18*SIN(2*PI()*(N964)*$B$1/$F$2:$F$18+$H$2:$H$18))</f>
        <v>0.28085662762147118</v>
      </c>
      <c r="Q964">
        <f t="shared" si="123"/>
        <v>0</v>
      </c>
      <c r="R964">
        <f t="shared" si="124"/>
        <v>-6.6429702209521947E-3</v>
      </c>
      <c r="S964">
        <f t="array" ref="S964">+$B$2*SIN(R964*$B$3+$B$4)+0*R964+ SUM($J$2:$J$20*SIN(2*PI()*N964*$I$2:$I$20+$K$2:$K$20))</f>
        <v>-3.4714859724050827E-2</v>
      </c>
      <c r="U964" s="3">
        <f t="shared" si="120"/>
        <v>1960.1666666665938</v>
      </c>
      <c r="V964" s="3">
        <f t="shared" si="121"/>
        <v>0.50867200000000001</v>
      </c>
      <c r="Z964" s="1">
        <v>1960.2083</v>
      </c>
      <c r="AA964" s="2">
        <f t="shared" si="125"/>
        <v>-1.11795</v>
      </c>
      <c r="AB964">
        <v>-55.897500000000001</v>
      </c>
      <c r="AE964">
        <v>1960.1666666665938</v>
      </c>
      <c r="AF964">
        <v>-3.4714859724050827E-2</v>
      </c>
    </row>
    <row r="965" spans="4:32" x14ac:dyDescent="0.35">
      <c r="D965">
        <v>-1.270888</v>
      </c>
      <c r="M965">
        <f t="shared" si="126"/>
        <v>964</v>
      </c>
      <c r="N965">
        <f t="shared" si="127"/>
        <v>1960.249999999927</v>
      </c>
      <c r="O965">
        <f t="shared" si="122"/>
        <v>0</v>
      </c>
      <c r="P965">
        <f t="array" ref="P965">+SUM($G$2:$G$18*SIN(2*PI()*(N965)*$B$1/$F$2:$F$18+$H$2:$H$18))</f>
        <v>0.32722290116839947</v>
      </c>
      <c r="Q965">
        <f t="shared" si="123"/>
        <v>0</v>
      </c>
      <c r="R965">
        <f t="shared" si="124"/>
        <v>-6.6327523965569362E-3</v>
      </c>
      <c r="S965">
        <f t="array" ref="S965">+$B$2*SIN(R965*$B$3+$B$4)+0*R965+ SUM($J$2:$J$20*SIN(2*PI()*N965*$I$2:$I$20+$K$2:$K$20))</f>
        <v>-3.6160846282742264E-2</v>
      </c>
      <c r="U965" s="3">
        <f t="shared" si="120"/>
        <v>1960.249999999927</v>
      </c>
      <c r="V965" s="3">
        <f t="shared" si="121"/>
        <v>0.43396600000000002</v>
      </c>
      <c r="Z965" s="1">
        <v>1960.2917</v>
      </c>
      <c r="AA965" s="2">
        <f t="shared" si="125"/>
        <v>-1.197322</v>
      </c>
      <c r="AB965">
        <v>-59.866100000000003</v>
      </c>
      <c r="AE965">
        <v>1960.249999999927</v>
      </c>
      <c r="AF965">
        <v>-3.6160846282742264E-2</v>
      </c>
    </row>
    <row r="966" spans="4:32" x14ac:dyDescent="0.35">
      <c r="D966">
        <v>-1.11795</v>
      </c>
      <c r="M966">
        <f t="shared" si="126"/>
        <v>965</v>
      </c>
      <c r="N966">
        <f t="shared" si="127"/>
        <v>1960.3333333332603</v>
      </c>
      <c r="O966">
        <f t="shared" si="122"/>
        <v>0</v>
      </c>
      <c r="P966">
        <f t="array" ref="P966">+SUM($G$2:$G$18*SIN(2*PI()*(N966)*$B$1/$F$2:$F$18+$H$2:$H$18))</f>
        <v>0.37023798740789005</v>
      </c>
      <c r="Q966">
        <f t="shared" si="123"/>
        <v>0</v>
      </c>
      <c r="R966">
        <f t="shared" si="124"/>
        <v>-6.6225502886155981E-3</v>
      </c>
      <c r="S966">
        <f t="array" ref="S966">+$B$2*SIN(R966*$B$3+$B$4)+0*R966+ SUM($J$2:$J$20*SIN(2*PI()*N966*$I$2:$I$20+$K$2:$K$20))</f>
        <v>-3.7604475284974286E-2</v>
      </c>
      <c r="U966" s="3">
        <f t="shared" si="120"/>
        <v>1960.3333333332603</v>
      </c>
      <c r="V966" s="3">
        <f t="shared" si="121"/>
        <v>0.25002800000000003</v>
      </c>
      <c r="Z966" s="1">
        <v>1960.375</v>
      </c>
      <c r="AA966" s="2">
        <f t="shared" si="125"/>
        <v>-1.262848</v>
      </c>
      <c r="AB966">
        <v>-63.142400000000002</v>
      </c>
      <c r="AE966">
        <v>1960.3333333332603</v>
      </c>
      <c r="AF966">
        <v>-3.7604475284974286E-2</v>
      </c>
    </row>
    <row r="967" spans="4:32" x14ac:dyDescent="0.35">
      <c r="D967">
        <v>-1.197322</v>
      </c>
      <c r="M967">
        <f t="shared" si="126"/>
        <v>966</v>
      </c>
      <c r="N967">
        <f t="shared" si="127"/>
        <v>1960.4166666665935</v>
      </c>
      <c r="O967">
        <f t="shared" si="122"/>
        <v>0</v>
      </c>
      <c r="P967">
        <f t="array" ref="P967">+SUM($G$2:$G$18*SIN(2*PI()*(N967)*$B$1/$F$2:$F$18+$H$2:$H$18))</f>
        <v>0.17533037296134468</v>
      </c>
      <c r="Q967">
        <f t="shared" si="123"/>
        <v>0</v>
      </c>
      <c r="R967">
        <f t="shared" si="124"/>
        <v>-6.6123638729540593E-3</v>
      </c>
      <c r="S967">
        <f t="array" ref="S967">+$B$2*SIN(R967*$B$3+$B$4)+0*R967+ SUM($J$2:$J$20*SIN(2*PI()*N967*$I$2:$I$20+$K$2:$K$20))</f>
        <v>-3.9045745456735663E-2</v>
      </c>
      <c r="U967" s="3">
        <f t="shared" si="120"/>
        <v>1960.4166666665935</v>
      </c>
      <c r="V967" s="3">
        <f t="shared" si="121"/>
        <v>0.34301000000000004</v>
      </c>
      <c r="Z967" s="1">
        <v>1960.4583</v>
      </c>
      <c r="AA967" s="2">
        <f t="shared" si="125"/>
        <v>-0.99299000000000004</v>
      </c>
      <c r="AB967">
        <v>-49.649500000000003</v>
      </c>
      <c r="AE967">
        <v>1960.4166666665935</v>
      </c>
      <c r="AF967">
        <v>-3.9045745456735663E-2</v>
      </c>
    </row>
    <row r="968" spans="4:32" x14ac:dyDescent="0.35">
      <c r="D968">
        <v>-1.262848</v>
      </c>
      <c r="M968">
        <f t="shared" si="126"/>
        <v>967</v>
      </c>
      <c r="N968">
        <f t="shared" si="127"/>
        <v>1960.4999999999268</v>
      </c>
      <c r="O968">
        <f t="shared" si="122"/>
        <v>0</v>
      </c>
      <c r="P968">
        <f t="array" ref="P968">+SUM($G$2:$G$18*SIN(2*PI()*(N968)*$B$1/$F$2:$F$18+$H$2:$H$18))</f>
        <v>-0.14867283977138798</v>
      </c>
      <c r="Q968">
        <f t="shared" si="123"/>
        <v>0</v>
      </c>
      <c r="R968">
        <f t="shared" si="124"/>
        <v>-6.6021931254353827E-3</v>
      </c>
      <c r="S968">
        <f t="array" ref="S968">+$B$2*SIN(R968*$B$3+$B$4)+0*R968+ SUM($J$2:$J$20*SIN(2*PI()*N968*$I$2:$I$20+$K$2:$K$20))</f>
        <v>-4.0484655566010379E-2</v>
      </c>
      <c r="U968" s="3">
        <f t="shared" si="120"/>
        <v>1960.4999999999268</v>
      </c>
      <c r="V968" s="3">
        <f t="shared" si="121"/>
        <v>0.33906999999999998</v>
      </c>
      <c r="Z968" s="1">
        <v>1960.5417</v>
      </c>
      <c r="AA968" s="2">
        <f t="shared" si="125"/>
        <v>-0.92005999999999999</v>
      </c>
      <c r="AB968">
        <v>-46.003</v>
      </c>
      <c r="AE968">
        <v>1960.4999999999268</v>
      </c>
      <c r="AF968">
        <v>-4.0484655566010379E-2</v>
      </c>
    </row>
    <row r="969" spans="4:32" x14ac:dyDescent="0.35">
      <c r="D969">
        <v>-0.99299000000000004</v>
      </c>
      <c r="M969">
        <f t="shared" si="126"/>
        <v>968</v>
      </c>
      <c r="N969">
        <f t="shared" si="127"/>
        <v>1960.58333333326</v>
      </c>
      <c r="O969">
        <f t="shared" si="122"/>
        <v>0</v>
      </c>
      <c r="P969">
        <f t="array" ref="P969">+SUM($G$2:$G$18*SIN(2*PI()*(N969)*$B$1/$F$2:$F$18+$H$2:$H$18))</f>
        <v>-0.48777867798149876</v>
      </c>
      <c r="Q969">
        <f t="shared" si="123"/>
        <v>0</v>
      </c>
      <c r="R969">
        <f t="shared" si="124"/>
        <v>-6.5920380219597558E-3</v>
      </c>
      <c r="S969">
        <f t="array" ref="S969">+$B$2*SIN(R969*$B$3+$B$4)+0*R969+ SUM($J$2:$J$20*SIN(2*PI()*N969*$I$2:$I$20+$K$2:$K$20))</f>
        <v>-4.192120442249344E-2</v>
      </c>
      <c r="U969" s="3">
        <f t="shared" si="120"/>
        <v>1960.58333333326</v>
      </c>
      <c r="V969" s="3">
        <f t="shared" si="121"/>
        <v>0.31512799999999996</v>
      </c>
      <c r="Z969" s="1">
        <v>1960.625</v>
      </c>
      <c r="AA969" s="2">
        <f t="shared" si="125"/>
        <v>-1.0348200000000001</v>
      </c>
      <c r="AB969">
        <v>-51.741</v>
      </c>
      <c r="AE969">
        <v>1960.58333333326</v>
      </c>
      <c r="AF969">
        <v>-4.192120442249344E-2</v>
      </c>
    </row>
    <row r="970" spans="4:32" x14ac:dyDescent="0.35">
      <c r="D970">
        <v>-0.92005999999999999</v>
      </c>
      <c r="M970">
        <f t="shared" si="126"/>
        <v>969</v>
      </c>
      <c r="N970">
        <f t="shared" si="127"/>
        <v>1960.6666666665933</v>
      </c>
      <c r="O970">
        <f t="shared" si="122"/>
        <v>0</v>
      </c>
      <c r="P970">
        <f t="array" ref="P970">+SUM($G$2:$G$18*SIN(2*PI()*(N970)*$B$1/$F$2:$F$18+$H$2:$H$18))</f>
        <v>-0.56954773419201077</v>
      </c>
      <c r="Q970">
        <f t="shared" si="123"/>
        <v>0</v>
      </c>
      <c r="R970">
        <f t="shared" si="124"/>
        <v>-6.5818985384644355E-3</v>
      </c>
      <c r="S970">
        <f t="array" ref="S970">+$B$2*SIN(R970*$B$3+$B$4)+0*R970+ SUM($J$2:$J$20*SIN(2*PI()*N970*$I$2:$I$20+$K$2:$K$20))</f>
        <v>-4.3355390877304556E-2</v>
      </c>
      <c r="U970" s="3">
        <f t="shared" si="120"/>
        <v>1960.6666666665933</v>
      </c>
      <c r="V970" s="3">
        <f t="shared" si="121"/>
        <v>0.38195400000000002</v>
      </c>
      <c r="Z970" s="1">
        <v>1960.7083</v>
      </c>
      <c r="AA970" s="2">
        <f t="shared" si="125"/>
        <v>-0.60650399999999993</v>
      </c>
      <c r="AB970">
        <v>-30.325199999999999</v>
      </c>
      <c r="AE970">
        <v>1960.6666666665933</v>
      </c>
      <c r="AF970">
        <v>-4.3355390877304556E-2</v>
      </c>
    </row>
    <row r="971" spans="4:32" x14ac:dyDescent="0.35">
      <c r="D971">
        <v>-1.0348200000000001</v>
      </c>
      <c r="M971">
        <f t="shared" si="126"/>
        <v>970</v>
      </c>
      <c r="N971">
        <f t="shared" si="127"/>
        <v>1960.7499999999266</v>
      </c>
      <c r="O971">
        <f t="shared" si="122"/>
        <v>0</v>
      </c>
      <c r="P971">
        <f t="array" ref="P971">+SUM($G$2:$G$18*SIN(2*PI()*(N971)*$B$1/$F$2:$F$18+$H$2:$H$18))</f>
        <v>-0.15200985311329127</v>
      </c>
      <c r="Q971">
        <f t="shared" si="123"/>
        <v>0</v>
      </c>
      <c r="R971">
        <f t="shared" si="124"/>
        <v>-6.5717746509236907E-3</v>
      </c>
      <c r="S971">
        <f t="array" ref="S971">+$B$2*SIN(R971*$B$3+$B$4)+0*R971+ SUM($J$2:$J$20*SIN(2*PI()*N971*$I$2:$I$20+$K$2:$K$20))</f>
        <v>-4.4787213822704577E-2</v>
      </c>
      <c r="U971" s="3">
        <f t="shared" si="120"/>
        <v>1960.7499999999266</v>
      </c>
      <c r="V971" s="3">
        <f t="shared" si="121"/>
        <v>0.38108600000000004</v>
      </c>
      <c r="Z971" s="1">
        <v>1960.7917</v>
      </c>
      <c r="AA971" s="2">
        <f t="shared" si="125"/>
        <v>-0.18896199999999999</v>
      </c>
      <c r="AB971">
        <v>-9.4481000000000002</v>
      </c>
      <c r="AE971">
        <v>1960.7499999999266</v>
      </c>
      <c r="AF971">
        <v>-4.4787213822704577E-2</v>
      </c>
    </row>
    <row r="972" spans="4:32" x14ac:dyDescent="0.35">
      <c r="D972">
        <v>-0.60650399999999993</v>
      </c>
      <c r="M972">
        <f t="shared" si="126"/>
        <v>971</v>
      </c>
      <c r="N972">
        <f t="shared" si="127"/>
        <v>1960.8333333332598</v>
      </c>
      <c r="O972">
        <f t="shared" si="122"/>
        <v>0</v>
      </c>
      <c r="P972">
        <f t="array" ref="P972">+SUM($G$2:$G$18*SIN(2*PI()*(N972)*$B$1/$F$2:$F$18+$H$2:$H$18))</f>
        <v>0.25599908347089673</v>
      </c>
      <c r="Q972">
        <f t="shared" si="123"/>
        <v>0</v>
      </c>
      <c r="R972">
        <f t="shared" si="124"/>
        <v>-6.5616663353487452E-3</v>
      </c>
      <c r="S972">
        <f t="array" ref="S972">+$B$2*SIN(R972*$B$3+$B$4)+0*R972+ SUM($J$2:$J$20*SIN(2*PI()*N972*$I$2:$I$20+$K$2:$K$20))</f>
        <v>-4.621667219181258E-2</v>
      </c>
      <c r="U972" s="3">
        <f t="shared" si="120"/>
        <v>1960.8333333332598</v>
      </c>
      <c r="V972" s="3">
        <f t="shared" si="121"/>
        <v>0.41406599999999999</v>
      </c>
      <c r="Z972" s="1">
        <v>1960.875</v>
      </c>
      <c r="AA972" s="2">
        <f t="shared" si="125"/>
        <v>0.23166</v>
      </c>
      <c r="AB972">
        <v>11.583</v>
      </c>
      <c r="AE972">
        <v>1960.8333333332598</v>
      </c>
      <c r="AF972">
        <v>-4.621667219181258E-2</v>
      </c>
    </row>
    <row r="973" spans="4:32" x14ac:dyDescent="0.35">
      <c r="D973">
        <v>-0.18896199999999999</v>
      </c>
      <c r="M973">
        <f t="shared" si="126"/>
        <v>972</v>
      </c>
      <c r="N973">
        <f t="shared" si="127"/>
        <v>1960.9166666665931</v>
      </c>
      <c r="O973">
        <f t="shared" si="122"/>
        <v>0</v>
      </c>
      <c r="P973">
        <f t="array" ref="P973">+SUM($G$2:$G$18*SIN(2*PI()*(N973)*$B$1/$F$2:$F$18+$H$2:$H$18))</f>
        <v>0.32604274516480164</v>
      </c>
      <c r="Q973">
        <f t="shared" si="123"/>
        <v>0</v>
      </c>
      <c r="R973">
        <f t="shared" si="124"/>
        <v>-6.551573567787722E-3</v>
      </c>
      <c r="S973">
        <f t="array" ref="S973">+$B$2*SIN(R973*$B$3+$B$4)+0*R973+ SUM($J$2:$J$20*SIN(2*PI()*N973*$I$2:$I$20+$K$2:$K$20))</f>
        <v>-4.7643764958325598E-2</v>
      </c>
      <c r="U973" s="3">
        <f t="shared" si="120"/>
        <v>1960.9166666665931</v>
      </c>
      <c r="V973" s="3">
        <f t="shared" si="121"/>
        <v>0.54088599999999998</v>
      </c>
      <c r="Z973" s="1">
        <v>1960.9583</v>
      </c>
      <c r="AA973" s="2">
        <f t="shared" si="125"/>
        <v>0.496896</v>
      </c>
      <c r="AB973">
        <v>24.844799999999999</v>
      </c>
      <c r="AE973">
        <v>1960.9166666665931</v>
      </c>
      <c r="AF973">
        <v>-4.7643764958325598E-2</v>
      </c>
    </row>
    <row r="974" spans="4:32" x14ac:dyDescent="0.35">
      <c r="D974">
        <v>0.23166</v>
      </c>
      <c r="M974">
        <f t="shared" si="126"/>
        <v>973</v>
      </c>
      <c r="N974">
        <f t="shared" si="127"/>
        <v>1960.9999999999263</v>
      </c>
      <c r="O974">
        <f t="shared" si="122"/>
        <v>36.637715116165623</v>
      </c>
      <c r="P974">
        <f t="array" ref="P974">+SUM($G$2:$G$18*SIN(2*PI()*(N974)*$B$1/$F$2:$F$18+$H$2:$H$18))</f>
        <v>0.32335598777062602</v>
      </c>
      <c r="Q974">
        <f t="shared" si="123"/>
        <v>11.847024561046531</v>
      </c>
      <c r="R974">
        <f t="shared" si="124"/>
        <v>1.168089705466142E-2</v>
      </c>
      <c r="S974">
        <f t="array" ref="S974">+$B$2*SIN(R974*$B$3+$B$4)+0*R974+ SUM($J$2:$J$20*SIN(2*PI()*N974*$I$2:$I$20+$K$2:$K$20))</f>
        <v>0.26045189200458463</v>
      </c>
      <c r="U974" s="3">
        <f t="shared" si="120"/>
        <v>1960.9999999999263</v>
      </c>
      <c r="V974" s="3">
        <f t="shared" si="121"/>
        <v>0.49232399999999998</v>
      </c>
      <c r="Z974" s="1">
        <v>1961.0417</v>
      </c>
      <c r="AA974" s="2">
        <f t="shared" si="125"/>
        <v>0.83597200000000005</v>
      </c>
      <c r="AB974">
        <v>41.7986</v>
      </c>
      <c r="AE974">
        <v>1960.9999999999263</v>
      </c>
      <c r="AF974">
        <v>0.26045189200458463</v>
      </c>
    </row>
    <row r="975" spans="4:32" x14ac:dyDescent="0.35">
      <c r="D975">
        <v>0.496896</v>
      </c>
      <c r="M975">
        <f t="shared" si="126"/>
        <v>974</v>
      </c>
      <c r="N975">
        <f t="shared" si="127"/>
        <v>1961.0833333332596</v>
      </c>
      <c r="O975">
        <f t="shared" si="122"/>
        <v>0</v>
      </c>
      <c r="P975">
        <f t="array" ref="P975">+SUM($G$2:$G$18*SIN(2*PI()*(N975)*$B$1/$F$2:$F$18+$H$2:$H$18))</f>
        <v>0.18201802249240057</v>
      </c>
      <c r="Q975">
        <f t="shared" si="123"/>
        <v>0</v>
      </c>
      <c r="R975">
        <f t="shared" si="124"/>
        <v>1.1662930188799644E-2</v>
      </c>
      <c r="S975">
        <f t="array" ref="S975">+$B$2*SIN(R975*$B$3+$B$4)+0*R975+ SUM($J$2:$J$20*SIN(2*PI()*N975*$I$2:$I$20+$K$2:$K$20))</f>
        <v>0.25806221151054631</v>
      </c>
      <c r="U975" s="3">
        <f t="shared" si="120"/>
        <v>1961.0833333332596</v>
      </c>
      <c r="V975" s="3">
        <f t="shared" si="121"/>
        <v>0.64222399999999991</v>
      </c>
      <c r="Z975" s="1">
        <v>1961.125</v>
      </c>
      <c r="AA975" s="2">
        <f t="shared" si="125"/>
        <v>1.03813</v>
      </c>
      <c r="AB975">
        <v>51.906500000000001</v>
      </c>
      <c r="AE975">
        <v>1961.0833333332596</v>
      </c>
      <c r="AF975">
        <v>0.25806221151054631</v>
      </c>
    </row>
    <row r="976" spans="4:32" x14ac:dyDescent="0.35">
      <c r="D976">
        <v>0.83597200000000005</v>
      </c>
      <c r="M976">
        <f t="shared" si="126"/>
        <v>975</v>
      </c>
      <c r="N976">
        <f t="shared" si="127"/>
        <v>1961.1666666665928</v>
      </c>
      <c r="O976">
        <f t="shared" si="122"/>
        <v>0</v>
      </c>
      <c r="P976">
        <f t="array" ref="P976">+SUM($G$2:$G$18*SIN(2*PI()*(N976)*$B$1/$F$2:$F$18+$H$2:$H$18))</f>
        <v>-0.11026424458583729</v>
      </c>
      <c r="Q976">
        <f t="shared" si="123"/>
        <v>0</v>
      </c>
      <c r="R976">
        <f t="shared" si="124"/>
        <v>1.1644990958509639E-2</v>
      </c>
      <c r="S976">
        <f t="array" ref="S976">+$B$2*SIN(R976*$B$3+$B$4)+0*R976+ SUM($J$2:$J$20*SIN(2*PI()*N976*$I$2:$I$20+$K$2:$K$20))</f>
        <v>0.2556732625135093</v>
      </c>
      <c r="U976" s="3">
        <f t="shared" si="120"/>
        <v>1961.1666666665928</v>
      </c>
      <c r="V976" s="3">
        <f t="shared" si="121"/>
        <v>0.54134799999999994</v>
      </c>
      <c r="Z976" s="1">
        <v>1961.2083</v>
      </c>
      <c r="AA976" s="2">
        <f t="shared" si="125"/>
        <v>1.0433620000000001</v>
      </c>
      <c r="AB976">
        <v>52.168100000000003</v>
      </c>
      <c r="AE976">
        <v>1961.1666666665928</v>
      </c>
      <c r="AF976">
        <v>0.2556732625135093</v>
      </c>
    </row>
    <row r="977" spans="4:32" x14ac:dyDescent="0.35">
      <c r="D977">
        <v>1.03813</v>
      </c>
      <c r="M977">
        <f t="shared" si="126"/>
        <v>976</v>
      </c>
      <c r="N977">
        <f t="shared" si="127"/>
        <v>1961.2499999999261</v>
      </c>
      <c r="O977">
        <f t="shared" si="122"/>
        <v>0</v>
      </c>
      <c r="P977">
        <f t="array" ref="P977">+SUM($G$2:$G$18*SIN(2*PI()*(N977)*$B$1/$F$2:$F$18+$H$2:$H$18))</f>
        <v>-0.33436828241843919</v>
      </c>
      <c r="Q977">
        <f t="shared" si="123"/>
        <v>0</v>
      </c>
      <c r="R977">
        <f t="shared" si="124"/>
        <v>1.1627079321284E-2</v>
      </c>
      <c r="S977">
        <f t="array" ref="S977">+$B$2*SIN(R977*$B$3+$B$4)+0*R977+ SUM($J$2:$J$20*SIN(2*PI()*N977*$I$2:$I$20+$K$2:$K$20))</f>
        <v>0.25328508010947409</v>
      </c>
      <c r="U977" s="3">
        <f t="shared" si="120"/>
        <v>1961.2499999999261</v>
      </c>
      <c r="V977" s="3">
        <f t="shared" si="121"/>
        <v>0.83585999999999994</v>
      </c>
      <c r="Z977" s="1">
        <v>1961.2917</v>
      </c>
      <c r="AA977" s="2">
        <f t="shared" si="125"/>
        <v>0.70089800000000002</v>
      </c>
      <c r="AB977">
        <v>35.044899999999998</v>
      </c>
      <c r="AE977">
        <v>1961.2499999999261</v>
      </c>
      <c r="AF977">
        <v>0.25328508010947409</v>
      </c>
    </row>
    <row r="978" spans="4:32" x14ac:dyDescent="0.35">
      <c r="D978">
        <v>1.0433620000000001</v>
      </c>
      <c r="M978">
        <f t="shared" si="126"/>
        <v>977</v>
      </c>
      <c r="N978">
        <f t="shared" si="127"/>
        <v>1961.3333333332594</v>
      </c>
      <c r="O978">
        <f t="shared" si="122"/>
        <v>0</v>
      </c>
      <c r="P978">
        <f t="array" ref="P978">+SUM($G$2:$G$18*SIN(2*PI()*(N978)*$B$1/$F$2:$F$18+$H$2:$H$18))</f>
        <v>-0.55739206961931098</v>
      </c>
      <c r="Q978">
        <f t="shared" si="123"/>
        <v>0</v>
      </c>
      <c r="R978">
        <f t="shared" si="124"/>
        <v>1.1609195234680705E-2</v>
      </c>
      <c r="S978">
        <f t="array" ref="S978">+$B$2*SIN(R978*$B$3+$B$4)+0*R978+ SUM($J$2:$J$20*SIN(2*PI()*N978*$I$2:$I$20+$K$2:$K$20))</f>
        <v>0.2508976991369043</v>
      </c>
      <c r="U978" s="3">
        <f t="shared" si="120"/>
        <v>1961.3333333332594</v>
      </c>
      <c r="V978" s="3">
        <f t="shared" si="121"/>
        <v>0.88114000000000003</v>
      </c>
      <c r="Z978" s="1">
        <v>1961.375</v>
      </c>
      <c r="AA978" s="2">
        <f t="shared" si="125"/>
        <v>0.6753579999999999</v>
      </c>
      <c r="AB978">
        <v>33.767899999999997</v>
      </c>
      <c r="AE978">
        <v>1961.3333333332594</v>
      </c>
      <c r="AF978">
        <v>0.2508976991369043</v>
      </c>
    </row>
    <row r="979" spans="4:32" x14ac:dyDescent="0.35">
      <c r="D979">
        <v>0.70089800000000002</v>
      </c>
      <c r="M979">
        <f t="shared" si="126"/>
        <v>978</v>
      </c>
      <c r="N979">
        <f t="shared" si="127"/>
        <v>1961.4166666665926</v>
      </c>
      <c r="O979">
        <f t="shared" si="122"/>
        <v>0</v>
      </c>
      <c r="P979">
        <f t="array" ref="P979">+SUM($G$2:$G$18*SIN(2*PI()*(N979)*$B$1/$F$2:$F$18+$H$2:$H$18))</f>
        <v>-0.54099813069745717</v>
      </c>
      <c r="Q979">
        <f t="shared" si="123"/>
        <v>0</v>
      </c>
      <c r="R979">
        <f t="shared" si="124"/>
        <v>1.1591338656323015E-2</v>
      </c>
      <c r="S979">
        <f t="array" ref="S979">+$B$2*SIN(R979*$B$3+$B$4)+0*R979+ SUM($J$2:$J$20*SIN(2*PI()*N979*$I$2:$I$20+$K$2:$K$20))</f>
        <v>0.24851115417766539</v>
      </c>
      <c r="U979" s="3">
        <f t="shared" si="120"/>
        <v>1961.4166666665926</v>
      </c>
      <c r="V979" s="3">
        <f t="shared" si="121"/>
        <v>0.82026200000000005</v>
      </c>
      <c r="Z979" s="1">
        <v>1961.4583</v>
      </c>
      <c r="AA979" s="2">
        <f t="shared" si="125"/>
        <v>0.894432</v>
      </c>
      <c r="AB979">
        <v>44.721600000000002</v>
      </c>
      <c r="AE979">
        <v>1961.4166666665926</v>
      </c>
      <c r="AF979">
        <v>0.24851115417766539</v>
      </c>
    </row>
    <row r="980" spans="4:32" x14ac:dyDescent="0.35">
      <c r="D980">
        <v>0.6753579999999999</v>
      </c>
      <c r="M980">
        <f t="shared" si="126"/>
        <v>979</v>
      </c>
      <c r="N980">
        <f t="shared" si="127"/>
        <v>1961.4999999999259</v>
      </c>
      <c r="O980">
        <f t="shared" si="122"/>
        <v>0</v>
      </c>
      <c r="P980">
        <f t="array" ref="P980">+SUM($G$2:$G$18*SIN(2*PI()*(N980)*$B$1/$F$2:$F$18+$H$2:$H$18))</f>
        <v>-6.6885080080744799E-2</v>
      </c>
      <c r="Q980">
        <f t="shared" si="123"/>
        <v>0</v>
      </c>
      <c r="R980">
        <f t="shared" si="124"/>
        <v>1.1573509543899371E-2</v>
      </c>
      <c r="S980">
        <f t="array" ref="S980">+$B$2*SIN(R980*$B$3+$B$4)+0*R980+ SUM($J$2:$J$20*SIN(2*PI()*N980*$I$2:$I$20+$K$2:$K$20))</f>
        <v>0.24612547955796524</v>
      </c>
      <c r="U980" s="3">
        <f t="shared" si="120"/>
        <v>1961.4999999999259</v>
      </c>
      <c r="V980" s="3">
        <f t="shared" si="121"/>
        <v>0.88092399999999993</v>
      </c>
      <c r="Z980" s="1">
        <v>1961.5417</v>
      </c>
      <c r="AA980" s="2">
        <f t="shared" si="125"/>
        <v>0.88581199999999993</v>
      </c>
      <c r="AB980">
        <v>44.290599999999998</v>
      </c>
      <c r="AE980">
        <v>1961.4999999999259</v>
      </c>
      <c r="AF980">
        <v>0.24612547955796524</v>
      </c>
    </row>
    <row r="981" spans="4:32" x14ac:dyDescent="0.35">
      <c r="D981">
        <v>0.894432</v>
      </c>
      <c r="M981">
        <f t="shared" si="126"/>
        <v>980</v>
      </c>
      <c r="N981">
        <f t="shared" si="127"/>
        <v>1961.5833333332591</v>
      </c>
      <c r="O981">
        <f t="shared" si="122"/>
        <v>0</v>
      </c>
      <c r="P981">
        <f t="array" ref="P981">+SUM($G$2:$G$18*SIN(2*PI()*(N981)*$B$1/$F$2:$F$18+$H$2:$H$18))</f>
        <v>0.31490245341121909</v>
      </c>
      <c r="Q981">
        <f t="shared" si="123"/>
        <v>0</v>
      </c>
      <c r="R981">
        <f t="shared" si="124"/>
        <v>1.1555707855163296E-2</v>
      </c>
      <c r="S981">
        <f t="array" ref="S981">+$B$2*SIN(R981*$B$3+$B$4)+0*R981+ SUM($J$2:$J$20*SIN(2*PI()*N981*$I$2:$I$20+$K$2:$K$20))</f>
        <v>0.24374070934929704</v>
      </c>
      <c r="U981" s="3">
        <f t="shared" si="120"/>
        <v>1961.5833333332591</v>
      </c>
      <c r="V981" s="3">
        <f t="shared" si="121"/>
        <v>0.96004599999999995</v>
      </c>
      <c r="Z981" s="1">
        <v>1961.625</v>
      </c>
      <c r="AA981" s="2">
        <f t="shared" si="125"/>
        <v>1.391038</v>
      </c>
      <c r="AB981">
        <v>69.551900000000003</v>
      </c>
      <c r="AE981">
        <v>1961.5833333332591</v>
      </c>
      <c r="AF981">
        <v>0.24374070934929704</v>
      </c>
    </row>
    <row r="982" spans="4:32" x14ac:dyDescent="0.35">
      <c r="D982">
        <v>0.88581199999999993</v>
      </c>
      <c r="M982">
        <f t="shared" si="126"/>
        <v>981</v>
      </c>
      <c r="N982">
        <f t="shared" si="127"/>
        <v>1961.6666666665924</v>
      </c>
      <c r="O982">
        <f t="shared" si="122"/>
        <v>0</v>
      </c>
      <c r="P982">
        <f t="array" ref="P982">+SUM($G$2:$G$18*SIN(2*PI()*(N982)*$B$1/$F$2:$F$18+$H$2:$H$18))</f>
        <v>0.31552143163882895</v>
      </c>
      <c r="Q982">
        <f t="shared" si="123"/>
        <v>0</v>
      </c>
      <c r="R982">
        <f t="shared" si="124"/>
        <v>1.1537933547933293E-2</v>
      </c>
      <c r="S982">
        <f t="array" ref="S982">+$B$2*SIN(R982*$B$3+$B$4)+0*R982+ SUM($J$2:$J$20*SIN(2*PI()*N982*$I$2:$I$20+$K$2:$K$20))</f>
        <v>0.24135687736938316</v>
      </c>
      <c r="U982" s="3">
        <f t="shared" si="120"/>
        <v>1961.6666666665924</v>
      </c>
      <c r="V982" s="3">
        <f t="shared" si="121"/>
        <v>1.09301</v>
      </c>
      <c r="Z982" s="1">
        <v>1961.7083</v>
      </c>
      <c r="AA982" s="2">
        <f t="shared" si="125"/>
        <v>1.436264</v>
      </c>
      <c r="AB982">
        <v>71.813199999999995</v>
      </c>
      <c r="AE982">
        <v>1961.6666666665924</v>
      </c>
      <c r="AF982">
        <v>0.24135687736938316</v>
      </c>
    </row>
    <row r="983" spans="4:32" x14ac:dyDescent="0.35">
      <c r="D983">
        <v>1.391038</v>
      </c>
      <c r="M983">
        <f t="shared" si="126"/>
        <v>982</v>
      </c>
      <c r="N983">
        <f t="shared" si="127"/>
        <v>1961.7499999999256</v>
      </c>
      <c r="O983">
        <f t="shared" si="122"/>
        <v>0</v>
      </c>
      <c r="P983">
        <f t="array" ref="P983">+SUM($G$2:$G$18*SIN(2*PI()*(N983)*$B$1/$F$2:$F$18+$H$2:$H$18))</f>
        <v>0.11738737889399811</v>
      </c>
      <c r="Q983">
        <f t="shared" si="123"/>
        <v>0</v>
      </c>
      <c r="R983">
        <f t="shared" si="124"/>
        <v>1.1520186580092746E-2</v>
      </c>
      <c r="S983">
        <f t="array" ref="S983">+$B$2*SIN(R983*$B$3+$B$4)+0*R983+ SUM($J$2:$J$20*SIN(2*PI()*N983*$I$2:$I$20+$K$2:$K$20))</f>
        <v>0.23897401718312442</v>
      </c>
      <c r="U983" s="3">
        <f t="shared" si="120"/>
        <v>1961.7499999999256</v>
      </c>
      <c r="V983" s="3">
        <f t="shared" si="121"/>
        <v>1.155208</v>
      </c>
      <c r="Z983" s="1">
        <v>1961.7917</v>
      </c>
      <c r="AA983" s="2">
        <f t="shared" si="125"/>
        <v>1.233792</v>
      </c>
      <c r="AB983">
        <v>61.689599999999999</v>
      </c>
      <c r="AE983">
        <v>1961.7499999999256</v>
      </c>
      <c r="AF983">
        <v>0.23897401718312442</v>
      </c>
    </row>
    <row r="984" spans="4:32" x14ac:dyDescent="0.35">
      <c r="D984">
        <v>1.436264</v>
      </c>
      <c r="M984">
        <f t="shared" si="126"/>
        <v>983</v>
      </c>
      <c r="N984">
        <f t="shared" si="127"/>
        <v>1961.8333333332589</v>
      </c>
      <c r="O984">
        <f t="shared" si="122"/>
        <v>0</v>
      </c>
      <c r="P984">
        <f t="array" ref="P984">+SUM($G$2:$G$18*SIN(2*PI()*(N984)*$B$1/$F$2:$F$18+$H$2:$H$18))</f>
        <v>-0.22137192482686552</v>
      </c>
      <c r="Q984">
        <f t="shared" si="123"/>
        <v>0</v>
      </c>
      <c r="R984">
        <f t="shared" si="124"/>
        <v>1.1502466909589825E-2</v>
      </c>
      <c r="S984">
        <f t="array" ref="S984">+$B$2*SIN(R984*$B$3+$B$4)+0*R984+ SUM($J$2:$J$20*SIN(2*PI()*N984*$I$2:$I$20+$K$2:$K$20))</f>
        <v>0.23659216210354822</v>
      </c>
      <c r="U984" s="3">
        <f t="shared" si="120"/>
        <v>1961.8333333332589</v>
      </c>
      <c r="V984" s="3">
        <f t="shared" si="121"/>
        <v>1.077404</v>
      </c>
      <c r="Z984" s="1">
        <v>1961.875</v>
      </c>
      <c r="AA984" s="2">
        <f t="shared" si="125"/>
        <v>1.0051699999999999</v>
      </c>
      <c r="AB984">
        <v>50.258499999999998</v>
      </c>
      <c r="AE984">
        <v>1961.8333333332589</v>
      </c>
      <c r="AF984">
        <v>0.23659216210354822</v>
      </c>
    </row>
    <row r="985" spans="4:32" x14ac:dyDescent="0.35">
      <c r="D985">
        <v>1.233792</v>
      </c>
      <c r="M985">
        <f t="shared" si="126"/>
        <v>984</v>
      </c>
      <c r="N985">
        <f t="shared" si="127"/>
        <v>1961.9166666665922</v>
      </c>
      <c r="O985">
        <f t="shared" si="122"/>
        <v>0</v>
      </c>
      <c r="P985">
        <f t="array" ref="P985">+SUM($G$2:$G$18*SIN(2*PI()*(N985)*$B$1/$F$2:$F$18+$H$2:$H$18))</f>
        <v>-0.38881550013466759</v>
      </c>
      <c r="Q985">
        <f t="shared" si="123"/>
        <v>0</v>
      </c>
      <c r="R985">
        <f t="shared" si="124"/>
        <v>1.1484774494437373E-2</v>
      </c>
      <c r="S985">
        <f t="array" ref="S985">+$B$2*SIN(R985*$B$3+$B$4)+0*R985+ SUM($J$2:$J$20*SIN(2*PI()*N985*$I$2:$I$20+$K$2:$K$20))</f>
        <v>0.2342113451927596</v>
      </c>
      <c r="U985" s="3">
        <f t="shared" si="120"/>
        <v>1961.9166666665922</v>
      </c>
      <c r="V985" s="3">
        <f t="shared" si="121"/>
        <v>0.99036400000000002</v>
      </c>
      <c r="Z985" s="1">
        <v>1961.9583</v>
      </c>
      <c r="AA985" s="2">
        <f t="shared" si="125"/>
        <v>0.89346800000000004</v>
      </c>
      <c r="AB985">
        <v>44.673400000000001</v>
      </c>
      <c r="AE985">
        <v>1961.9166666665922</v>
      </c>
      <c r="AF985">
        <v>0.2342113451927596</v>
      </c>
    </row>
    <row r="986" spans="4:32" x14ac:dyDescent="0.35">
      <c r="D986">
        <v>1.0051699999999999</v>
      </c>
      <c r="M986">
        <f t="shared" si="126"/>
        <v>985</v>
      </c>
      <c r="N986">
        <f t="shared" si="127"/>
        <v>1961.9999999999254</v>
      </c>
      <c r="O986">
        <f t="shared" si="122"/>
        <v>36.637715116165623</v>
      </c>
      <c r="P986">
        <f t="array" ref="P986">+SUM($G$2:$G$18*SIN(2*PI()*(N986)*$B$1/$F$2:$F$18+$H$2:$H$18))</f>
        <v>-0.3464922353762187</v>
      </c>
      <c r="Q986">
        <f t="shared" si="123"/>
        <v>-12.694683809677304</v>
      </c>
      <c r="R986">
        <f t="shared" si="124"/>
        <v>-8.0591034714955802E-3</v>
      </c>
      <c r="S986">
        <f t="array" ref="S986">+$B$2*SIN(R986*$B$3+$B$4)+0*R986+ SUM($J$2:$J$20*SIN(2*PI()*N986*$I$2:$I$20+$K$2:$K$20))</f>
        <v>0.16456109598157456</v>
      </c>
      <c r="U986" s="3">
        <f t="shared" si="120"/>
        <v>1961.9999999999254</v>
      </c>
      <c r="V986" s="3">
        <f t="shared" si="121"/>
        <v>0.77717400000000003</v>
      </c>
      <c r="Z986" s="1">
        <v>1962.0417</v>
      </c>
      <c r="AA986" s="2">
        <f t="shared" si="125"/>
        <v>0.918686</v>
      </c>
      <c r="AB986">
        <v>45.9343</v>
      </c>
      <c r="AE986">
        <v>1961.9999999999254</v>
      </c>
      <c r="AF986">
        <v>0.16456109598157456</v>
      </c>
    </row>
    <row r="987" spans="4:32" x14ac:dyDescent="0.35">
      <c r="D987">
        <v>0.89346800000000004</v>
      </c>
      <c r="M987">
        <f t="shared" si="126"/>
        <v>986</v>
      </c>
      <c r="N987">
        <f t="shared" si="127"/>
        <v>1962.0833333332587</v>
      </c>
      <c r="O987">
        <f t="shared" si="122"/>
        <v>0</v>
      </c>
      <c r="P987">
        <f t="array" ref="P987">+SUM($G$2:$G$18*SIN(2*PI()*(N987)*$B$1/$F$2:$F$18+$H$2:$H$18))</f>
        <v>-0.49452527626180842</v>
      </c>
      <c r="Q987">
        <f t="shared" si="123"/>
        <v>0</v>
      </c>
      <c r="R987">
        <f t="shared" si="124"/>
        <v>-8.0467074345849775E-3</v>
      </c>
      <c r="S987">
        <f t="array" ref="S987">+$B$2*SIN(R987*$B$3+$B$4)+0*R987+ SUM($J$2:$J$20*SIN(2*PI()*N987*$I$2:$I$20+$K$2:$K$20))</f>
        <v>0.16284694479745851</v>
      </c>
      <c r="U987" s="3">
        <f t="shared" si="120"/>
        <v>1962.0833333332587</v>
      </c>
      <c r="V987" s="3">
        <f t="shared" si="121"/>
        <v>0.64398200000000005</v>
      </c>
      <c r="Z987" s="1">
        <v>1962.125</v>
      </c>
      <c r="AA987" s="2">
        <f t="shared" si="125"/>
        <v>0.69467400000000001</v>
      </c>
      <c r="AB987">
        <v>34.733699999999999</v>
      </c>
      <c r="AE987">
        <v>1962.0833333332587</v>
      </c>
      <c r="AF987">
        <v>0.16284694479745851</v>
      </c>
    </row>
    <row r="988" spans="4:32" x14ac:dyDescent="0.35">
      <c r="D988">
        <v>0.918686</v>
      </c>
      <c r="M988">
        <f t="shared" si="126"/>
        <v>987</v>
      </c>
      <c r="N988">
        <f t="shared" si="127"/>
        <v>1962.1666666665919</v>
      </c>
      <c r="O988">
        <f t="shared" si="122"/>
        <v>0</v>
      </c>
      <c r="P988">
        <f t="array" ref="P988">+SUM($G$2:$G$18*SIN(2*PI()*(N988)*$B$1/$F$2:$F$18+$H$2:$H$18))</f>
        <v>-0.48938570207660054</v>
      </c>
      <c r="Q988">
        <f t="shared" si="123"/>
        <v>0</v>
      </c>
      <c r="R988">
        <f t="shared" si="124"/>
        <v>-8.0343304645261199E-3</v>
      </c>
      <c r="S988">
        <f t="array" ref="S988">+$B$2*SIN(R988*$B$3+$B$4)+0*R988+ SUM($J$2:$J$20*SIN(2*PI()*N988*$I$2:$I$20+$K$2:$K$20))</f>
        <v>0.16113454583842163</v>
      </c>
      <c r="U988" s="3">
        <f t="shared" si="120"/>
        <v>1962.1666666665919</v>
      </c>
      <c r="V988" s="3">
        <f t="shared" si="121"/>
        <v>0.55386200000000008</v>
      </c>
      <c r="Z988" s="1">
        <v>1962.2083</v>
      </c>
      <c r="AA988" s="2">
        <f t="shared" si="125"/>
        <v>0.69527799999999995</v>
      </c>
      <c r="AB988">
        <v>34.7639</v>
      </c>
      <c r="AE988">
        <v>1962.1666666665919</v>
      </c>
      <c r="AF988">
        <v>0.16113454583842163</v>
      </c>
    </row>
    <row r="989" spans="4:32" x14ac:dyDescent="0.35">
      <c r="D989">
        <v>0.69467400000000001</v>
      </c>
      <c r="M989">
        <f t="shared" si="126"/>
        <v>988</v>
      </c>
      <c r="N989">
        <f t="shared" si="127"/>
        <v>1962.2499999999252</v>
      </c>
      <c r="O989">
        <f t="shared" si="122"/>
        <v>0</v>
      </c>
      <c r="P989">
        <f t="array" ref="P989">+SUM($G$2:$G$18*SIN(2*PI()*(N989)*$B$1/$F$2:$F$18+$H$2:$H$18))</f>
        <v>8.1653601165114637E-3</v>
      </c>
      <c r="Q989">
        <f t="shared" si="123"/>
        <v>0</v>
      </c>
      <c r="R989">
        <f t="shared" si="124"/>
        <v>-8.0219725319915017E-3</v>
      </c>
      <c r="S989">
        <f t="array" ref="S989">+$B$2*SIN(R989*$B$3+$B$4)+0*R989+ SUM($J$2:$J$20*SIN(2*PI()*N989*$I$2:$I$20+$K$2:$K$20))</f>
        <v>0.15942390839878581</v>
      </c>
      <c r="U989" s="3">
        <f t="shared" si="120"/>
        <v>1962.2499999999252</v>
      </c>
      <c r="V989" s="3">
        <f t="shared" si="121"/>
        <v>0.39759</v>
      </c>
      <c r="Z989" s="1">
        <v>1962.2917</v>
      </c>
      <c r="AA989" s="2">
        <f t="shared" si="125"/>
        <v>0.50202999999999998</v>
      </c>
      <c r="AB989">
        <v>25.101500000000001</v>
      </c>
      <c r="AE989">
        <v>1962.2499999999252</v>
      </c>
      <c r="AF989">
        <v>0.15942390839878581</v>
      </c>
    </row>
    <row r="990" spans="4:32" x14ac:dyDescent="0.35">
      <c r="D990">
        <v>0.69527799999999995</v>
      </c>
      <c r="M990">
        <f t="shared" si="126"/>
        <v>989</v>
      </c>
      <c r="N990">
        <f t="shared" si="127"/>
        <v>1962.3333333332585</v>
      </c>
      <c r="O990">
        <f t="shared" si="122"/>
        <v>0</v>
      </c>
      <c r="P990">
        <f t="array" ref="P990">+SUM($G$2:$G$18*SIN(2*PI()*(N990)*$B$1/$F$2:$F$18+$H$2:$H$18))</f>
        <v>0.40129567797328913</v>
      </c>
      <c r="Q990">
        <f t="shared" si="123"/>
        <v>0</v>
      </c>
      <c r="R990">
        <f t="shared" si="124"/>
        <v>-8.0096336076987285E-3</v>
      </c>
      <c r="S990">
        <f t="array" ref="S990">+$B$2*SIN(R990*$B$3+$B$4)+0*R990+ SUM($J$2:$J$20*SIN(2*PI()*N990*$I$2:$I$20+$K$2:$K$20))</f>
        <v>0.15771504168371547</v>
      </c>
      <c r="U990" s="3">
        <f t="shared" si="120"/>
        <v>1962.3333333332585</v>
      </c>
      <c r="V990" s="3">
        <f t="shared" si="121"/>
        <v>0.12900999999999999</v>
      </c>
      <c r="Z990" s="1">
        <v>1962.375</v>
      </c>
      <c r="AA990" s="2">
        <f t="shared" si="125"/>
        <v>0.59647799999999995</v>
      </c>
      <c r="AB990">
        <v>29.823899999999998</v>
      </c>
      <c r="AE990">
        <v>1962.3333333332585</v>
      </c>
      <c r="AF990">
        <v>0.15771504168371547</v>
      </c>
    </row>
    <row r="991" spans="4:32" x14ac:dyDescent="0.35">
      <c r="D991">
        <v>0.50202999999999998</v>
      </c>
      <c r="M991">
        <f t="shared" si="126"/>
        <v>990</v>
      </c>
      <c r="N991">
        <f t="shared" si="127"/>
        <v>1962.4166666665917</v>
      </c>
      <c r="O991">
        <f t="shared" si="122"/>
        <v>0</v>
      </c>
      <c r="P991">
        <f t="array" ref="P991">+SUM($G$2:$G$18*SIN(2*PI()*(N991)*$B$1/$F$2:$F$18+$H$2:$H$18))</f>
        <v>0.30142312572074426</v>
      </c>
      <c r="Q991">
        <f t="shared" si="123"/>
        <v>0</v>
      </c>
      <c r="R991">
        <f t="shared" si="124"/>
        <v>-7.9973136624104449E-3</v>
      </c>
      <c r="S991">
        <f t="array" ref="S991">+$B$2*SIN(R991*$B$3+$B$4)+0*R991+ SUM($J$2:$J$20*SIN(2*PI()*N991*$I$2:$I$20+$K$2:$K$20))</f>
        <v>0.15600795480968338</v>
      </c>
      <c r="U991" s="3">
        <f t="shared" si="120"/>
        <v>1962.4166666665917</v>
      </c>
      <c r="V991" s="3">
        <f t="shared" si="121"/>
        <v>-4.8804E-2</v>
      </c>
      <c r="Z991" s="1">
        <v>1962.4583</v>
      </c>
      <c r="AA991" s="2">
        <f t="shared" si="125"/>
        <v>0.58477000000000001</v>
      </c>
      <c r="AB991">
        <v>29.238499999999998</v>
      </c>
      <c r="AE991">
        <v>1962.4166666665917</v>
      </c>
      <c r="AF991">
        <v>0.15600795480968338</v>
      </c>
    </row>
    <row r="992" spans="4:32" x14ac:dyDescent="0.35">
      <c r="D992">
        <v>0.59647799999999995</v>
      </c>
      <c r="M992">
        <f t="shared" si="126"/>
        <v>991</v>
      </c>
      <c r="N992">
        <f t="shared" si="127"/>
        <v>1962.499999999925</v>
      </c>
      <c r="O992">
        <f t="shared" si="122"/>
        <v>0</v>
      </c>
      <c r="P992">
        <f t="array" ref="P992">+SUM($G$2:$G$18*SIN(2*PI()*(N992)*$B$1/$F$2:$F$18+$H$2:$H$18))</f>
        <v>-0.16458616477672333</v>
      </c>
      <c r="Q992">
        <f t="shared" si="123"/>
        <v>0</v>
      </c>
      <c r="R992">
        <f t="shared" si="124"/>
        <v>-7.9850126669342679E-3</v>
      </c>
      <c r="S992">
        <f t="array" ref="S992">+$B$2*SIN(R992*$B$3+$B$4)+0*R992+ SUM($J$2:$J$20*SIN(2*PI()*N992*$I$2:$I$20+$K$2:$K$20))</f>
        <v>0.15430265680493227</v>
      </c>
      <c r="U992" s="3">
        <f t="shared" si="120"/>
        <v>1962.499999999925</v>
      </c>
      <c r="V992" s="3">
        <f t="shared" si="121"/>
        <v>-4.8155999999999997E-2</v>
      </c>
      <c r="Z992" s="1">
        <v>1962.5417</v>
      </c>
      <c r="AA992" s="2">
        <f t="shared" si="125"/>
        <v>0.56075000000000008</v>
      </c>
      <c r="AB992">
        <v>28.037500000000001</v>
      </c>
      <c r="AE992">
        <v>1962.499999999925</v>
      </c>
      <c r="AF992">
        <v>0.15430265680493227</v>
      </c>
    </row>
    <row r="993" spans="4:32" x14ac:dyDescent="0.35">
      <c r="D993">
        <v>0.58477000000000001</v>
      </c>
      <c r="M993">
        <f t="shared" si="126"/>
        <v>992</v>
      </c>
      <c r="N993">
        <f t="shared" si="127"/>
        <v>1962.5833333332582</v>
      </c>
      <c r="O993">
        <f t="shared" si="122"/>
        <v>0</v>
      </c>
      <c r="P993">
        <f t="array" ref="P993">+SUM($G$2:$G$18*SIN(2*PI()*(N993)*$B$1/$F$2:$F$18+$H$2:$H$18))</f>
        <v>-0.60045827486018633</v>
      </c>
      <c r="Q993">
        <f t="shared" si="123"/>
        <v>0</v>
      </c>
      <c r="R993">
        <f t="shared" si="124"/>
        <v>-7.9727305921227162E-3</v>
      </c>
      <c r="S993">
        <f t="array" ref="S993">+$B$2*SIN(R993*$B$3+$B$4)+0*R993+ SUM($J$2:$J$20*SIN(2*PI()*N993*$I$2:$I$20+$K$2:$K$20))</f>
        <v>0.15259915660993514</v>
      </c>
      <c r="U993" s="3">
        <f t="shared" si="120"/>
        <v>1962.5833333332582</v>
      </c>
      <c r="V993" s="3">
        <f t="shared" si="121"/>
        <v>-6.1353999999999999E-2</v>
      </c>
      <c r="Z993" s="1">
        <v>1962.625</v>
      </c>
      <c r="AA993" s="2">
        <f t="shared" si="125"/>
        <v>0.46134799999999998</v>
      </c>
      <c r="AB993">
        <v>23.067399999999999</v>
      </c>
      <c r="AE993">
        <v>1962.5833333332582</v>
      </c>
      <c r="AF993">
        <v>0.15259915660993514</v>
      </c>
    </row>
    <row r="994" spans="4:32" x14ac:dyDescent="0.35">
      <c r="D994">
        <v>0.56075000000000008</v>
      </c>
      <c r="M994">
        <f t="shared" si="126"/>
        <v>993</v>
      </c>
      <c r="N994">
        <f t="shared" si="127"/>
        <v>1962.6666666665915</v>
      </c>
      <c r="O994">
        <f t="shared" si="122"/>
        <v>0</v>
      </c>
      <c r="P994">
        <f t="array" ref="P994">+SUM($G$2:$G$18*SIN(2*PI()*(N994)*$B$1/$F$2:$F$18+$H$2:$H$18))</f>
        <v>-0.44293456889268423</v>
      </c>
      <c r="Q994">
        <f t="shared" si="123"/>
        <v>0</v>
      </c>
      <c r="R994">
        <f t="shared" si="124"/>
        <v>-7.9604674088731408E-3</v>
      </c>
      <c r="S994">
        <f t="array" ref="S994">+$B$2*SIN(R994*$B$3+$B$4)+0*R994+ SUM($J$2:$J$20*SIN(2*PI()*N994*$I$2:$I$20+$K$2:$K$20))</f>
        <v>0.15089746307785604</v>
      </c>
      <c r="U994" s="3">
        <f t="shared" si="120"/>
        <v>1962.6666666665915</v>
      </c>
      <c r="V994" s="3">
        <f t="shared" si="121"/>
        <v>2.2366E-2</v>
      </c>
      <c r="Z994" s="1">
        <v>1962.7083</v>
      </c>
      <c r="AA994" s="2">
        <f t="shared" si="125"/>
        <v>2.3481999999999999E-2</v>
      </c>
      <c r="AB994">
        <v>1.1740999999999999</v>
      </c>
      <c r="AE994">
        <v>1962.6666666665915</v>
      </c>
      <c r="AF994">
        <v>0.15089746307785604</v>
      </c>
    </row>
    <row r="995" spans="4:32" x14ac:dyDescent="0.35">
      <c r="D995">
        <v>0.46134799999999998</v>
      </c>
      <c r="M995">
        <f t="shared" si="126"/>
        <v>994</v>
      </c>
      <c r="N995">
        <f t="shared" si="127"/>
        <v>1962.7499999999247</v>
      </c>
      <c r="O995">
        <f t="shared" si="122"/>
        <v>0</v>
      </c>
      <c r="P995">
        <f t="array" ref="P995">+SUM($G$2:$G$18*SIN(2*PI()*(N995)*$B$1/$F$2:$F$18+$H$2:$H$18))</f>
        <v>-8.608575412910445E-2</v>
      </c>
      <c r="Q995">
        <f t="shared" si="123"/>
        <v>0</v>
      </c>
      <c r="R995">
        <f t="shared" si="124"/>
        <v>-7.9482230881276553E-3</v>
      </c>
      <c r="S995">
        <f t="array" ref="S995">+$B$2*SIN(R995*$B$3+$B$4)+0*R995+ SUM($J$2:$J$20*SIN(2*PI()*N995*$I$2:$I$20+$K$2:$K$20))</f>
        <v>0.1491975849750076</v>
      </c>
      <c r="U995" s="3">
        <f t="shared" si="120"/>
        <v>1962.7499999999247</v>
      </c>
      <c r="V995" s="3">
        <f t="shared" si="121"/>
        <v>3.9933999999999997E-2</v>
      </c>
      <c r="Z995" s="1">
        <v>1962.7917</v>
      </c>
      <c r="AA995" s="2">
        <f t="shared" si="125"/>
        <v>-0.21438600000000002</v>
      </c>
      <c r="AB995">
        <v>-10.7193</v>
      </c>
      <c r="AE995">
        <v>1962.7499999999247</v>
      </c>
      <c r="AF995">
        <v>0.1491975849750076</v>
      </c>
    </row>
    <row r="996" spans="4:32" x14ac:dyDescent="0.35">
      <c r="D996">
        <v>2.3481999999999999E-2</v>
      </c>
      <c r="M996">
        <f t="shared" si="126"/>
        <v>995</v>
      </c>
      <c r="N996">
        <f t="shared" si="127"/>
        <v>1962.833333333258</v>
      </c>
      <c r="O996">
        <f t="shared" si="122"/>
        <v>0</v>
      </c>
      <c r="P996">
        <f t="array" ref="P996">+SUM($G$2:$G$18*SIN(2*PI()*(N996)*$B$1/$F$2:$F$18+$H$2:$H$18))</f>
        <v>-0.23788341761866266</v>
      </c>
      <c r="Q996">
        <f t="shared" si="123"/>
        <v>0</v>
      </c>
      <c r="R996">
        <f t="shared" si="124"/>
        <v>-7.935997600873072E-3</v>
      </c>
      <c r="S996">
        <f t="array" ref="S996">+$B$2*SIN(R996*$B$3+$B$4)+0*R996+ SUM($J$2:$J$20*SIN(2*PI()*N996*$I$2:$I$20+$K$2:$K$20))</f>
        <v>0.1474995309813098</v>
      </c>
      <c r="U996" s="3">
        <f t="shared" si="120"/>
        <v>1962.833333333258</v>
      </c>
      <c r="V996" s="3">
        <f t="shared" si="121"/>
        <v>3.2885999999999999E-2</v>
      </c>
      <c r="Z996" s="1">
        <v>1962.875</v>
      </c>
      <c r="AA996" s="2">
        <f t="shared" si="125"/>
        <v>-0.31379200000000002</v>
      </c>
      <c r="AB996">
        <v>-15.6896</v>
      </c>
      <c r="AE996">
        <v>1962.833333333258</v>
      </c>
      <c r="AF996">
        <v>0.1474995309813098</v>
      </c>
    </row>
    <row r="997" spans="4:32" x14ac:dyDescent="0.35">
      <c r="D997">
        <v>-0.21438600000000002</v>
      </c>
      <c r="M997">
        <f t="shared" si="126"/>
        <v>996</v>
      </c>
      <c r="N997">
        <f t="shared" si="127"/>
        <v>1962.9166666665913</v>
      </c>
      <c r="O997">
        <f t="shared" si="122"/>
        <v>0</v>
      </c>
      <c r="P997">
        <f t="array" ref="P997">+SUM($G$2:$G$18*SIN(2*PI()*(N997)*$B$1/$F$2:$F$18+$H$2:$H$18))</f>
        <v>-0.31650986460616193</v>
      </c>
      <c r="Q997">
        <f t="shared" si="123"/>
        <v>0</v>
      </c>
      <c r="R997">
        <f t="shared" si="124"/>
        <v>-7.9237909181408273E-3</v>
      </c>
      <c r="S997">
        <f t="array" ref="S997">+$B$2*SIN(R997*$B$3+$B$4)+0*R997+ SUM($J$2:$J$20*SIN(2*PI()*N997*$I$2:$I$20+$K$2:$K$20))</f>
        <v>0.14580330969074362</v>
      </c>
      <c r="U997" s="3">
        <f t="shared" si="120"/>
        <v>1962.9166666665913</v>
      </c>
      <c r="V997" s="3">
        <f t="shared" si="121"/>
        <v>-7.5705999999999996E-2</v>
      </c>
      <c r="Z997" s="1">
        <v>1962.9583</v>
      </c>
      <c r="AA997" s="2">
        <f t="shared" si="125"/>
        <v>-0.397814</v>
      </c>
      <c r="AB997">
        <v>-19.890699999999999</v>
      </c>
      <c r="AE997">
        <v>1962.9166666665913</v>
      </c>
      <c r="AF997">
        <v>0.14580330969074362</v>
      </c>
    </row>
    <row r="998" spans="4:32" x14ac:dyDescent="0.35">
      <c r="D998">
        <v>-0.31379200000000002</v>
      </c>
      <c r="M998">
        <f t="shared" si="126"/>
        <v>997</v>
      </c>
      <c r="N998">
        <f t="shared" si="127"/>
        <v>1962.9999999999245</v>
      </c>
      <c r="O998">
        <f t="shared" si="122"/>
        <v>36.637715116165623</v>
      </c>
      <c r="P998">
        <f t="array" ref="P998">+SUM($G$2:$G$18*SIN(2*PI()*(N998)*$B$1/$F$2:$F$18+$H$2:$H$18))</f>
        <v>0.16082634966016951</v>
      </c>
      <c r="Q998">
        <f t="shared" si="123"/>
        <v>5.8923099820221303</v>
      </c>
      <c r="R998">
        <f t="shared" si="124"/>
        <v>1.1516001460442054E-3</v>
      </c>
      <c r="S998">
        <f t="array" ref="S998">+$B$2*SIN(R998*$B$3+$B$4)+0*R998+ SUM($J$2:$J$20*SIN(2*PI()*N998*$I$2:$I$20+$K$2:$K$20))</f>
        <v>-0.75148243697263928</v>
      </c>
      <c r="U998" s="3">
        <f t="shared" si="120"/>
        <v>1962.9999999999245</v>
      </c>
      <c r="V998" s="3">
        <f t="shared" si="121"/>
        <v>-0.37506400000000001</v>
      </c>
      <c r="Z998" s="1">
        <v>1963.0417</v>
      </c>
      <c r="AA998" s="2">
        <f t="shared" si="125"/>
        <v>-0.42030200000000001</v>
      </c>
      <c r="AB998">
        <v>-21.0151</v>
      </c>
      <c r="AE998">
        <v>1962.9999999999245</v>
      </c>
      <c r="AF998">
        <v>-0.75148243697263928</v>
      </c>
    </row>
    <row r="999" spans="4:32" x14ac:dyDescent="0.35">
      <c r="D999">
        <v>-0.397814</v>
      </c>
      <c r="M999">
        <f t="shared" si="126"/>
        <v>998</v>
      </c>
      <c r="N999">
        <f t="shared" si="127"/>
        <v>1963.0833333332578</v>
      </c>
      <c r="O999">
        <f t="shared" si="122"/>
        <v>0</v>
      </c>
      <c r="P999">
        <f t="array" ref="P999">+SUM($G$2:$G$18*SIN(2*PI()*(N999)*$B$1/$F$2:$F$18+$H$2:$H$18))</f>
        <v>0.53760370053030626</v>
      </c>
      <c r="Q999">
        <f t="shared" si="123"/>
        <v>0</v>
      </c>
      <c r="R999">
        <f t="shared" si="124"/>
        <v>1.1498288227242963E-3</v>
      </c>
      <c r="S999">
        <f t="array" ref="S999">+$B$2*SIN(R999*$B$3+$B$4)+0*R999+ SUM($J$2:$J$20*SIN(2*PI()*N999*$I$2:$I$20+$K$2:$K$20))</f>
        <v>-0.75146794105381431</v>
      </c>
      <c r="U999" s="3">
        <f t="shared" si="120"/>
        <v>1963.0833333332578</v>
      </c>
      <c r="V999" s="3">
        <f t="shared" si="121"/>
        <v>-0.68365399999999998</v>
      </c>
      <c r="Z999" s="1">
        <v>1963.125</v>
      </c>
      <c r="AA999" s="2">
        <f t="shared" si="125"/>
        <v>-0.59509599999999996</v>
      </c>
      <c r="AB999">
        <v>-29.754799999999999</v>
      </c>
      <c r="AE999">
        <v>1963.0833333332578</v>
      </c>
      <c r="AF999">
        <v>-0.75146794105381431</v>
      </c>
    </row>
    <row r="1000" spans="4:32" x14ac:dyDescent="0.35">
      <c r="D1000">
        <v>-0.42030200000000001</v>
      </c>
      <c r="M1000">
        <f t="shared" si="126"/>
        <v>999</v>
      </c>
      <c r="N1000">
        <f t="shared" si="127"/>
        <v>1963.166666666591</v>
      </c>
      <c r="O1000">
        <f t="shared" si="122"/>
        <v>0</v>
      </c>
      <c r="P1000">
        <f t="array" ref="P1000">+SUM($G$2:$G$18*SIN(2*PI()*(N1000)*$B$1/$F$2:$F$18+$H$2:$H$18))</f>
        <v>0.3146087171993297</v>
      </c>
      <c r="Q1000">
        <f t="shared" si="123"/>
        <v>0</v>
      </c>
      <c r="R1000">
        <f t="shared" si="124"/>
        <v>1.1480602239492864E-3</v>
      </c>
      <c r="S1000">
        <f t="array" ref="S1000">+$B$2*SIN(R1000*$B$3+$B$4)+0*R1000+ SUM($J$2:$J$20*SIN(2*PI()*N1000*$I$2:$I$20+$K$2:$K$20))</f>
        <v>-0.75145338410239149</v>
      </c>
      <c r="U1000" s="3">
        <f t="shared" si="120"/>
        <v>1963.166666666591</v>
      </c>
      <c r="V1000" s="3">
        <f t="shared" si="121"/>
        <v>-0.74763199999999996</v>
      </c>
      <c r="Z1000" s="1">
        <v>1963.2083</v>
      </c>
      <c r="AA1000" s="2">
        <f t="shared" si="125"/>
        <v>-0.72527600000000003</v>
      </c>
      <c r="AB1000">
        <v>-36.263800000000003</v>
      </c>
      <c r="AE1000">
        <v>1963.166666666591</v>
      </c>
      <c r="AF1000">
        <v>-0.75145338410239149</v>
      </c>
    </row>
    <row r="1001" spans="4:32" x14ac:dyDescent="0.35">
      <c r="D1001">
        <v>-0.59509599999999996</v>
      </c>
      <c r="M1001">
        <f t="shared" si="126"/>
        <v>1000</v>
      </c>
      <c r="N1001">
        <f t="shared" si="127"/>
        <v>1963.2499999999243</v>
      </c>
      <c r="O1001">
        <f t="shared" si="122"/>
        <v>0</v>
      </c>
      <c r="P1001">
        <f t="array" ref="P1001">+SUM($G$2:$G$18*SIN(2*PI()*(N1001)*$B$1/$F$2:$F$18+$H$2:$H$18))</f>
        <v>-0.36140763704264711</v>
      </c>
      <c r="Q1001">
        <f t="shared" si="123"/>
        <v>0</v>
      </c>
      <c r="R1001">
        <f t="shared" si="124"/>
        <v>1.1462943455284415E-3</v>
      </c>
      <c r="S1001">
        <f t="array" ref="S1001">+$B$2*SIN(R1001*$B$3+$B$4)+0*R1001+ SUM($J$2:$J$20*SIN(2*PI()*N1001*$I$2:$I$20+$K$2:$K$20))</f>
        <v>-0.75143876647000418</v>
      </c>
      <c r="U1001" s="3">
        <f t="shared" si="120"/>
        <v>1963.2499999999243</v>
      </c>
      <c r="V1001" s="3">
        <f t="shared" si="121"/>
        <v>-1.1269940000000001</v>
      </c>
      <c r="Z1001" s="1">
        <v>1963.2917</v>
      </c>
      <c r="AA1001" s="2">
        <f t="shared" si="125"/>
        <v>-1.007768</v>
      </c>
      <c r="AB1001">
        <v>-50.388399999999997</v>
      </c>
      <c r="AE1001">
        <v>1963.2499999999243</v>
      </c>
      <c r="AF1001">
        <v>-0.75143876647000418</v>
      </c>
    </row>
    <row r="1002" spans="4:32" x14ac:dyDescent="0.35">
      <c r="D1002">
        <v>-0.72527600000000003</v>
      </c>
      <c r="M1002">
        <f t="shared" si="126"/>
        <v>1001</v>
      </c>
      <c r="N1002">
        <f t="shared" si="127"/>
        <v>1963.3333333332575</v>
      </c>
      <c r="O1002">
        <f t="shared" si="122"/>
        <v>0</v>
      </c>
      <c r="P1002">
        <f t="array" ref="P1002">+SUM($G$2:$G$18*SIN(2*PI()*(N1002)*$B$1/$F$2:$F$18+$H$2:$H$18))</f>
        <v>-0.73533169209175075</v>
      </c>
      <c r="Q1002">
        <f t="shared" si="123"/>
        <v>0</v>
      </c>
      <c r="R1002">
        <f t="shared" si="124"/>
        <v>1.1445311832774736E-3</v>
      </c>
      <c r="S1002">
        <f t="array" ref="S1002">+$B$2*SIN(R1002*$B$3+$B$4)+0*R1002+ SUM($J$2:$J$20*SIN(2*PI()*N1002*$I$2:$I$20+$K$2:$K$20))</f>
        <v>-0.75142408850695475</v>
      </c>
      <c r="U1002" s="3">
        <f t="shared" si="120"/>
        <v>1963.3333333332575</v>
      </c>
      <c r="V1002" s="3">
        <f t="shared" si="121"/>
        <v>-1.2848200000000001</v>
      </c>
      <c r="Z1002" s="1">
        <v>1963.375</v>
      </c>
      <c r="AA1002" s="2">
        <f t="shared" si="125"/>
        <v>-0.96718000000000004</v>
      </c>
      <c r="AB1002">
        <v>-48.359000000000002</v>
      </c>
      <c r="AE1002">
        <v>1963.3333333332575</v>
      </c>
      <c r="AF1002">
        <v>-0.75142408850695475</v>
      </c>
    </row>
    <row r="1003" spans="4:32" x14ac:dyDescent="0.35">
      <c r="D1003">
        <v>-1.007768</v>
      </c>
      <c r="M1003">
        <f t="shared" si="126"/>
        <v>1002</v>
      </c>
      <c r="N1003">
        <f t="shared" si="127"/>
        <v>1963.4166666665908</v>
      </c>
      <c r="O1003">
        <f t="shared" si="122"/>
        <v>0</v>
      </c>
      <c r="P1003">
        <f t="array" ref="P1003">+SUM($G$2:$G$18*SIN(2*PI()*(N1003)*$B$1/$F$2:$F$18+$H$2:$H$18))</f>
        <v>-0.19899974366089038</v>
      </c>
      <c r="Q1003">
        <f t="shared" si="123"/>
        <v>0</v>
      </c>
      <c r="R1003">
        <f t="shared" si="124"/>
        <v>1.1427707330185304E-3</v>
      </c>
      <c r="S1003">
        <f t="array" ref="S1003">+$B$2*SIN(R1003*$B$3+$B$4)+0*R1003+ SUM($J$2:$J$20*SIN(2*PI()*N1003*$I$2:$I$20+$K$2:$K$20))</f>
        <v>-0.75140935056221769</v>
      </c>
      <c r="U1003" s="3">
        <f t="shared" si="120"/>
        <v>1963.4166666665908</v>
      </c>
      <c r="V1003" s="3">
        <f t="shared" si="121"/>
        <v>-1.498032</v>
      </c>
      <c r="Z1003" s="1">
        <v>1963.4583</v>
      </c>
      <c r="AA1003" s="2">
        <f t="shared" si="125"/>
        <v>-0.9358240000000001</v>
      </c>
      <c r="AB1003">
        <v>-46.791200000000003</v>
      </c>
      <c r="AE1003">
        <v>1963.4166666665908</v>
      </c>
      <c r="AF1003">
        <v>-0.75140935056221769</v>
      </c>
    </row>
    <row r="1004" spans="4:32" x14ac:dyDescent="0.35">
      <c r="D1004">
        <v>-0.96718000000000004</v>
      </c>
      <c r="M1004">
        <f t="shared" si="126"/>
        <v>1003</v>
      </c>
      <c r="N1004">
        <f t="shared" si="127"/>
        <v>1963.4999999999241</v>
      </c>
      <c r="O1004">
        <f t="shared" si="122"/>
        <v>0</v>
      </c>
      <c r="P1004">
        <f t="array" ref="P1004">+SUM($G$2:$G$18*SIN(2*PI()*(N1004)*$B$1/$F$2:$F$18+$H$2:$H$18))</f>
        <v>0.36699768553575862</v>
      </c>
      <c r="Q1004">
        <f t="shared" si="123"/>
        <v>0</v>
      </c>
      <c r="R1004">
        <f t="shared" si="124"/>
        <v>1.1410129905801863E-3</v>
      </c>
      <c r="S1004">
        <f t="array" ref="S1004">+$B$2*SIN(R1004*$B$3+$B$4)+0*R1004+ SUM($J$2:$J$20*SIN(2*PI()*N1004*$I$2:$I$20+$K$2:$K$20))</f>
        <v>-0.75139455298344571</v>
      </c>
      <c r="U1004" s="3">
        <f t="shared" si="120"/>
        <v>1963.4999999999241</v>
      </c>
      <c r="V1004" s="3">
        <f t="shared" si="121"/>
        <v>-1.5712440000000001</v>
      </c>
      <c r="Z1004" s="1">
        <v>1963.5417</v>
      </c>
      <c r="AA1004" s="2">
        <f t="shared" si="125"/>
        <v>-0.99370400000000003</v>
      </c>
      <c r="AB1004">
        <v>-49.685200000000002</v>
      </c>
      <c r="AE1004">
        <v>1963.4999999999241</v>
      </c>
      <c r="AF1004">
        <v>-0.75139455298344571</v>
      </c>
    </row>
    <row r="1005" spans="4:32" x14ac:dyDescent="0.35">
      <c r="D1005">
        <v>-0.9358240000000001</v>
      </c>
      <c r="M1005">
        <f t="shared" si="126"/>
        <v>1004</v>
      </c>
      <c r="N1005">
        <f t="shared" si="127"/>
        <v>1963.5833333332573</v>
      </c>
      <c r="O1005">
        <f t="shared" si="122"/>
        <v>0</v>
      </c>
      <c r="P1005">
        <f t="array" ref="P1005">+SUM($G$2:$G$18*SIN(2*PI()*(N1005)*$B$1/$F$2:$F$18+$H$2:$H$18))</f>
        <v>0.14821758026765472</v>
      </c>
      <c r="Q1005">
        <f t="shared" si="123"/>
        <v>0</v>
      </c>
      <c r="R1005">
        <f t="shared" si="124"/>
        <v>1.1392579517974315E-3</v>
      </c>
      <c r="S1005">
        <f t="array" ref="S1005">+$B$2*SIN(R1005*$B$3+$B$4)+0*R1005+ SUM($J$2:$J$20*SIN(2*PI()*N1005*$I$2:$I$20+$K$2:$K$20))</f>
        <v>-0.75137969611697253</v>
      </c>
      <c r="U1005" s="3">
        <f t="shared" si="120"/>
        <v>1963.5833333332573</v>
      </c>
      <c r="V1005" s="3">
        <f t="shared" si="121"/>
        <v>-1.4536859999999998</v>
      </c>
      <c r="Z1005" s="1">
        <v>1963.625</v>
      </c>
      <c r="AA1005" s="2">
        <f t="shared" si="125"/>
        <v>-0.77619600000000011</v>
      </c>
      <c r="AB1005">
        <v>-38.809800000000003</v>
      </c>
      <c r="AE1005">
        <v>1963.5833333332573</v>
      </c>
      <c r="AF1005">
        <v>-0.75137969611697253</v>
      </c>
    </row>
    <row r="1006" spans="4:32" x14ac:dyDescent="0.35">
      <c r="D1006">
        <v>-0.99370400000000003</v>
      </c>
      <c r="M1006">
        <f t="shared" si="126"/>
        <v>1005</v>
      </c>
      <c r="N1006">
        <f t="shared" si="127"/>
        <v>1963.6666666665906</v>
      </c>
      <c r="O1006">
        <f t="shared" si="122"/>
        <v>0</v>
      </c>
      <c r="P1006">
        <f t="array" ref="P1006">+SUM($G$2:$G$18*SIN(2*PI()*(N1006)*$B$1/$F$2:$F$18+$H$2:$H$18))</f>
        <v>-2.6041487546528658E-2</v>
      </c>
      <c r="Q1006">
        <f t="shared" si="123"/>
        <v>0</v>
      </c>
      <c r="R1006">
        <f t="shared" si="124"/>
        <v>1.1375056125116625E-3</v>
      </c>
      <c r="S1006">
        <f t="array" ref="S1006">+$B$2*SIN(R1006*$B$3+$B$4)+0*R1006+ SUM($J$2:$J$20*SIN(2*PI()*N1006*$I$2:$I$20+$K$2:$K$20))</f>
        <v>-0.75136478030781872</v>
      </c>
      <c r="U1006" s="3">
        <f t="shared" si="120"/>
        <v>1963.6666666665906</v>
      </c>
      <c r="V1006" s="3">
        <f t="shared" si="121"/>
        <v>-1.397672</v>
      </c>
      <c r="Z1006" s="1">
        <v>1963.7083</v>
      </c>
      <c r="AA1006" s="2">
        <f t="shared" si="125"/>
        <v>-0.94484399999999991</v>
      </c>
      <c r="AB1006">
        <v>-47.242199999999997</v>
      </c>
      <c r="AE1006">
        <v>1963.6666666665906</v>
      </c>
      <c r="AF1006">
        <v>-0.75136478030781872</v>
      </c>
    </row>
    <row r="1007" spans="4:32" x14ac:dyDescent="0.35">
      <c r="D1007">
        <v>-0.77619600000000011</v>
      </c>
      <c r="M1007">
        <f t="shared" si="126"/>
        <v>1006</v>
      </c>
      <c r="N1007">
        <f t="shared" si="127"/>
        <v>1963.7499999999238</v>
      </c>
      <c r="O1007">
        <f t="shared" si="122"/>
        <v>0</v>
      </c>
      <c r="P1007">
        <f t="array" ref="P1007">+SUM($G$2:$G$18*SIN(2*PI()*(N1007)*$B$1/$F$2:$F$18+$H$2:$H$18))</f>
        <v>0.34924921427787026</v>
      </c>
      <c r="Q1007">
        <f t="shared" si="123"/>
        <v>0</v>
      </c>
      <c r="R1007">
        <f t="shared" si="124"/>
        <v>1.1357559685706727E-3</v>
      </c>
      <c r="S1007">
        <f t="array" ref="S1007">+$B$2*SIN(R1007*$B$3+$B$4)+0*R1007+ SUM($J$2:$J$20*SIN(2*PI()*N1007*$I$2:$I$20+$K$2:$K$20))</f>
        <v>-0.7513498058996948</v>
      </c>
      <c r="U1007" s="3">
        <f t="shared" si="120"/>
        <v>1963.7499999999238</v>
      </c>
      <c r="V1007" s="3">
        <f t="shared" si="121"/>
        <v>-1.270888</v>
      </c>
      <c r="Z1007" s="1">
        <v>1963.7917</v>
      </c>
      <c r="AA1007" s="2">
        <f t="shared" si="125"/>
        <v>-1.0088820000000001</v>
      </c>
      <c r="AB1007">
        <v>-50.444099999999999</v>
      </c>
      <c r="AE1007">
        <v>1963.7499999999238</v>
      </c>
      <c r="AF1007">
        <v>-0.7513498058996948</v>
      </c>
    </row>
    <row r="1008" spans="4:32" x14ac:dyDescent="0.35">
      <c r="D1008">
        <v>-0.94484399999999991</v>
      </c>
      <c r="M1008">
        <f t="shared" si="126"/>
        <v>1007</v>
      </c>
      <c r="N1008">
        <f t="shared" si="127"/>
        <v>1963.8333333332571</v>
      </c>
      <c r="O1008">
        <f t="shared" si="122"/>
        <v>0</v>
      </c>
      <c r="P1008">
        <f t="array" ref="P1008">+SUM($G$2:$G$18*SIN(2*PI()*(N1008)*$B$1/$F$2:$F$18+$H$2:$H$18))</f>
        <v>0.61378769990720172</v>
      </c>
      <c r="Q1008">
        <f t="shared" si="123"/>
        <v>0</v>
      </c>
      <c r="R1008">
        <f t="shared" si="124"/>
        <v>1.1340090158286418E-3</v>
      </c>
      <c r="S1008">
        <f t="array" ref="S1008">+$B$2*SIN(R1008*$B$3+$B$4)+0*R1008+ SUM($J$2:$J$20*SIN(2*PI()*N1008*$I$2:$I$20+$K$2:$K$20))</f>
        <v>-0.75133477323500641</v>
      </c>
      <c r="U1008" s="3">
        <f t="shared" si="120"/>
        <v>1963.8333333332571</v>
      </c>
      <c r="V1008" s="3">
        <f t="shared" si="121"/>
        <v>-1.11795</v>
      </c>
      <c r="Z1008" s="1">
        <v>1963.875</v>
      </c>
      <c r="AA1008" s="2">
        <f t="shared" si="125"/>
        <v>-0.75753200000000009</v>
      </c>
      <c r="AB1008">
        <v>-37.876600000000003</v>
      </c>
      <c r="AE1008">
        <v>1963.8333333332571</v>
      </c>
      <c r="AF1008">
        <v>-0.75133477323500641</v>
      </c>
    </row>
    <row r="1009" spans="4:32" x14ac:dyDescent="0.35">
      <c r="D1009">
        <v>-1.0088820000000001</v>
      </c>
      <c r="M1009">
        <f t="shared" si="126"/>
        <v>1008</v>
      </c>
      <c r="N1009">
        <f t="shared" si="127"/>
        <v>1963.9166666665903</v>
      </c>
      <c r="O1009">
        <f t="shared" si="122"/>
        <v>0</v>
      </c>
      <c r="P1009">
        <f t="array" ref="P1009">+SUM($G$2:$G$18*SIN(2*PI()*(N1009)*$B$1/$F$2:$F$18+$H$2:$H$18))</f>
        <v>0.29251977562723097</v>
      </c>
      <c r="Q1009">
        <f t="shared" si="123"/>
        <v>0</v>
      </c>
      <c r="R1009">
        <f t="shared" si="124"/>
        <v>1.1322647501461267E-3</v>
      </c>
      <c r="S1009">
        <f t="array" ref="S1009">+$B$2*SIN(R1009*$B$3+$B$4)+0*R1009+ SUM($J$2:$J$20*SIN(2*PI()*N1009*$I$2:$I$20+$K$2:$K$20))</f>
        <v>-0.75131968265485838</v>
      </c>
      <c r="U1009" s="3">
        <f t="shared" si="120"/>
        <v>1963.9166666665903</v>
      </c>
      <c r="V1009" s="3">
        <f t="shared" si="121"/>
        <v>-1.197322</v>
      </c>
      <c r="Z1009" s="1">
        <v>1963.9583</v>
      </c>
      <c r="AA1009" s="2">
        <f t="shared" si="125"/>
        <v>-0.57695200000000002</v>
      </c>
      <c r="AB1009">
        <v>-28.8476</v>
      </c>
      <c r="AE1009">
        <v>1963.9166666665903</v>
      </c>
      <c r="AF1009">
        <v>-0.75131968265485838</v>
      </c>
    </row>
    <row r="1010" spans="4:32" x14ac:dyDescent="0.35">
      <c r="D1010">
        <v>-0.75753200000000009</v>
      </c>
      <c r="M1010">
        <f t="shared" si="126"/>
        <v>1009</v>
      </c>
      <c r="N1010">
        <f t="shared" si="127"/>
        <v>1963.9999999999236</v>
      </c>
      <c r="O1010">
        <f t="shared" si="122"/>
        <v>36.637715116165623</v>
      </c>
      <c r="P1010">
        <f t="array" ref="P1010">+SUM($G$2:$G$18*SIN(2*PI()*(N1010)*$B$1/$F$2:$F$18+$H$2:$H$18))</f>
        <v>-0.41624951527715193</v>
      </c>
      <c r="Q1010">
        <f t="shared" si="123"/>
        <v>-15.250431157966323</v>
      </c>
      <c r="R1010">
        <f t="shared" si="124"/>
        <v>-2.232678920059189E-2</v>
      </c>
      <c r="S1010">
        <f t="array" ref="S1010">+$B$2*SIN(R1010*$B$3+$B$4)+0*R1010+ SUM($J$2:$J$20*SIN(2*PI()*N1010*$I$2:$I$20+$K$2:$K$20))</f>
        <v>0.17588667394138036</v>
      </c>
      <c r="U1010" s="3">
        <f t="shared" si="120"/>
        <v>1963.9999999999236</v>
      </c>
      <c r="V1010" s="3">
        <f t="shared" si="121"/>
        <v>-1.262848</v>
      </c>
      <c r="Z1010" s="1">
        <v>1964.0417</v>
      </c>
      <c r="AA1010" s="2">
        <f t="shared" si="125"/>
        <v>-0.33022199999999996</v>
      </c>
      <c r="AB1010">
        <v>-16.511099999999999</v>
      </c>
      <c r="AE1010">
        <v>1963.9999999999236</v>
      </c>
      <c r="AF1010">
        <v>0.17588667394138036</v>
      </c>
    </row>
    <row r="1011" spans="4:32" x14ac:dyDescent="0.35">
      <c r="D1011">
        <v>-0.57695200000000002</v>
      </c>
      <c r="M1011">
        <f t="shared" si="126"/>
        <v>1010</v>
      </c>
      <c r="N1011">
        <f t="shared" si="127"/>
        <v>1964.0833333332569</v>
      </c>
      <c r="O1011">
        <f t="shared" si="122"/>
        <v>0</v>
      </c>
      <c r="P1011">
        <f t="array" ref="P1011">+SUM($G$2:$G$18*SIN(2*PI()*(N1011)*$B$1/$F$2:$F$18+$H$2:$H$18))</f>
        <v>-0.59889307257645208</v>
      </c>
      <c r="Q1011">
        <f t="shared" si="123"/>
        <v>0</v>
      </c>
      <c r="R1011">
        <f t="shared" si="124"/>
        <v>-2.2292447452281462E-2</v>
      </c>
      <c r="S1011">
        <f t="array" ref="S1011">+$B$2*SIN(R1011*$B$3+$B$4)+0*R1011+ SUM($J$2:$J$20*SIN(2*PI()*N1011*$I$2:$I$20+$K$2:$K$20))</f>
        <v>0.18061358776100891</v>
      </c>
      <c r="U1011" s="3">
        <f t="shared" si="120"/>
        <v>1964.0833333332569</v>
      </c>
      <c r="V1011" s="3">
        <f t="shared" si="121"/>
        <v>-0.99299000000000004</v>
      </c>
      <c r="Z1011" s="1">
        <v>1964.125</v>
      </c>
      <c r="AA1011" s="2">
        <f t="shared" si="125"/>
        <v>-0.231184</v>
      </c>
      <c r="AB1011">
        <v>-11.559200000000001</v>
      </c>
      <c r="AE1011">
        <v>1964.0833333332569</v>
      </c>
      <c r="AF1011">
        <v>0.18061358776100891</v>
      </c>
    </row>
    <row r="1012" spans="4:32" x14ac:dyDescent="0.35">
      <c r="D1012">
        <v>-0.33022199999999996</v>
      </c>
      <c r="M1012">
        <f t="shared" si="126"/>
        <v>1011</v>
      </c>
      <c r="N1012">
        <f t="shared" si="127"/>
        <v>1964.1666666665901</v>
      </c>
      <c r="O1012">
        <f t="shared" si="122"/>
        <v>0</v>
      </c>
      <c r="P1012">
        <f t="array" ref="P1012">+SUM($G$2:$G$18*SIN(2*PI()*(N1012)*$B$1/$F$2:$F$18+$H$2:$H$18))</f>
        <v>0.181359369833478</v>
      </c>
      <c r="Q1012">
        <f t="shared" si="123"/>
        <v>0</v>
      </c>
      <c r="R1012">
        <f t="shared" si="124"/>
        <v>-2.2258158526419727E-2</v>
      </c>
      <c r="S1012">
        <f t="array" ref="S1012">+$B$2*SIN(R1012*$B$3+$B$4)+0*R1012+ SUM($J$2:$J$20*SIN(2*PI()*N1012*$I$2:$I$20+$K$2:$K$20))</f>
        <v>0.18532570291743491</v>
      </c>
      <c r="U1012" s="3">
        <f t="shared" si="120"/>
        <v>1964.1666666665901</v>
      </c>
      <c r="V1012" s="3">
        <f t="shared" si="121"/>
        <v>-0.92005999999999999</v>
      </c>
      <c r="Z1012" s="1">
        <v>1964.2083</v>
      </c>
      <c r="AA1012" s="2">
        <f t="shared" si="125"/>
        <v>-0.13214600000000001</v>
      </c>
      <c r="AB1012">
        <v>-6.6073000000000004</v>
      </c>
      <c r="AE1012">
        <v>1964.1666666665901</v>
      </c>
      <c r="AF1012">
        <v>0.18532570291743491</v>
      </c>
    </row>
    <row r="1013" spans="4:32" x14ac:dyDescent="0.35">
      <c r="D1013">
        <v>-0.231184</v>
      </c>
      <c r="M1013">
        <f t="shared" si="126"/>
        <v>1012</v>
      </c>
      <c r="N1013">
        <f t="shared" si="127"/>
        <v>1964.2499999999234</v>
      </c>
      <c r="O1013">
        <f t="shared" si="122"/>
        <v>0</v>
      </c>
      <c r="P1013">
        <f t="array" ref="P1013">+SUM($G$2:$G$18*SIN(2*PI()*(N1013)*$B$1/$F$2:$F$18+$H$2:$H$18))</f>
        <v>0.75490875037667227</v>
      </c>
      <c r="Q1013">
        <f t="shared" si="123"/>
        <v>0</v>
      </c>
      <c r="R1013">
        <f t="shared" si="124"/>
        <v>-2.2223922341758316E-2</v>
      </c>
      <c r="S1013">
        <f t="array" ref="S1013">+$B$2*SIN(R1013*$B$3+$B$4)+0*R1013+ SUM($J$2:$J$20*SIN(2*PI()*N1013*$I$2:$I$20+$K$2:$K$20))</f>
        <v>0.19002286951251449</v>
      </c>
      <c r="U1013" s="3">
        <f t="shared" si="120"/>
        <v>1964.2499999999234</v>
      </c>
      <c r="V1013" s="3">
        <f t="shared" si="121"/>
        <v>-1.0348200000000001</v>
      </c>
      <c r="Z1013" s="1">
        <v>1964.2917</v>
      </c>
      <c r="AA1013" s="2">
        <f t="shared" si="125"/>
        <v>-1.9266000000000002E-2</v>
      </c>
      <c r="AB1013">
        <v>-0.96330000000000005</v>
      </c>
      <c r="AE1013">
        <v>1964.2499999999234</v>
      </c>
      <c r="AF1013">
        <v>0.19002286951251449</v>
      </c>
    </row>
    <row r="1014" spans="4:32" x14ac:dyDescent="0.35">
      <c r="D1014">
        <v>-0.13214600000000001</v>
      </c>
      <c r="M1014">
        <f t="shared" si="126"/>
        <v>1013</v>
      </c>
      <c r="N1014">
        <f t="shared" si="127"/>
        <v>1964.3333333332566</v>
      </c>
      <c r="O1014">
        <f t="shared" si="122"/>
        <v>0</v>
      </c>
      <c r="P1014">
        <f t="array" ref="P1014">+SUM($G$2:$G$18*SIN(2*PI()*(N1014)*$B$1/$F$2:$F$18+$H$2:$H$18))</f>
        <v>0.46857341662677304</v>
      </c>
      <c r="Q1014">
        <f t="shared" si="123"/>
        <v>0</v>
      </c>
      <c r="R1014">
        <f t="shared" si="124"/>
        <v>-2.2189738817173829E-2</v>
      </c>
      <c r="S1014">
        <f t="array" ref="S1014">+$B$2*SIN(R1014*$B$3+$B$4)+0*R1014+ SUM($J$2:$J$20*SIN(2*PI()*N1014*$I$2:$I$20+$K$2:$K$20))</f>
        <v>0.19470493963052224</v>
      </c>
      <c r="U1014" s="3">
        <f t="shared" si="120"/>
        <v>1964.3333333332566</v>
      </c>
      <c r="V1014" s="3">
        <f t="shared" si="121"/>
        <v>-0.60650399999999993</v>
      </c>
      <c r="Z1014" s="1">
        <v>1964.375</v>
      </c>
      <c r="AA1014" s="2">
        <f t="shared" si="125"/>
        <v>-2.3199999999999997E-4</v>
      </c>
      <c r="AB1014">
        <v>-1.1599999999999999E-2</v>
      </c>
      <c r="AE1014">
        <v>1964.3333333332566</v>
      </c>
      <c r="AF1014">
        <v>0.19470493963052224</v>
      </c>
    </row>
    <row r="1015" spans="4:32" x14ac:dyDescent="0.35">
      <c r="D1015">
        <v>-1.9266000000000002E-2</v>
      </c>
      <c r="M1015">
        <f t="shared" si="126"/>
        <v>1014</v>
      </c>
      <c r="N1015">
        <f t="shared" si="127"/>
        <v>1964.4166666665899</v>
      </c>
      <c r="O1015">
        <f t="shared" si="122"/>
        <v>0</v>
      </c>
      <c r="P1015">
        <f t="array" ref="P1015">+SUM($G$2:$G$18*SIN(2*PI()*(N1015)*$B$1/$F$2:$F$18+$H$2:$H$18))</f>
        <v>0.23518990411199897</v>
      </c>
      <c r="Q1015">
        <f t="shared" si="123"/>
        <v>0</v>
      </c>
      <c r="R1015">
        <f t="shared" si="124"/>
        <v>-2.2155607871667645E-2</v>
      </c>
      <c r="S1015">
        <f t="array" ref="S1015">+$B$2*SIN(R1015*$B$3+$B$4)+0*R1015+ SUM($J$2:$J$20*SIN(2*PI()*N1015*$I$2:$I$20+$K$2:$K$20))</f>
        <v>0.19937176733016948</v>
      </c>
      <c r="U1015" s="3">
        <f t="shared" si="120"/>
        <v>1964.4166666665899</v>
      </c>
      <c r="V1015" s="3">
        <f t="shared" si="121"/>
        <v>-0.18896199999999999</v>
      </c>
      <c r="Z1015" s="1">
        <v>1964.4583</v>
      </c>
      <c r="AA1015" s="2">
        <f t="shared" si="125"/>
        <v>1.8799999999999999E-3</v>
      </c>
      <c r="AB1015">
        <v>9.4E-2</v>
      </c>
      <c r="AE1015">
        <v>1964.4166666665899</v>
      </c>
      <c r="AF1015">
        <v>0.19937176733016948</v>
      </c>
    </row>
    <row r="1016" spans="4:32" x14ac:dyDescent="0.35">
      <c r="D1016">
        <v>-2.3199999999999997E-4</v>
      </c>
      <c r="M1016">
        <f t="shared" si="126"/>
        <v>1015</v>
      </c>
      <c r="N1016">
        <f t="shared" si="127"/>
        <v>1964.4999999999231</v>
      </c>
      <c r="O1016">
        <f t="shared" si="122"/>
        <v>0</v>
      </c>
      <c r="P1016">
        <f t="array" ref="P1016">+SUM($G$2:$G$18*SIN(2*PI()*(N1016)*$B$1/$F$2:$F$18+$H$2:$H$18))</f>
        <v>0.3994037334041089</v>
      </c>
      <c r="Q1016">
        <f t="shared" si="123"/>
        <v>0</v>
      </c>
      <c r="R1016">
        <f t="shared" si="124"/>
        <v>-2.2121529424365731E-2</v>
      </c>
      <c r="S1016">
        <f t="array" ref="S1016">+$B$2*SIN(R1016*$B$3+$B$4)+0*R1016+ SUM($J$2:$J$20*SIN(2*PI()*N1016*$I$2:$I$20+$K$2:$K$20))</f>
        <v>0.20402320863653672</v>
      </c>
      <c r="U1016" s="3">
        <f t="shared" si="120"/>
        <v>1964.4999999999231</v>
      </c>
      <c r="V1016" s="3">
        <f t="shared" si="121"/>
        <v>0.23166</v>
      </c>
      <c r="Z1016" s="1">
        <v>1964.5417</v>
      </c>
      <c r="AA1016" s="2">
        <f t="shared" si="125"/>
        <v>-3.4476E-2</v>
      </c>
      <c r="AB1016">
        <v>-1.7238</v>
      </c>
      <c r="AE1016">
        <v>1964.4999999999231</v>
      </c>
      <c r="AF1016">
        <v>0.20402320863653672</v>
      </c>
    </row>
    <row r="1017" spans="4:32" x14ac:dyDescent="0.35">
      <c r="D1017">
        <v>1.8799999999999999E-3</v>
      </c>
      <c r="M1017">
        <f t="shared" si="126"/>
        <v>1016</v>
      </c>
      <c r="N1017">
        <f t="shared" si="127"/>
        <v>1964.5833333332564</v>
      </c>
      <c r="O1017">
        <f t="shared" si="122"/>
        <v>0</v>
      </c>
      <c r="P1017">
        <f t="array" ref="P1017">+SUM($G$2:$G$18*SIN(2*PI()*(N1017)*$B$1/$F$2:$F$18+$H$2:$H$18))</f>
        <v>0.45317733035085273</v>
      </c>
      <c r="Q1017">
        <f t="shared" si="123"/>
        <v>0</v>
      </c>
      <c r="R1017">
        <f t="shared" si="124"/>
        <v>-2.2087503394518451E-2</v>
      </c>
      <c r="S1017">
        <f t="array" ref="S1017">+$B$2*SIN(R1017*$B$3+$B$4)+0*R1017+ SUM($J$2:$J$20*SIN(2*PI()*N1017*$I$2:$I$20+$K$2:$K$20))</f>
        <v>0.20865912153291344</v>
      </c>
      <c r="U1017" s="3">
        <f t="shared" si="120"/>
        <v>1964.5833333332564</v>
      </c>
      <c r="V1017" s="3">
        <f t="shared" si="121"/>
        <v>0.496896</v>
      </c>
      <c r="Z1017" s="1">
        <v>1964.625</v>
      </c>
      <c r="AA1017" s="2">
        <f t="shared" si="125"/>
        <v>0.19994199999999998</v>
      </c>
      <c r="AB1017">
        <v>9.9970999999999997</v>
      </c>
      <c r="AE1017">
        <v>1964.5833333332564</v>
      </c>
      <c r="AF1017">
        <v>0.20865912153291344</v>
      </c>
    </row>
    <row r="1018" spans="4:32" x14ac:dyDescent="0.35">
      <c r="D1018">
        <v>-3.4476E-2</v>
      </c>
      <c r="M1018">
        <f t="shared" si="126"/>
        <v>1017</v>
      </c>
      <c r="N1018">
        <f t="shared" si="127"/>
        <v>1964.6666666665897</v>
      </c>
      <c r="O1018">
        <f t="shared" si="122"/>
        <v>0</v>
      </c>
      <c r="P1018">
        <f t="array" ref="P1018">+SUM($G$2:$G$18*SIN(2*PI()*(N1018)*$B$1/$F$2:$F$18+$H$2:$H$18))</f>
        <v>0.13348740623097449</v>
      </c>
      <c r="Q1018">
        <f t="shared" si="123"/>
        <v>0</v>
      </c>
      <c r="R1018">
        <f t="shared" si="124"/>
        <v>-2.2053529701500374E-2</v>
      </c>
      <c r="S1018">
        <f t="array" ref="S1018">+$B$2*SIN(R1018*$B$3+$B$4)+0*R1018+ SUM($J$2:$J$20*SIN(2*PI()*N1018*$I$2:$I$20+$K$2:$K$20))</f>
        <v>0.21327936595256544</v>
      </c>
      <c r="U1018" s="3">
        <f t="shared" si="120"/>
        <v>1964.6666666665897</v>
      </c>
      <c r="V1018" s="3">
        <f t="shared" si="121"/>
        <v>0.83597200000000005</v>
      </c>
      <c r="Z1018" s="1">
        <v>1964.7083</v>
      </c>
      <c r="AA1018" s="2">
        <f t="shared" si="125"/>
        <v>-9.3336000000000002E-2</v>
      </c>
      <c r="AB1018">
        <v>-4.6668000000000003</v>
      </c>
      <c r="AE1018">
        <v>1964.6666666665897</v>
      </c>
      <c r="AF1018">
        <v>0.21327936595256544</v>
      </c>
    </row>
    <row r="1019" spans="4:32" x14ac:dyDescent="0.35">
      <c r="D1019">
        <v>0.19994199999999998</v>
      </c>
      <c r="M1019">
        <f t="shared" si="126"/>
        <v>1018</v>
      </c>
      <c r="N1019">
        <f t="shared" si="127"/>
        <v>1964.7499999999229</v>
      </c>
      <c r="O1019">
        <f t="shared" si="122"/>
        <v>0</v>
      </c>
      <c r="P1019">
        <f t="array" ref="P1019">+SUM($G$2:$G$18*SIN(2*PI()*(N1019)*$B$1/$F$2:$F$18+$H$2:$H$18))</f>
        <v>-0.3857152966944708</v>
      </c>
      <c r="Q1019">
        <f t="shared" si="123"/>
        <v>0</v>
      </c>
      <c r="R1019">
        <f t="shared" si="124"/>
        <v>-2.201960826481008E-2</v>
      </c>
      <c r="S1019">
        <f t="array" ref="S1019">+$B$2*SIN(R1019*$B$3+$B$4)+0*R1019+ SUM($J$2:$J$20*SIN(2*PI()*N1019*$I$2:$I$20+$K$2:$K$20))</f>
        <v>0.21788380377041877</v>
      </c>
      <c r="U1019" s="3">
        <f t="shared" ref="U1019:U1082" si="128">+N1019</f>
        <v>1964.7499999999229</v>
      </c>
      <c r="V1019" s="3">
        <f t="shared" ref="V1019:V1082" si="129">+D977</f>
        <v>1.03813</v>
      </c>
      <c r="Z1019" s="1">
        <v>1964.7917</v>
      </c>
      <c r="AA1019" s="2">
        <f t="shared" si="125"/>
        <v>4.2613999999999999E-2</v>
      </c>
      <c r="AB1019">
        <v>2.1307</v>
      </c>
      <c r="AE1019">
        <v>1964.7499999999229</v>
      </c>
      <c r="AF1019">
        <v>0.21788380377041877</v>
      </c>
    </row>
    <row r="1020" spans="4:32" x14ac:dyDescent="0.35">
      <c r="D1020">
        <v>-9.3336000000000002E-2</v>
      </c>
      <c r="M1020">
        <f t="shared" si="126"/>
        <v>1019</v>
      </c>
      <c r="N1020">
        <f t="shared" si="127"/>
        <v>1964.8333333332562</v>
      </c>
      <c r="O1020">
        <f t="shared" si="122"/>
        <v>0</v>
      </c>
      <c r="P1020">
        <f t="array" ref="P1020">+SUM($G$2:$G$18*SIN(2*PI()*(N1020)*$B$1/$F$2:$F$18+$H$2:$H$18))</f>
        <v>-0.34552149154474909</v>
      </c>
      <c r="Q1020">
        <f t="shared" si="123"/>
        <v>0</v>
      </c>
      <c r="R1020">
        <f t="shared" si="124"/>
        <v>-2.1985739004069971E-2</v>
      </c>
      <c r="S1020">
        <f t="array" ref="S1020">+$B$2*SIN(R1020*$B$3+$B$4)+0*R1020+ SUM($J$2:$J$20*SIN(2*PI()*N1020*$I$2:$I$20+$K$2:$K$20))</f>
        <v>0.22247229879465555</v>
      </c>
      <c r="U1020" s="3">
        <f t="shared" si="128"/>
        <v>1964.8333333332562</v>
      </c>
      <c r="V1020" s="3">
        <f t="shared" si="129"/>
        <v>1.0433620000000001</v>
      </c>
      <c r="Z1020" s="1">
        <v>1964.875</v>
      </c>
      <c r="AA1020" s="2">
        <f t="shared" si="125"/>
        <v>0.18933599999999998</v>
      </c>
      <c r="AB1020">
        <v>9.4667999999999992</v>
      </c>
      <c r="AE1020">
        <v>1964.8333333332562</v>
      </c>
      <c r="AF1020">
        <v>0.22247229879465555</v>
      </c>
    </row>
    <row r="1021" spans="4:32" x14ac:dyDescent="0.35">
      <c r="D1021">
        <v>4.2613999999999999E-2</v>
      </c>
      <c r="M1021">
        <f t="shared" si="126"/>
        <v>1020</v>
      </c>
      <c r="N1021">
        <f t="shared" si="127"/>
        <v>1964.9166666665894</v>
      </c>
      <c r="O1021">
        <f t="shared" si="122"/>
        <v>0</v>
      </c>
      <c r="P1021">
        <f t="array" ref="P1021">+SUM($G$2:$G$18*SIN(2*PI()*(N1021)*$B$1/$F$2:$F$18+$H$2:$H$18))</f>
        <v>0.42251516707768455</v>
      </c>
      <c r="Q1021">
        <f t="shared" si="123"/>
        <v>0</v>
      </c>
      <c r="R1021">
        <f t="shared" si="124"/>
        <v>-2.1951921839026084E-2</v>
      </c>
      <c r="S1021">
        <f t="array" ref="S1021">+$B$2*SIN(R1021*$B$3+$B$4)+0*R1021+ SUM($J$2:$J$20*SIN(2*PI()*N1021*$I$2:$I$20+$K$2:$K$20))</f>
        <v>0.22704471675824092</v>
      </c>
      <c r="U1021" s="3">
        <f t="shared" si="128"/>
        <v>1964.9166666665894</v>
      </c>
      <c r="V1021" s="3">
        <f t="shared" si="129"/>
        <v>0.70089800000000002</v>
      </c>
      <c r="Z1021" s="1">
        <v>1964.9583</v>
      </c>
      <c r="AA1021" s="2">
        <f t="shared" si="125"/>
        <v>0.15451599999999999</v>
      </c>
      <c r="AB1021">
        <v>7.7257999999999996</v>
      </c>
      <c r="AE1021">
        <v>1964.9166666665894</v>
      </c>
      <c r="AF1021">
        <v>0.22704471675824092</v>
      </c>
    </row>
    <row r="1022" spans="4:32" x14ac:dyDescent="0.35">
      <c r="D1022">
        <v>0.18933599999999998</v>
      </c>
      <c r="M1022">
        <f t="shared" si="126"/>
        <v>1021</v>
      </c>
      <c r="N1022">
        <f t="shared" si="127"/>
        <v>1964.9999999999227</v>
      </c>
      <c r="O1022">
        <f t="shared" si="122"/>
        <v>36.637715116165623</v>
      </c>
      <c r="P1022">
        <f t="array" ref="P1022">+SUM($G$2:$G$18*SIN(2*PI()*(N1022)*$B$1/$F$2:$F$18+$H$2:$H$18))</f>
        <v>0.8209205193635043</v>
      </c>
      <c r="Q1022">
        <f t="shared" si="123"/>
        <v>30.076652121454796</v>
      </c>
      <c r="R1022">
        <f t="shared" si="124"/>
        <v>2.4343972983261571E-2</v>
      </c>
      <c r="S1022">
        <f t="array" ref="S1022">+$B$2*SIN(R1022*$B$3+$B$4)+0*R1022+ SUM($J$2:$J$20*SIN(2*PI()*N1022*$I$2:$I$20+$K$2:$K$20))</f>
        <v>0.29654640142819971</v>
      </c>
      <c r="U1022" s="3">
        <f t="shared" si="128"/>
        <v>1964.9999999999227</v>
      </c>
      <c r="V1022" s="3">
        <f t="shared" si="129"/>
        <v>0.6753579999999999</v>
      </c>
      <c r="Z1022" s="1">
        <v>1965.0417</v>
      </c>
      <c r="AA1022" s="2">
        <f t="shared" si="125"/>
        <v>0.32738599999999995</v>
      </c>
      <c r="AB1022">
        <v>16.369299999999999</v>
      </c>
      <c r="AE1022">
        <v>1964.9999999999227</v>
      </c>
      <c r="AF1022">
        <v>0.29654640142819971</v>
      </c>
    </row>
    <row r="1023" spans="4:32" x14ac:dyDescent="0.35">
      <c r="D1023">
        <v>0.15451599999999999</v>
      </c>
      <c r="M1023">
        <f t="shared" si="126"/>
        <v>1022</v>
      </c>
      <c r="N1023">
        <f t="shared" si="127"/>
        <v>1965.083333333256</v>
      </c>
      <c r="O1023">
        <f t="shared" si="122"/>
        <v>0</v>
      </c>
      <c r="P1023">
        <f t="array" ref="P1023">+SUM($G$2:$G$18*SIN(2*PI()*(N1023)*$B$1/$F$2:$F$18+$H$2:$H$18))</f>
        <v>0.54011791662842268</v>
      </c>
      <c r="Q1023">
        <f t="shared" si="123"/>
        <v>0</v>
      </c>
      <c r="R1023">
        <f t="shared" si="124"/>
        <v>2.4306528522011192E-2</v>
      </c>
      <c r="S1023">
        <f t="array" ref="S1023">+$B$2*SIN(R1023*$B$3+$B$4)+0*R1023+ SUM($J$2:$J$20*SIN(2*PI()*N1023*$I$2:$I$20+$K$2:$K$20))</f>
        <v>0.30141485515228994</v>
      </c>
      <c r="U1023" s="3">
        <f t="shared" si="128"/>
        <v>1965.083333333256</v>
      </c>
      <c r="V1023" s="3">
        <f t="shared" si="129"/>
        <v>0.894432</v>
      </c>
      <c r="Z1023" s="1">
        <v>1965.125</v>
      </c>
      <c r="AA1023" s="2">
        <f t="shared" si="125"/>
        <v>0.30025800000000002</v>
      </c>
      <c r="AB1023">
        <v>15.0129</v>
      </c>
      <c r="AE1023">
        <v>1965.083333333256</v>
      </c>
      <c r="AF1023">
        <v>0.30141485515228994</v>
      </c>
    </row>
    <row r="1024" spans="4:32" x14ac:dyDescent="0.35">
      <c r="D1024">
        <v>0.32738599999999995</v>
      </c>
      <c r="M1024">
        <f t="shared" si="126"/>
        <v>1023</v>
      </c>
      <c r="N1024">
        <f t="shared" si="127"/>
        <v>1965.1666666665892</v>
      </c>
      <c r="O1024">
        <f t="shared" si="122"/>
        <v>0</v>
      </c>
      <c r="P1024">
        <f t="array" ref="P1024">+SUM($G$2:$G$18*SIN(2*PI()*(N1024)*$B$1/$F$2:$F$18+$H$2:$H$18))</f>
        <v>0.29841955052829205</v>
      </c>
      <c r="Q1024">
        <f t="shared" si="123"/>
        <v>0</v>
      </c>
      <c r="R1024">
        <f t="shared" si="124"/>
        <v>2.4269141655619272E-2</v>
      </c>
      <c r="S1024">
        <f t="array" ref="S1024">+$B$2*SIN(R1024*$B$3+$B$4)+0*R1024+ SUM($J$2:$J$20*SIN(2*PI()*N1024*$I$2:$I$20+$K$2:$K$20))</f>
        <v>0.30626088478141467</v>
      </c>
      <c r="U1024" s="3">
        <f t="shared" si="128"/>
        <v>1965.1666666665892</v>
      </c>
      <c r="V1024" s="3">
        <f t="shared" si="129"/>
        <v>0.88581199999999993</v>
      </c>
      <c r="Z1024" s="1">
        <v>1965.2083</v>
      </c>
      <c r="AA1024" s="2">
        <f t="shared" si="125"/>
        <v>0.23928199999999999</v>
      </c>
      <c r="AB1024">
        <v>11.9641</v>
      </c>
      <c r="AE1024">
        <v>1965.1666666665892</v>
      </c>
      <c r="AF1024">
        <v>0.30626088478141467</v>
      </c>
    </row>
    <row r="1025" spans="4:32" x14ac:dyDescent="0.35">
      <c r="D1025">
        <v>0.30025800000000002</v>
      </c>
      <c r="M1025">
        <f t="shared" si="126"/>
        <v>1024</v>
      </c>
      <c r="N1025">
        <f t="shared" si="127"/>
        <v>1965.2499999999225</v>
      </c>
      <c r="O1025">
        <f t="shared" si="122"/>
        <v>0</v>
      </c>
      <c r="P1025">
        <f t="array" ref="P1025">+SUM($G$2:$G$18*SIN(2*PI()*(N1025)*$B$1/$F$2:$F$18+$H$2:$H$18))</f>
        <v>0.16757954958632643</v>
      </c>
      <c r="Q1025">
        <f t="shared" si="123"/>
        <v>0</v>
      </c>
      <c r="R1025">
        <f t="shared" si="124"/>
        <v>2.4231812295496803E-2</v>
      </c>
      <c r="S1025">
        <f t="array" ref="S1025">+$B$2*SIN(R1025*$B$3+$B$4)+0*R1025+ SUM($J$2:$J$20*SIN(2*PI()*N1025*$I$2:$I$20+$K$2:$K$20))</f>
        <v>0.31108433132280988</v>
      </c>
      <c r="U1025" s="3">
        <f t="shared" si="128"/>
        <v>1965.2499999999225</v>
      </c>
      <c r="V1025" s="3">
        <f t="shared" si="129"/>
        <v>1.391038</v>
      </c>
      <c r="Z1025" s="1">
        <v>1965.2917</v>
      </c>
      <c r="AA1025" s="2">
        <f t="shared" si="125"/>
        <v>8.2916000000000004E-2</v>
      </c>
      <c r="AB1025">
        <v>4.1458000000000004</v>
      </c>
      <c r="AE1025">
        <v>1965.2499999999225</v>
      </c>
      <c r="AF1025">
        <v>0.31108433132280988</v>
      </c>
    </row>
    <row r="1026" spans="4:32" x14ac:dyDescent="0.35">
      <c r="D1026">
        <v>0.23928199999999999</v>
      </c>
      <c r="M1026">
        <f t="shared" si="126"/>
        <v>1025</v>
      </c>
      <c r="N1026">
        <f t="shared" si="127"/>
        <v>1965.3333333332557</v>
      </c>
      <c r="O1026">
        <f t="shared" ref="O1026:O1089" si="130">+IF(MOD(M1026,$B$5)=1, $B$6, 0)</f>
        <v>0</v>
      </c>
      <c r="P1026">
        <f t="array" ref="P1026">+SUM($G$2:$G$18*SIN(2*PI()*(N1026)*$B$1/$F$2:$F$18+$H$2:$H$18))</f>
        <v>-1.3419185436975012E-3</v>
      </c>
      <c r="Q1026">
        <f t="shared" si="123"/>
        <v>0</v>
      </c>
      <c r="R1026">
        <f t="shared" si="124"/>
        <v>2.4194540353191036E-2</v>
      </c>
      <c r="S1026">
        <f t="array" ref="S1026">+$B$2*SIN(R1026*$B$3+$B$4)+0*R1026+ SUM($J$2:$J$20*SIN(2*PI()*N1026*$I$2:$I$20+$K$2:$K$20))</f>
        <v>0.3158850384710713</v>
      </c>
      <c r="U1026" s="3">
        <f t="shared" si="128"/>
        <v>1965.3333333332557</v>
      </c>
      <c r="V1026" s="3">
        <f t="shared" si="129"/>
        <v>1.436264</v>
      </c>
      <c r="Z1026" s="1">
        <v>1965.375</v>
      </c>
      <c r="AA1026" s="2">
        <f t="shared" si="125"/>
        <v>0.15578400000000001</v>
      </c>
      <c r="AB1026">
        <v>7.7892000000000001</v>
      </c>
      <c r="AE1026">
        <v>1965.3333333332557</v>
      </c>
      <c r="AF1026">
        <v>0.3158850384710713</v>
      </c>
    </row>
    <row r="1027" spans="4:32" x14ac:dyDescent="0.35">
      <c r="D1027">
        <v>8.2916000000000004E-2</v>
      </c>
      <c r="M1027">
        <f t="shared" si="126"/>
        <v>1026</v>
      </c>
      <c r="N1027">
        <f t="shared" si="127"/>
        <v>1965.416666666589</v>
      </c>
      <c r="O1027">
        <f t="shared" si="130"/>
        <v>0</v>
      </c>
      <c r="P1027">
        <f t="array" ref="P1027">+SUM($G$2:$G$18*SIN(2*PI()*(N1027)*$B$1/$F$2:$F$18+$H$2:$H$18))</f>
        <v>-0.16010908169249777</v>
      </c>
      <c r="Q1027">
        <f t="shared" ref="Q1027:Q1090" si="131">+O1027*P1027</f>
        <v>0</v>
      </c>
      <c r="R1027">
        <f t="shared" ref="R1027:R1090" si="132">+(1-$B$7)*R1026+($B$7)*Q1027</f>
        <v>2.4157325740385281E-2</v>
      </c>
      <c r="S1027">
        <f t="array" ref="S1027">+$B$2*SIN(R1027*$B$3+$B$4)+0*R1027+ SUM($J$2:$J$20*SIN(2*PI()*N1027*$I$2:$I$20+$K$2:$K$20))</f>
        <v>0.32066285259508076</v>
      </c>
      <c r="U1027" s="3">
        <f t="shared" si="128"/>
        <v>1965.416666666589</v>
      </c>
      <c r="V1027" s="3">
        <f t="shared" si="129"/>
        <v>1.233792</v>
      </c>
      <c r="Z1027" s="1">
        <v>1965.4583</v>
      </c>
      <c r="AA1027" s="2">
        <f t="shared" ref="AA1027:AA1090" si="133">+AB1027/50</f>
        <v>3.3265999999999997E-2</v>
      </c>
      <c r="AB1027">
        <v>1.6633</v>
      </c>
      <c r="AE1027">
        <v>1965.416666666589</v>
      </c>
      <c r="AF1027">
        <v>0.32066285259508076</v>
      </c>
    </row>
    <row r="1028" spans="4:32" x14ac:dyDescent="0.35">
      <c r="D1028">
        <v>0.15578400000000001</v>
      </c>
      <c r="M1028">
        <f t="shared" ref="M1028:M1091" si="134">+M1027+1</f>
        <v>1027</v>
      </c>
      <c r="N1028">
        <f t="shared" ref="N1028:N1091" si="135">+N1027+1/12</f>
        <v>1965.4999999999222</v>
      </c>
      <c r="O1028">
        <f t="shared" si="130"/>
        <v>0</v>
      </c>
      <c r="P1028">
        <f t="array" ref="P1028">+SUM($G$2:$G$18*SIN(2*PI()*(N1028)*$B$1/$F$2:$F$18+$H$2:$H$18))</f>
        <v>-0.32695628157961132</v>
      </c>
      <c r="Q1028">
        <f t="shared" si="131"/>
        <v>0</v>
      </c>
      <c r="R1028">
        <f t="shared" si="132"/>
        <v>2.4120168368898687E-2</v>
      </c>
      <c r="S1028">
        <f t="array" ref="S1028">+$B$2*SIN(R1028*$B$3+$B$4)+0*R1028+ SUM($J$2:$J$20*SIN(2*PI()*N1028*$I$2:$I$20+$K$2:$K$20))</f>
        <v>0.32541762272483132</v>
      </c>
      <c r="U1028" s="3">
        <f t="shared" si="128"/>
        <v>1965.4999999999222</v>
      </c>
      <c r="V1028" s="3">
        <f t="shared" si="129"/>
        <v>1.0051699999999999</v>
      </c>
      <c r="Z1028" s="1">
        <v>1965.5417</v>
      </c>
      <c r="AA1028" s="2">
        <f t="shared" si="133"/>
        <v>-6.3102000000000005E-2</v>
      </c>
      <c r="AB1028">
        <v>-3.1551</v>
      </c>
      <c r="AE1028">
        <v>1965.4999999999222</v>
      </c>
      <c r="AF1028">
        <v>0.32541762272483132</v>
      </c>
    </row>
    <row r="1029" spans="4:32" x14ac:dyDescent="0.35">
      <c r="D1029">
        <v>3.3265999999999997E-2</v>
      </c>
      <c r="M1029">
        <f t="shared" si="134"/>
        <v>1028</v>
      </c>
      <c r="N1029">
        <f t="shared" si="135"/>
        <v>1965.5833333332555</v>
      </c>
      <c r="O1029">
        <f t="shared" si="130"/>
        <v>0</v>
      </c>
      <c r="P1029">
        <f t="array" ref="P1029">+SUM($G$2:$G$18*SIN(2*PI()*(N1029)*$B$1/$F$2:$F$18+$H$2:$H$18))</f>
        <v>-0.14366329192048813</v>
      </c>
      <c r="Q1029">
        <f t="shared" si="131"/>
        <v>0</v>
      </c>
      <c r="R1029">
        <f t="shared" si="132"/>
        <v>2.4083068150686036E-2</v>
      </c>
      <c r="S1029">
        <f t="array" ref="S1029">+$B$2*SIN(R1029*$B$3+$B$4)+0*R1029+ SUM($J$2:$J$20*SIN(2*PI()*N1029*$I$2:$I$20+$K$2:$K$20))</f>
        <v>0.33014920053812402</v>
      </c>
      <c r="U1029" s="3">
        <f t="shared" si="128"/>
        <v>1965.5833333332555</v>
      </c>
      <c r="V1029" s="3">
        <f t="shared" si="129"/>
        <v>0.89346800000000004</v>
      </c>
      <c r="Z1029" s="1">
        <v>1965.625</v>
      </c>
      <c r="AA1029" s="2">
        <f t="shared" si="133"/>
        <v>-0.16408200000000001</v>
      </c>
      <c r="AB1029">
        <v>-8.2041000000000004</v>
      </c>
      <c r="AE1029">
        <v>1965.5833333332555</v>
      </c>
      <c r="AF1029">
        <v>0.33014920053812402</v>
      </c>
    </row>
    <row r="1030" spans="4:32" x14ac:dyDescent="0.35">
      <c r="D1030">
        <v>-6.3102000000000005E-2</v>
      </c>
      <c r="M1030">
        <f t="shared" si="134"/>
        <v>1029</v>
      </c>
      <c r="N1030">
        <f t="shared" si="135"/>
        <v>1965.6666666665888</v>
      </c>
      <c r="O1030">
        <f t="shared" si="130"/>
        <v>0</v>
      </c>
      <c r="P1030">
        <f t="array" ref="P1030">+SUM($G$2:$G$18*SIN(2*PI()*(N1030)*$B$1/$F$2:$F$18+$H$2:$H$18))</f>
        <v>0.36776033687019211</v>
      </c>
      <c r="Q1030">
        <f t="shared" si="131"/>
        <v>0</v>
      </c>
      <c r="R1030">
        <f t="shared" si="132"/>
        <v>2.4046024997837537E-2</v>
      </c>
      <c r="S1030">
        <f t="array" ref="S1030">+$B$2*SIN(R1030*$B$3+$B$4)+0*R1030+ SUM($J$2:$J$20*SIN(2*PI()*N1030*$I$2:$I$20+$K$2:$K$20))</f>
        <v>0.33485744034716636</v>
      </c>
      <c r="U1030" s="3">
        <f t="shared" si="128"/>
        <v>1965.6666666665888</v>
      </c>
      <c r="V1030" s="3">
        <f t="shared" si="129"/>
        <v>0.918686</v>
      </c>
      <c r="Z1030" s="1">
        <v>1965.7083</v>
      </c>
      <c r="AA1030" s="2">
        <f t="shared" si="133"/>
        <v>-0.37737399999999999</v>
      </c>
      <c r="AB1030">
        <v>-18.8687</v>
      </c>
      <c r="AE1030">
        <v>1965.6666666665888</v>
      </c>
      <c r="AF1030">
        <v>0.33485744034716636</v>
      </c>
    </row>
    <row r="1031" spans="4:32" x14ac:dyDescent="0.35">
      <c r="D1031">
        <v>-0.16408200000000001</v>
      </c>
      <c r="M1031">
        <f t="shared" si="134"/>
        <v>1030</v>
      </c>
      <c r="N1031">
        <f t="shared" si="135"/>
        <v>1965.749999999922</v>
      </c>
      <c r="O1031">
        <f t="shared" si="130"/>
        <v>0</v>
      </c>
      <c r="P1031">
        <f t="array" ref="P1031">+SUM($G$2:$G$18*SIN(2*PI()*(N1031)*$B$1/$F$2:$F$18+$H$2:$H$18))</f>
        <v>0.525766169130782</v>
      </c>
      <c r="Q1031">
        <f t="shared" si="131"/>
        <v>0</v>
      </c>
      <c r="R1031">
        <f t="shared" si="132"/>
        <v>2.4009038822578623E-2</v>
      </c>
      <c r="S1031">
        <f t="array" ref="S1031">+$B$2*SIN(R1031*$B$3+$B$4)+0*R1031+ SUM($J$2:$J$20*SIN(2*PI()*N1031*$I$2:$I$20+$K$2:$K$20))</f>
        <v>0.33954219908506011</v>
      </c>
      <c r="U1031" s="3">
        <f t="shared" si="128"/>
        <v>1965.749999999922</v>
      </c>
      <c r="V1031" s="3">
        <f t="shared" si="129"/>
        <v>0.69467400000000001</v>
      </c>
      <c r="Z1031" s="1">
        <v>1965.7917</v>
      </c>
      <c r="AA1031" s="2">
        <f t="shared" si="133"/>
        <v>-0.23066800000000001</v>
      </c>
      <c r="AB1031">
        <v>-11.5334</v>
      </c>
      <c r="AE1031">
        <v>1965.749999999922</v>
      </c>
      <c r="AF1031">
        <v>0.33954219908506011</v>
      </c>
    </row>
    <row r="1032" spans="4:32" x14ac:dyDescent="0.35">
      <c r="D1032">
        <v>-0.37737399999999999</v>
      </c>
      <c r="M1032">
        <f t="shared" si="134"/>
        <v>1031</v>
      </c>
      <c r="N1032">
        <f t="shared" si="135"/>
        <v>1965.8333333332553</v>
      </c>
      <c r="O1032">
        <f t="shared" si="130"/>
        <v>0</v>
      </c>
      <c r="P1032">
        <f t="array" ref="P1032">+SUM($G$2:$G$18*SIN(2*PI()*(N1032)*$B$1/$F$2:$F$18+$H$2:$H$18))</f>
        <v>0.35935957400846152</v>
      </c>
      <c r="Q1032">
        <f t="shared" si="131"/>
        <v>0</v>
      </c>
      <c r="R1032">
        <f t="shared" si="132"/>
        <v>2.3972109537269727E-2</v>
      </c>
      <c r="S1032">
        <f t="array" ref="S1032">+$B$2*SIN(R1032*$B$3+$B$4)+0*R1032+ SUM($J$2:$J$20*SIN(2*PI()*N1032*$I$2:$I$20+$K$2:$K$20))</f>
        <v>0.3442033362921863</v>
      </c>
      <c r="U1032" s="3">
        <f t="shared" si="128"/>
        <v>1965.8333333332553</v>
      </c>
      <c r="V1032" s="3">
        <f t="shared" si="129"/>
        <v>0.69527799999999995</v>
      </c>
      <c r="Z1032" s="1">
        <v>1965.875</v>
      </c>
      <c r="AA1032" s="2">
        <f t="shared" si="133"/>
        <v>-0.30549999999999999</v>
      </c>
      <c r="AB1032">
        <v>-15.275</v>
      </c>
      <c r="AE1032">
        <v>1965.8333333332553</v>
      </c>
      <c r="AF1032">
        <v>0.3442033362921863</v>
      </c>
    </row>
    <row r="1033" spans="4:32" x14ac:dyDescent="0.35">
      <c r="D1033">
        <v>-0.23066800000000001</v>
      </c>
      <c r="M1033">
        <f t="shared" si="134"/>
        <v>1032</v>
      </c>
      <c r="N1033">
        <f t="shared" si="135"/>
        <v>1965.9166666665885</v>
      </c>
      <c r="O1033">
        <f t="shared" si="130"/>
        <v>0</v>
      </c>
      <c r="P1033">
        <f t="array" ref="P1033">+SUM($G$2:$G$18*SIN(2*PI()*(N1033)*$B$1/$F$2:$F$18+$H$2:$H$18))</f>
        <v>0.13808931437069841</v>
      </c>
      <c r="Q1033">
        <f t="shared" si="131"/>
        <v>0</v>
      </c>
      <c r="R1033">
        <f t="shared" si="132"/>
        <v>2.3935237054406089E-2</v>
      </c>
      <c r="S1033">
        <f t="array" ref="S1033">+$B$2*SIN(R1033*$B$3+$B$4)+0*R1033+ SUM($J$2:$J$20*SIN(2*PI()*N1033*$I$2:$I$20+$K$2:$K$20))</f>
        <v>0.34884071410248951</v>
      </c>
      <c r="U1033" s="3">
        <f t="shared" si="128"/>
        <v>1965.9166666665885</v>
      </c>
      <c r="V1033" s="3">
        <f t="shared" si="129"/>
        <v>0.50202999999999998</v>
      </c>
      <c r="Z1033" s="1">
        <v>1965.9583</v>
      </c>
      <c r="AA1033" s="2">
        <f t="shared" si="133"/>
        <v>-0.13109999999999999</v>
      </c>
      <c r="AB1033">
        <v>-6.5549999999999997</v>
      </c>
      <c r="AE1033">
        <v>1965.9166666665885</v>
      </c>
      <c r="AF1033">
        <v>0.34884071410248951</v>
      </c>
    </row>
    <row r="1034" spans="4:32" x14ac:dyDescent="0.35">
      <c r="D1034">
        <v>-0.30549999999999999</v>
      </c>
      <c r="M1034">
        <f t="shared" si="134"/>
        <v>1033</v>
      </c>
      <c r="N1034">
        <f t="shared" si="135"/>
        <v>1965.9999999999218</v>
      </c>
      <c r="O1034">
        <f t="shared" si="130"/>
        <v>36.637715116165623</v>
      </c>
      <c r="P1034">
        <f t="array" ref="P1034">+SUM($G$2:$G$18*SIN(2*PI()*(N1034)*$B$1/$F$2:$F$18+$H$2:$H$18))</f>
        <v>-0.2887941732252674</v>
      </c>
      <c r="Q1034">
        <f t="shared" si="131"/>
        <v>-10.580758645835934</v>
      </c>
      <c r="R1034">
        <f t="shared" si="132"/>
        <v>7.6237233403926193E-3</v>
      </c>
      <c r="S1034">
        <f t="array" ref="S1034">+$B$2*SIN(R1034*$B$3+$B$4)+0*R1034+ SUM($J$2:$J$20*SIN(2*PI()*N1034*$I$2:$I$20+$K$2:$K$20))</f>
        <v>-0.30024966849177565</v>
      </c>
      <c r="U1034" s="3">
        <f t="shared" si="128"/>
        <v>1965.9999999999218</v>
      </c>
      <c r="V1034" s="3">
        <f t="shared" si="129"/>
        <v>0.59647799999999995</v>
      </c>
      <c r="Z1034" s="1">
        <v>1966.0417</v>
      </c>
      <c r="AA1034" s="2">
        <f t="shared" si="133"/>
        <v>0.11867800000000001</v>
      </c>
      <c r="AB1034">
        <v>5.9339000000000004</v>
      </c>
      <c r="AE1034">
        <v>1965.9999999999218</v>
      </c>
      <c r="AF1034">
        <v>-0.30024966849177565</v>
      </c>
    </row>
    <row r="1035" spans="4:32" x14ac:dyDescent="0.35">
      <c r="D1035">
        <v>-0.13109999999999999</v>
      </c>
      <c r="M1035">
        <f t="shared" si="134"/>
        <v>1034</v>
      </c>
      <c r="N1035">
        <f t="shared" si="135"/>
        <v>1966.083333333255</v>
      </c>
      <c r="O1035">
        <f t="shared" si="130"/>
        <v>0</v>
      </c>
      <c r="P1035">
        <f t="array" ref="P1035">+SUM($G$2:$G$18*SIN(2*PI()*(N1035)*$B$1/$F$2:$F$18+$H$2:$H$18))</f>
        <v>-0.56258087727174577</v>
      </c>
      <c r="Q1035">
        <f t="shared" si="131"/>
        <v>0</v>
      </c>
      <c r="R1035">
        <f t="shared" si="132"/>
        <v>7.6119969794818821E-3</v>
      </c>
      <c r="S1035">
        <f t="array" ref="S1035">+$B$2*SIN(R1035*$B$3+$B$4)+0*R1035+ SUM($J$2:$J$20*SIN(2*PI()*N1035*$I$2:$I$20+$K$2:$K$20))</f>
        <v>-0.30177236358970622</v>
      </c>
      <c r="U1035" s="3">
        <f t="shared" si="128"/>
        <v>1966.083333333255</v>
      </c>
      <c r="V1035" s="3">
        <f t="shared" si="129"/>
        <v>0.58477000000000001</v>
      </c>
      <c r="Z1035" s="1">
        <v>1966.125</v>
      </c>
      <c r="AA1035" s="2">
        <f t="shared" si="133"/>
        <v>9.307399999999999E-2</v>
      </c>
      <c r="AB1035">
        <v>4.6536999999999997</v>
      </c>
      <c r="AE1035">
        <v>1966.083333333255</v>
      </c>
      <c r="AF1035">
        <v>-0.30177236358970622</v>
      </c>
    </row>
    <row r="1036" spans="4:32" x14ac:dyDescent="0.35">
      <c r="D1036">
        <v>0.11867800000000001</v>
      </c>
      <c r="M1036">
        <f t="shared" si="134"/>
        <v>1035</v>
      </c>
      <c r="N1036">
        <f t="shared" si="135"/>
        <v>1966.1666666665883</v>
      </c>
      <c r="O1036">
        <f t="shared" si="130"/>
        <v>0</v>
      </c>
      <c r="P1036">
        <f t="array" ref="P1036">+SUM($G$2:$G$18*SIN(2*PI()*(N1036)*$B$1/$F$2:$F$18+$H$2:$H$18))</f>
        <v>-0.40880375164129623</v>
      </c>
      <c r="Q1036">
        <f t="shared" si="131"/>
        <v>0</v>
      </c>
      <c r="R1036">
        <f t="shared" si="132"/>
        <v>7.6002886553668252E-3</v>
      </c>
      <c r="S1036">
        <f t="array" ref="S1036">+$B$2*SIN(R1036*$B$3+$B$4)+0*R1036+ SUM($J$2:$J$20*SIN(2*PI()*N1036*$I$2:$I$20+$K$2:$K$20))</f>
        <v>-0.30329125001888535</v>
      </c>
      <c r="U1036" s="3">
        <f t="shared" si="128"/>
        <v>1966.1666666665883</v>
      </c>
      <c r="V1036" s="3">
        <f t="shared" si="129"/>
        <v>0.56075000000000008</v>
      </c>
      <c r="Z1036" s="1">
        <v>1966.2083</v>
      </c>
      <c r="AA1036" s="2">
        <f t="shared" si="133"/>
        <v>0.165932</v>
      </c>
      <c r="AB1036">
        <v>8.2965999999999998</v>
      </c>
      <c r="AE1036">
        <v>1966.1666666665883</v>
      </c>
      <c r="AF1036">
        <v>-0.30329125001888535</v>
      </c>
    </row>
    <row r="1037" spans="4:32" x14ac:dyDescent="0.35">
      <c r="D1037">
        <v>9.307399999999999E-2</v>
      </c>
      <c r="M1037">
        <f t="shared" si="134"/>
        <v>1036</v>
      </c>
      <c r="N1037">
        <f t="shared" si="135"/>
        <v>1966.2499999999216</v>
      </c>
      <c r="O1037">
        <f t="shared" si="130"/>
        <v>0</v>
      </c>
      <c r="P1037">
        <f t="array" ref="P1037">+SUM($G$2:$G$18*SIN(2*PI()*(N1037)*$B$1/$F$2:$F$18+$H$2:$H$18))</f>
        <v>-0.20526295260250216</v>
      </c>
      <c r="Q1037">
        <f t="shared" si="131"/>
        <v>0</v>
      </c>
      <c r="R1037">
        <f t="shared" si="132"/>
        <v>7.5885983403043136E-3</v>
      </c>
      <c r="S1037">
        <f t="array" ref="S1037">+$B$2*SIN(R1037*$B$3+$B$4)+0*R1037+ SUM($J$2:$J$20*SIN(2*PI()*N1037*$I$2:$I$20+$K$2:$K$20))</f>
        <v>-0.30480633078682801</v>
      </c>
      <c r="U1037" s="3">
        <f t="shared" si="128"/>
        <v>1966.2499999999216</v>
      </c>
      <c r="V1037" s="3">
        <f t="shared" si="129"/>
        <v>0.46134799999999998</v>
      </c>
      <c r="Z1037" s="1">
        <v>1966.2917</v>
      </c>
      <c r="AA1037" s="2">
        <f t="shared" si="133"/>
        <v>0.24185999999999999</v>
      </c>
      <c r="AB1037">
        <v>12.093</v>
      </c>
      <c r="AE1037">
        <v>1966.2499999999216</v>
      </c>
      <c r="AF1037">
        <v>-0.30480633078682801</v>
      </c>
    </row>
    <row r="1038" spans="4:32" x14ac:dyDescent="0.35">
      <c r="D1038">
        <v>0.165932</v>
      </c>
      <c r="M1038">
        <f t="shared" si="134"/>
        <v>1037</v>
      </c>
      <c r="N1038">
        <f t="shared" si="135"/>
        <v>1966.3333333332548</v>
      </c>
      <c r="O1038">
        <f t="shared" si="130"/>
        <v>0</v>
      </c>
      <c r="P1038">
        <f t="array" ref="P1038">+SUM($G$2:$G$18*SIN(2*PI()*(N1038)*$B$1/$F$2:$F$18+$H$2:$H$18))</f>
        <v>-3.0146734143257886E-2</v>
      </c>
      <c r="Q1038">
        <f t="shared" si="131"/>
        <v>0</v>
      </c>
      <c r="R1038">
        <f t="shared" si="132"/>
        <v>7.5769260065938872E-3</v>
      </c>
      <c r="S1038">
        <f t="array" ref="S1038">+$B$2*SIN(R1038*$B$3+$B$4)+0*R1038+ SUM($J$2:$J$20*SIN(2*PI()*N1038*$I$2:$I$20+$K$2:$K$20))</f>
        <v>-0.30631760894618726</v>
      </c>
      <c r="U1038" s="3">
        <f t="shared" si="128"/>
        <v>1966.3333333332548</v>
      </c>
      <c r="V1038" s="3">
        <f t="shared" si="129"/>
        <v>2.3481999999999999E-2</v>
      </c>
      <c r="Z1038" s="1">
        <v>1966.375</v>
      </c>
      <c r="AA1038" s="2">
        <f t="shared" si="133"/>
        <v>0.17163799999999999</v>
      </c>
      <c r="AB1038">
        <v>8.5818999999999992</v>
      </c>
      <c r="AE1038">
        <v>1966.3333333332548</v>
      </c>
      <c r="AF1038">
        <v>-0.30631760894618726</v>
      </c>
    </row>
    <row r="1039" spans="4:32" x14ac:dyDescent="0.35">
      <c r="D1039">
        <v>0.24185999999999999</v>
      </c>
      <c r="M1039">
        <f t="shared" si="134"/>
        <v>1038</v>
      </c>
      <c r="N1039">
        <f t="shared" si="135"/>
        <v>1966.4166666665881</v>
      </c>
      <c r="O1039">
        <f t="shared" si="130"/>
        <v>0</v>
      </c>
      <c r="P1039">
        <f t="array" ref="P1039">+SUM($G$2:$G$18*SIN(2*PI()*(N1039)*$B$1/$F$2:$F$18+$H$2:$H$18))</f>
        <v>0.10681642024019564</v>
      </c>
      <c r="Q1039">
        <f t="shared" si="131"/>
        <v>0</v>
      </c>
      <c r="R1039">
        <f t="shared" si="132"/>
        <v>7.5652716265776927E-3</v>
      </c>
      <c r="S1039">
        <f t="array" ref="S1039">+$B$2*SIN(R1039*$B$3+$B$4)+0*R1039+ SUM($J$2:$J$20*SIN(2*PI()*N1039*$I$2:$I$20+$K$2:$K$20))</f>
        <v>-0.30782508759433547</v>
      </c>
      <c r="U1039" s="3">
        <f t="shared" si="128"/>
        <v>1966.4166666665881</v>
      </c>
      <c r="V1039" s="3">
        <f t="shared" si="129"/>
        <v>-0.21438600000000002</v>
      </c>
      <c r="Z1039" s="1">
        <v>1966.4583</v>
      </c>
      <c r="AA1039" s="2">
        <f t="shared" si="133"/>
        <v>-4.7815999999999997E-2</v>
      </c>
      <c r="AB1039">
        <v>-2.3908</v>
      </c>
      <c r="AE1039">
        <v>1966.4166666665881</v>
      </c>
      <c r="AF1039">
        <v>-0.30782508759433547</v>
      </c>
    </row>
    <row r="1040" spans="4:32" x14ac:dyDescent="0.35">
      <c r="D1040">
        <v>0.17163799999999999</v>
      </c>
      <c r="M1040">
        <f t="shared" si="134"/>
        <v>1039</v>
      </c>
      <c r="N1040">
        <f t="shared" si="135"/>
        <v>1966.4999999999213</v>
      </c>
      <c r="O1040">
        <f t="shared" si="130"/>
        <v>0</v>
      </c>
      <c r="P1040">
        <f t="array" ref="P1040">+SUM($G$2:$G$18*SIN(2*PI()*(N1040)*$B$1/$F$2:$F$18+$H$2:$H$18))</f>
        <v>9.7165041717815939E-2</v>
      </c>
      <c r="Q1040">
        <f t="shared" si="131"/>
        <v>0</v>
      </c>
      <c r="R1040">
        <f t="shared" si="132"/>
        <v>7.553635172640418E-3</v>
      </c>
      <c r="S1040">
        <f t="array" ref="S1040">+$B$2*SIN(R1040*$B$3+$B$4)+0*R1040+ SUM($J$2:$J$20*SIN(2*PI()*N1040*$I$2:$I$20+$K$2:$K$20))</f>
        <v>-0.30932876987294639</v>
      </c>
      <c r="U1040" s="3">
        <f t="shared" si="128"/>
        <v>1966.4999999999213</v>
      </c>
      <c r="V1040" s="3">
        <f t="shared" si="129"/>
        <v>-0.31379200000000002</v>
      </c>
      <c r="Z1040" s="1">
        <v>1966.5417</v>
      </c>
      <c r="AA1040" s="2">
        <f t="shared" si="133"/>
        <v>9.7339999999999996E-2</v>
      </c>
      <c r="AB1040">
        <v>4.867</v>
      </c>
      <c r="AE1040">
        <v>1966.4999999999213</v>
      </c>
      <c r="AF1040">
        <v>-0.30932876987294639</v>
      </c>
    </row>
    <row r="1041" spans="4:32" x14ac:dyDescent="0.35">
      <c r="D1041">
        <v>-4.7815999999999997E-2</v>
      </c>
      <c r="M1041">
        <f t="shared" si="134"/>
        <v>1040</v>
      </c>
      <c r="N1041">
        <f t="shared" si="135"/>
        <v>1966.5833333332546</v>
      </c>
      <c r="O1041">
        <f t="shared" si="130"/>
        <v>0</v>
      </c>
      <c r="P1041">
        <f t="array" ref="P1041">+SUM($G$2:$G$18*SIN(2*PI()*(N1041)*$B$1/$F$2:$F$18+$H$2:$H$18))</f>
        <v>0.12224495941041172</v>
      </c>
      <c r="Q1041">
        <f t="shared" si="131"/>
        <v>0</v>
      </c>
      <c r="R1041">
        <f t="shared" si="132"/>
        <v>7.5420166172092268E-3</v>
      </c>
      <c r="S1041">
        <f t="array" ref="S1041">+$B$2*SIN(R1041*$B$3+$B$4)+0*R1041+ SUM($J$2:$J$20*SIN(2*PI()*N1041*$I$2:$I$20+$K$2:$K$20))</f>
        <v>-0.31082865896758088</v>
      </c>
      <c r="U1041" s="3">
        <f t="shared" si="128"/>
        <v>1966.5833333332546</v>
      </c>
      <c r="V1041" s="3">
        <f t="shared" si="129"/>
        <v>-0.397814</v>
      </c>
      <c r="Z1041" s="1">
        <v>1966.625</v>
      </c>
      <c r="AA1041" s="2">
        <f t="shared" si="133"/>
        <v>-3.7502000000000001E-2</v>
      </c>
      <c r="AB1041">
        <v>-1.8751</v>
      </c>
      <c r="AE1041">
        <v>1966.5833333332546</v>
      </c>
      <c r="AF1041">
        <v>-0.31082865896758088</v>
      </c>
    </row>
    <row r="1042" spans="4:32" x14ac:dyDescent="0.35">
      <c r="D1042">
        <v>9.7339999999999996E-2</v>
      </c>
      <c r="M1042">
        <f t="shared" si="134"/>
        <v>1041</v>
      </c>
      <c r="N1042">
        <f t="shared" si="135"/>
        <v>1966.6666666665878</v>
      </c>
      <c r="O1042">
        <f t="shared" si="130"/>
        <v>0</v>
      </c>
      <c r="P1042">
        <f t="array" ref="P1042">+SUM($G$2:$G$18*SIN(2*PI()*(N1042)*$B$1/$F$2:$F$18+$H$2:$H$18))</f>
        <v>-9.2546794020733E-2</v>
      </c>
      <c r="Q1042">
        <f t="shared" si="131"/>
        <v>0</v>
      </c>
      <c r="R1042">
        <f t="shared" si="132"/>
        <v>7.530415932753695E-3</v>
      </c>
      <c r="S1042">
        <f t="array" ref="S1042">+$B$2*SIN(R1042*$B$3+$B$4)+0*R1042+ SUM($J$2:$J$20*SIN(2*PI()*N1042*$I$2:$I$20+$K$2:$K$20))</f>
        <v>-0.31232475810727345</v>
      </c>
      <c r="U1042" s="3">
        <f t="shared" si="128"/>
        <v>1966.6666666665878</v>
      </c>
      <c r="V1042" s="3">
        <f t="shared" si="129"/>
        <v>-0.42030200000000001</v>
      </c>
      <c r="Z1042" s="1">
        <v>1966.7083</v>
      </c>
      <c r="AA1042" s="2">
        <f t="shared" si="133"/>
        <v>0.20304200000000003</v>
      </c>
      <c r="AB1042">
        <v>10.152100000000001</v>
      </c>
      <c r="AE1042">
        <v>1966.6666666665878</v>
      </c>
      <c r="AF1042">
        <v>-0.31232475810727345</v>
      </c>
    </row>
    <row r="1043" spans="4:32" x14ac:dyDescent="0.35">
      <c r="D1043">
        <v>-3.7502000000000001E-2</v>
      </c>
      <c r="M1043">
        <f t="shared" si="134"/>
        <v>1042</v>
      </c>
      <c r="N1043">
        <f t="shared" si="135"/>
        <v>1966.7499999999211</v>
      </c>
      <c r="O1043">
        <f t="shared" si="130"/>
        <v>0</v>
      </c>
      <c r="P1043">
        <f t="array" ref="P1043">+SUM($G$2:$G$18*SIN(2*PI()*(N1043)*$B$1/$F$2:$F$18+$H$2:$H$18))</f>
        <v>-0.71471563731973908</v>
      </c>
      <c r="Q1043">
        <f t="shared" si="131"/>
        <v>0</v>
      </c>
      <c r="R1043">
        <f t="shared" si="132"/>
        <v>7.518833091785743E-3</v>
      </c>
      <c r="S1043">
        <f t="array" ref="S1043">+$B$2*SIN(R1043*$B$3+$B$4)+0*R1043+ SUM($J$2:$J$20*SIN(2*PI()*N1043*$I$2:$I$20+$K$2:$K$20))</f>
        <v>-0.31381707056412311</v>
      </c>
      <c r="U1043" s="3">
        <f t="shared" si="128"/>
        <v>1966.7499999999211</v>
      </c>
      <c r="V1043" s="3">
        <f t="shared" si="129"/>
        <v>-0.59509599999999996</v>
      </c>
      <c r="Z1043" s="1">
        <v>1966.7917</v>
      </c>
      <c r="AA1043" s="2">
        <f t="shared" si="133"/>
        <v>0.31127199999999999</v>
      </c>
      <c r="AB1043">
        <v>15.563599999999999</v>
      </c>
      <c r="AE1043">
        <v>1966.7499999999211</v>
      </c>
      <c r="AF1043">
        <v>-0.31381707056412311</v>
      </c>
    </row>
    <row r="1044" spans="4:32" x14ac:dyDescent="0.35">
      <c r="D1044">
        <v>0.20304200000000003</v>
      </c>
      <c r="M1044">
        <f t="shared" si="134"/>
        <v>1043</v>
      </c>
      <c r="N1044">
        <f t="shared" si="135"/>
        <v>1966.8333333332544</v>
      </c>
      <c r="O1044">
        <f t="shared" si="130"/>
        <v>0</v>
      </c>
      <c r="P1044">
        <f t="array" ref="P1044">+SUM($G$2:$G$18*SIN(2*PI()*(N1044)*$B$1/$F$2:$F$18+$H$2:$H$18))</f>
        <v>-0.88890939800112945</v>
      </c>
      <c r="Q1044">
        <f t="shared" si="131"/>
        <v>0</v>
      </c>
      <c r="R1044">
        <f t="shared" si="132"/>
        <v>7.5072680668595718E-3</v>
      </c>
      <c r="S1044">
        <f t="array" ref="S1044">+$B$2*SIN(R1044*$B$3+$B$4)+0*R1044+ SUM($J$2:$J$20*SIN(2*PI()*N1044*$I$2:$I$20+$K$2:$K$20))</f>
        <v>-0.31530559965288535</v>
      </c>
      <c r="U1044" s="3">
        <f t="shared" si="128"/>
        <v>1966.8333333332544</v>
      </c>
      <c r="V1044" s="3">
        <f t="shared" si="129"/>
        <v>-0.72527600000000003</v>
      </c>
      <c r="Z1044" s="1">
        <v>1966.875</v>
      </c>
      <c r="AA1044" s="2">
        <f t="shared" si="133"/>
        <v>0.25335000000000002</v>
      </c>
      <c r="AB1044">
        <v>12.6675</v>
      </c>
      <c r="AE1044">
        <v>1966.8333333332544</v>
      </c>
      <c r="AF1044">
        <v>-0.31530559965288535</v>
      </c>
    </row>
    <row r="1045" spans="4:32" x14ac:dyDescent="0.35">
      <c r="D1045">
        <v>0.31127199999999999</v>
      </c>
      <c r="M1045">
        <f t="shared" si="134"/>
        <v>1044</v>
      </c>
      <c r="N1045">
        <f t="shared" si="135"/>
        <v>1966.9166666665876</v>
      </c>
      <c r="O1045">
        <f t="shared" si="130"/>
        <v>0</v>
      </c>
      <c r="P1045">
        <f t="array" ref="P1045">+SUM($G$2:$G$18*SIN(2*PI()*(N1045)*$B$1/$F$2:$F$18+$H$2:$H$18))</f>
        <v>-0.36567968755106794</v>
      </c>
      <c r="Q1045">
        <f t="shared" si="131"/>
        <v>0</v>
      </c>
      <c r="R1045">
        <f t="shared" si="132"/>
        <v>7.4957208305715993E-3</v>
      </c>
      <c r="S1045">
        <f t="array" ref="S1045">+$B$2*SIN(R1045*$B$3+$B$4)+0*R1045+ SUM($J$2:$J$20*SIN(2*PI()*N1045*$I$2:$I$20+$K$2:$K$20))</f>
        <v>-0.31679034873056577</v>
      </c>
      <c r="U1045" s="3">
        <f t="shared" si="128"/>
        <v>1966.9166666665876</v>
      </c>
      <c r="V1045" s="3">
        <f t="shared" si="129"/>
        <v>-1.007768</v>
      </c>
      <c r="Z1045" s="1">
        <v>1966.9583</v>
      </c>
      <c r="AA1045" s="2">
        <f t="shared" si="133"/>
        <v>0.41388800000000003</v>
      </c>
      <c r="AB1045">
        <v>20.694400000000002</v>
      </c>
      <c r="AE1045">
        <v>1966.9166666665876</v>
      </c>
      <c r="AF1045">
        <v>-0.31679034873056577</v>
      </c>
    </row>
    <row r="1046" spans="4:32" x14ac:dyDescent="0.35">
      <c r="D1046">
        <v>0.25335000000000002</v>
      </c>
      <c r="M1046">
        <f t="shared" si="134"/>
        <v>1045</v>
      </c>
      <c r="N1046">
        <f t="shared" si="135"/>
        <v>1966.9999999999209</v>
      </c>
      <c r="O1046">
        <f t="shared" si="130"/>
        <v>36.637715116165623</v>
      </c>
      <c r="P1046">
        <f t="array" ref="P1046">+SUM($G$2:$G$18*SIN(2*PI()*(N1046)*$B$1/$F$2:$F$18+$H$2:$H$18))</f>
        <v>6.1970189441838887E-2</v>
      </c>
      <c r="Q1046">
        <f t="shared" si="131"/>
        <v>2.2704461464649079</v>
      </c>
      <c r="R1046">
        <f t="shared" si="132"/>
        <v>1.0976457503359611E-2</v>
      </c>
      <c r="S1046">
        <f t="array" ref="S1046">+$B$2*SIN(R1046*$B$3+$B$4)+0*R1046+ SUM($J$2:$J$20*SIN(2*PI()*N1046*$I$2:$I$20+$K$2:$K$20))</f>
        <v>0.16480447656040742</v>
      </c>
      <c r="U1046" s="3">
        <f t="shared" si="128"/>
        <v>1966.9999999999209</v>
      </c>
      <c r="V1046" s="3">
        <f t="shared" si="129"/>
        <v>-0.96718000000000004</v>
      </c>
      <c r="Z1046" s="1">
        <v>1967.0417</v>
      </c>
      <c r="AA1046" s="2">
        <f t="shared" si="133"/>
        <v>0.48980800000000002</v>
      </c>
      <c r="AB1046">
        <v>24.490400000000001</v>
      </c>
      <c r="AE1046">
        <v>1966.9999999999209</v>
      </c>
      <c r="AF1046">
        <v>0.16480447656040742</v>
      </c>
    </row>
    <row r="1047" spans="4:32" x14ac:dyDescent="0.35">
      <c r="D1047">
        <v>0.41388800000000003</v>
      </c>
      <c r="M1047">
        <f t="shared" si="134"/>
        <v>1046</v>
      </c>
      <c r="N1047">
        <f t="shared" si="135"/>
        <v>1967.0833333332541</v>
      </c>
      <c r="O1047">
        <f t="shared" si="130"/>
        <v>0</v>
      </c>
      <c r="P1047">
        <f t="array" ref="P1047">+SUM($G$2:$G$18*SIN(2*PI()*(N1047)*$B$1/$F$2:$F$18+$H$2:$H$18))</f>
        <v>7.2598158919819078E-2</v>
      </c>
      <c r="Q1047">
        <f t="shared" si="131"/>
        <v>0</v>
      </c>
      <c r="R1047">
        <f t="shared" si="132"/>
        <v>1.0959574164804578E-2</v>
      </c>
      <c r="S1047">
        <f t="array" ref="S1047">+$B$2*SIN(R1047*$B$3+$B$4)+0*R1047+ SUM($J$2:$J$20*SIN(2*PI()*N1047*$I$2:$I$20+$K$2:$K$20))</f>
        <v>0.16246976462239651</v>
      </c>
      <c r="U1047" s="3">
        <f t="shared" si="128"/>
        <v>1967.0833333332541</v>
      </c>
      <c r="V1047" s="3">
        <f t="shared" si="129"/>
        <v>-0.9358240000000001</v>
      </c>
      <c r="Z1047" s="1">
        <v>1967.125</v>
      </c>
      <c r="AA1047" s="2">
        <f t="shared" si="133"/>
        <v>0.43803600000000004</v>
      </c>
      <c r="AB1047">
        <v>21.901800000000001</v>
      </c>
      <c r="AE1047">
        <v>1967.0833333332541</v>
      </c>
      <c r="AF1047">
        <v>0.16246976462239651</v>
      </c>
    </row>
    <row r="1048" spans="4:32" x14ac:dyDescent="0.35">
      <c r="D1048">
        <v>0.48980800000000002</v>
      </c>
      <c r="M1048">
        <f t="shared" si="134"/>
        <v>1047</v>
      </c>
      <c r="N1048">
        <f t="shared" si="135"/>
        <v>1967.1666666665874</v>
      </c>
      <c r="O1048">
        <f t="shared" si="130"/>
        <v>0</v>
      </c>
      <c r="P1048">
        <f t="array" ref="P1048">+SUM($G$2:$G$18*SIN(2*PI()*(N1048)*$B$1/$F$2:$F$18+$H$2:$H$18))</f>
        <v>-0.1236061415811246</v>
      </c>
      <c r="Q1048">
        <f t="shared" si="131"/>
        <v>0</v>
      </c>
      <c r="R1048">
        <f t="shared" si="132"/>
        <v>1.0942716795203615E-2</v>
      </c>
      <c r="S1048">
        <f t="array" ref="S1048">+$B$2*SIN(R1048*$B$3+$B$4)+0*R1048+ SUM($J$2:$J$20*SIN(2*PI()*N1048*$I$2:$I$20+$K$2:$K$20))</f>
        <v>0.16013700704425574</v>
      </c>
      <c r="U1048" s="3">
        <f t="shared" si="128"/>
        <v>1967.1666666665874</v>
      </c>
      <c r="V1048" s="3">
        <f t="shared" si="129"/>
        <v>-0.99370400000000003</v>
      </c>
      <c r="Z1048" s="1">
        <v>1967.2083</v>
      </c>
      <c r="AA1048" s="2">
        <f t="shared" si="133"/>
        <v>0.43703400000000003</v>
      </c>
      <c r="AB1048">
        <v>21.851700000000001</v>
      </c>
      <c r="AE1048">
        <v>1967.1666666665874</v>
      </c>
      <c r="AF1048">
        <v>0.16013700704425574</v>
      </c>
    </row>
    <row r="1049" spans="4:32" x14ac:dyDescent="0.35">
      <c r="D1049">
        <v>0.43803600000000004</v>
      </c>
      <c r="M1049">
        <f t="shared" si="134"/>
        <v>1048</v>
      </c>
      <c r="N1049">
        <f t="shared" si="135"/>
        <v>1967.2499999999206</v>
      </c>
      <c r="O1049">
        <f t="shared" si="130"/>
        <v>0</v>
      </c>
      <c r="P1049">
        <f t="array" ref="P1049">+SUM($G$2:$G$18*SIN(2*PI()*(N1049)*$B$1/$F$2:$F$18+$H$2:$H$18))</f>
        <v>-0.1523536743483867</v>
      </c>
      <c r="Q1049">
        <f t="shared" si="131"/>
        <v>0</v>
      </c>
      <c r="R1049">
        <f t="shared" si="132"/>
        <v>1.0925885354612811E-2</v>
      </c>
      <c r="S1049">
        <f t="array" ref="S1049">+$B$2*SIN(R1049*$B$3+$B$4)+0*R1049+ SUM($J$2:$J$20*SIN(2*PI()*N1049*$I$2:$I$20+$K$2:$K$20))</f>
        <v>0.15780622927946203</v>
      </c>
      <c r="U1049" s="3">
        <f t="shared" si="128"/>
        <v>1967.2499999999206</v>
      </c>
      <c r="V1049" s="3">
        <f t="shared" si="129"/>
        <v>-0.77619600000000011</v>
      </c>
      <c r="Z1049" s="1">
        <v>1967.2917</v>
      </c>
      <c r="AA1049" s="2">
        <f t="shared" si="133"/>
        <v>0.27602599999999999</v>
      </c>
      <c r="AB1049">
        <v>13.801299999999999</v>
      </c>
      <c r="AE1049">
        <v>1967.2499999999206</v>
      </c>
      <c r="AF1049">
        <v>0.15780622927946203</v>
      </c>
    </row>
    <row r="1050" spans="4:32" x14ac:dyDescent="0.35">
      <c r="D1050">
        <v>0.43703400000000003</v>
      </c>
      <c r="M1050">
        <f t="shared" si="134"/>
        <v>1049</v>
      </c>
      <c r="N1050">
        <f t="shared" si="135"/>
        <v>1967.3333333332539</v>
      </c>
      <c r="O1050">
        <f t="shared" si="130"/>
        <v>0</v>
      </c>
      <c r="P1050">
        <f t="array" ref="P1050">+SUM($G$2:$G$18*SIN(2*PI()*(N1050)*$B$1/$F$2:$F$18+$H$2:$H$18))</f>
        <v>5.716674983646973E-2</v>
      </c>
      <c r="Q1050">
        <f t="shared" si="131"/>
        <v>0</v>
      </c>
      <c r="R1050">
        <f t="shared" si="132"/>
        <v>1.0909079803149695E-2</v>
      </c>
      <c r="S1050">
        <f t="array" ref="S1050">+$B$2*SIN(R1050*$B$3+$B$4)+0*R1050+ SUM($J$2:$J$20*SIN(2*PI()*N1050*$I$2:$I$20+$K$2:$K$20))</f>
        <v>0.15547745656301934</v>
      </c>
      <c r="U1050" s="3">
        <f t="shared" si="128"/>
        <v>1967.3333333332539</v>
      </c>
      <c r="V1050" s="3">
        <f t="shared" si="129"/>
        <v>-0.94484399999999991</v>
      </c>
      <c r="Z1050" s="1">
        <v>1967.375</v>
      </c>
      <c r="AA1050" s="2">
        <f t="shared" si="133"/>
        <v>0.238098</v>
      </c>
      <c r="AB1050">
        <v>11.9049</v>
      </c>
      <c r="AE1050">
        <v>1967.3333333332539</v>
      </c>
      <c r="AF1050">
        <v>0.15547745656301934</v>
      </c>
    </row>
    <row r="1051" spans="4:32" x14ac:dyDescent="0.35">
      <c r="D1051">
        <v>0.27602599999999999</v>
      </c>
      <c r="M1051">
        <f t="shared" si="134"/>
        <v>1050</v>
      </c>
      <c r="N1051">
        <f t="shared" si="135"/>
        <v>1967.4166666665872</v>
      </c>
      <c r="O1051">
        <f t="shared" si="130"/>
        <v>0</v>
      </c>
      <c r="P1051">
        <f t="array" ref="P1051">+SUM($G$2:$G$18*SIN(2*PI()*(N1051)*$B$1/$F$2:$F$18+$H$2:$H$18))</f>
        <v>-0.20093869887587068</v>
      </c>
      <c r="Q1051">
        <f t="shared" si="131"/>
        <v>0</v>
      </c>
      <c r="R1051">
        <f t="shared" si="132"/>
        <v>1.089230010099314E-2</v>
      </c>
      <c r="S1051">
        <f t="array" ref="S1051">+$B$2*SIN(R1051*$B$3+$B$4)+0*R1051+ SUM($J$2:$J$20*SIN(2*PI()*N1051*$I$2:$I$20+$K$2:$K$20))</f>
        <v>0.1531507139124384</v>
      </c>
      <c r="U1051" s="3">
        <f t="shared" si="128"/>
        <v>1967.4166666665872</v>
      </c>
      <c r="V1051" s="3">
        <f t="shared" si="129"/>
        <v>-1.0088820000000001</v>
      </c>
      <c r="Z1051" s="1">
        <v>1967.4583</v>
      </c>
      <c r="AA1051" s="2">
        <f t="shared" si="133"/>
        <v>0.61863000000000001</v>
      </c>
      <c r="AB1051">
        <v>30.9315</v>
      </c>
      <c r="AE1051">
        <v>1967.4166666665872</v>
      </c>
      <c r="AF1051">
        <v>0.1531507139124384</v>
      </c>
    </row>
    <row r="1052" spans="4:32" x14ac:dyDescent="0.35">
      <c r="D1052">
        <v>0.238098</v>
      </c>
      <c r="M1052">
        <f t="shared" si="134"/>
        <v>1051</v>
      </c>
      <c r="N1052">
        <f t="shared" si="135"/>
        <v>1967.4999999999204</v>
      </c>
      <c r="O1052">
        <f t="shared" si="130"/>
        <v>0</v>
      </c>
      <c r="P1052">
        <f t="array" ref="P1052">+SUM($G$2:$G$18*SIN(2*PI()*(N1052)*$B$1/$F$2:$F$18+$H$2:$H$18))</f>
        <v>-0.85427455297305255</v>
      </c>
      <c r="Q1052">
        <f t="shared" si="131"/>
        <v>0</v>
      </c>
      <c r="R1052">
        <f t="shared" si="132"/>
        <v>1.0875546208383269E-2</v>
      </c>
      <c r="S1052">
        <f t="array" ref="S1052">+$B$2*SIN(R1052*$B$3+$B$4)+0*R1052+ SUM($J$2:$J$20*SIN(2*PI()*N1052*$I$2:$I$20+$K$2:$K$20))</f>
        <v>0.15082602612871551</v>
      </c>
      <c r="U1052" s="3">
        <f t="shared" si="128"/>
        <v>1967.4999999999204</v>
      </c>
      <c r="V1052" s="3">
        <f t="shared" si="129"/>
        <v>-0.75753200000000009</v>
      </c>
      <c r="Z1052" s="1">
        <v>1967.5417</v>
      </c>
      <c r="AA1052" s="2">
        <f t="shared" si="133"/>
        <v>0.93608000000000002</v>
      </c>
      <c r="AB1052">
        <v>46.804000000000002</v>
      </c>
      <c r="AE1052">
        <v>1967.4999999999204</v>
      </c>
      <c r="AF1052">
        <v>0.15082602612871551</v>
      </c>
    </row>
    <row r="1053" spans="4:32" x14ac:dyDescent="0.35">
      <c r="D1053">
        <v>0.61863000000000001</v>
      </c>
      <c r="M1053">
        <f t="shared" si="134"/>
        <v>1052</v>
      </c>
      <c r="N1053">
        <f t="shared" si="135"/>
        <v>1967.5833333332537</v>
      </c>
      <c r="O1053">
        <f t="shared" si="130"/>
        <v>0</v>
      </c>
      <c r="P1053">
        <f t="array" ref="P1053">+SUM($G$2:$G$18*SIN(2*PI()*(N1053)*$B$1/$F$2:$F$18+$H$2:$H$18))</f>
        <v>-0.744612917954521</v>
      </c>
      <c r="Q1053">
        <f t="shared" si="131"/>
        <v>0</v>
      </c>
      <c r="R1053">
        <f t="shared" si="132"/>
        <v>1.0858818085621362E-2</v>
      </c>
      <c r="S1053">
        <f t="array" ref="S1053">+$B$2*SIN(R1053*$B$3+$B$4)+0*R1053+ SUM($J$2:$J$20*SIN(2*PI()*N1053*$I$2:$I$20+$K$2:$K$20))</f>
        <v>0.14850341779730838</v>
      </c>
      <c r="U1053" s="3">
        <f t="shared" si="128"/>
        <v>1967.5833333332537</v>
      </c>
      <c r="V1053" s="3">
        <f t="shared" si="129"/>
        <v>-0.57695200000000002</v>
      </c>
      <c r="Z1053" s="1">
        <v>1967.625</v>
      </c>
      <c r="AA1053" s="2">
        <f t="shared" si="133"/>
        <v>1.015072</v>
      </c>
      <c r="AB1053">
        <v>50.753599999999999</v>
      </c>
      <c r="AE1053">
        <v>1967.5833333332537</v>
      </c>
      <c r="AF1053">
        <v>0.14850341779730838</v>
      </c>
    </row>
    <row r="1054" spans="4:32" x14ac:dyDescent="0.35">
      <c r="D1054">
        <v>0.93608000000000002</v>
      </c>
      <c r="M1054">
        <f t="shared" si="134"/>
        <v>1053</v>
      </c>
      <c r="N1054">
        <f t="shared" si="135"/>
        <v>1967.6666666665869</v>
      </c>
      <c r="O1054">
        <f t="shared" si="130"/>
        <v>0</v>
      </c>
      <c r="P1054">
        <f t="array" ref="P1054">+SUM($G$2:$G$18*SIN(2*PI()*(N1054)*$B$1/$F$2:$F$18+$H$2:$H$18))</f>
        <v>6.1886078422350763E-2</v>
      </c>
      <c r="Q1054">
        <f t="shared" si="131"/>
        <v>0</v>
      </c>
      <c r="R1054">
        <f t="shared" si="132"/>
        <v>1.0842115693069762E-2</v>
      </c>
      <c r="S1054">
        <f t="array" ref="S1054">+$B$2*SIN(R1054*$B$3+$B$4)+0*R1054+ SUM($J$2:$J$20*SIN(2*PI()*N1054*$I$2:$I$20+$K$2:$K$20))</f>
        <v>0.14618291328911676</v>
      </c>
      <c r="U1054" s="3">
        <f t="shared" si="128"/>
        <v>1967.6666666665869</v>
      </c>
      <c r="V1054" s="3">
        <f t="shared" si="129"/>
        <v>-0.33022199999999996</v>
      </c>
      <c r="Z1054" s="1">
        <v>1967.7083</v>
      </c>
      <c r="AA1054" s="2">
        <f t="shared" si="133"/>
        <v>1.201754</v>
      </c>
      <c r="AB1054">
        <v>60.087699999999998</v>
      </c>
      <c r="AE1054">
        <v>1967.6666666665869</v>
      </c>
      <c r="AF1054">
        <v>0.14618291328911676</v>
      </c>
    </row>
    <row r="1055" spans="4:32" x14ac:dyDescent="0.35">
      <c r="D1055">
        <v>1.015072</v>
      </c>
      <c r="M1055">
        <f t="shared" si="134"/>
        <v>1054</v>
      </c>
      <c r="N1055">
        <f t="shared" si="135"/>
        <v>1967.7499999999202</v>
      </c>
      <c r="O1055">
        <f t="shared" si="130"/>
        <v>0</v>
      </c>
      <c r="P1055">
        <f t="array" ref="P1055">+SUM($G$2:$G$18*SIN(2*PI()*(N1055)*$B$1/$F$2:$F$18+$H$2:$H$18))</f>
        <v>0.46779561069035697</v>
      </c>
      <c r="Q1055">
        <f t="shared" si="131"/>
        <v>0</v>
      </c>
      <c r="R1055">
        <f t="shared" si="132"/>
        <v>1.0825438991151778E-2</v>
      </c>
      <c r="S1055">
        <f t="array" ref="S1055">+$B$2*SIN(R1055*$B$3+$B$4)+0*R1055+ SUM($J$2:$J$20*SIN(2*PI()*N1055*$I$2:$I$20+$K$2:$K$20))</f>
        <v>0.14386453676145686</v>
      </c>
      <c r="U1055" s="3">
        <f t="shared" si="128"/>
        <v>1967.7499999999202</v>
      </c>
      <c r="V1055" s="3">
        <f t="shared" si="129"/>
        <v>-0.231184</v>
      </c>
      <c r="Z1055" s="1">
        <v>1967.7917</v>
      </c>
      <c r="AA1055" s="2">
        <f t="shared" si="133"/>
        <v>1.1099699999999999</v>
      </c>
      <c r="AB1055">
        <v>55.4985</v>
      </c>
      <c r="AE1055">
        <v>1967.7499999999202</v>
      </c>
      <c r="AF1055">
        <v>0.14386453676145686</v>
      </c>
    </row>
    <row r="1056" spans="4:32" x14ac:dyDescent="0.35">
      <c r="D1056">
        <v>1.201754</v>
      </c>
      <c r="M1056">
        <f t="shared" si="134"/>
        <v>1055</v>
      </c>
      <c r="N1056">
        <f t="shared" si="135"/>
        <v>1967.8333333332534</v>
      </c>
      <c r="O1056">
        <f t="shared" si="130"/>
        <v>0</v>
      </c>
      <c r="P1056">
        <f t="array" ref="P1056">+SUM($G$2:$G$18*SIN(2*PI()*(N1056)*$B$1/$F$2:$F$18+$H$2:$H$18))</f>
        <v>0.21385171173663525</v>
      </c>
      <c r="Q1056">
        <f t="shared" si="131"/>
        <v>0</v>
      </c>
      <c r="R1056">
        <f t="shared" si="132"/>
        <v>1.0808787940351597E-2</v>
      </c>
      <c r="S1056">
        <f t="array" ref="S1056">+$B$2*SIN(R1056*$B$3+$B$4)+0*R1056+ SUM($J$2:$J$20*SIN(2*PI()*N1056*$I$2:$I$20+$K$2:$K$20))</f>
        <v>0.14154831215904162</v>
      </c>
      <c r="U1056" s="3">
        <f t="shared" si="128"/>
        <v>1967.8333333332534</v>
      </c>
      <c r="V1056" s="3">
        <f t="shared" si="129"/>
        <v>-0.13214600000000001</v>
      </c>
      <c r="Z1056" s="1">
        <v>1967.875</v>
      </c>
      <c r="AA1056" s="2">
        <f t="shared" si="133"/>
        <v>1.00742</v>
      </c>
      <c r="AB1056">
        <v>50.371000000000002</v>
      </c>
      <c r="AE1056">
        <v>1967.8333333332534</v>
      </c>
      <c r="AF1056">
        <v>0.14154831215904162</v>
      </c>
    </row>
    <row r="1057" spans="4:32" x14ac:dyDescent="0.35">
      <c r="D1057">
        <v>1.1099699999999999</v>
      </c>
      <c r="M1057">
        <f t="shared" si="134"/>
        <v>1056</v>
      </c>
      <c r="N1057">
        <f t="shared" si="135"/>
        <v>1967.9166666665867</v>
      </c>
      <c r="O1057">
        <f t="shared" si="130"/>
        <v>0</v>
      </c>
      <c r="P1057">
        <f t="array" ref="P1057">+SUM($G$2:$G$18*SIN(2*PI()*(N1057)*$B$1/$F$2:$F$18+$H$2:$H$18))</f>
        <v>-0.16984780051649012</v>
      </c>
      <c r="Q1057">
        <f t="shared" si="131"/>
        <v>0</v>
      </c>
      <c r="R1057">
        <f t="shared" si="132"/>
        <v>1.0792162501214182E-2</v>
      </c>
      <c r="S1057">
        <f t="array" ref="S1057">+$B$2*SIN(R1057*$B$3+$B$4)+0*R1057+ SUM($J$2:$J$20*SIN(2*PI()*N1057*$I$2:$I$20+$K$2:$K$20))</f>
        <v>0.13923426321495386</v>
      </c>
      <c r="U1057" s="3">
        <f t="shared" si="128"/>
        <v>1967.9166666665867</v>
      </c>
      <c r="V1057" s="3">
        <f t="shared" si="129"/>
        <v>-1.9266000000000002E-2</v>
      </c>
      <c r="Z1057" s="1">
        <v>1967.9583</v>
      </c>
      <c r="AA1057" s="2">
        <f t="shared" si="133"/>
        <v>0.86332999999999993</v>
      </c>
      <c r="AB1057">
        <v>43.166499999999999</v>
      </c>
      <c r="AE1057">
        <v>1967.9166666665867</v>
      </c>
      <c r="AF1057">
        <v>0.13923426321495386</v>
      </c>
    </row>
    <row r="1058" spans="4:32" x14ac:dyDescent="0.35">
      <c r="D1058">
        <v>1.00742</v>
      </c>
      <c r="M1058">
        <f t="shared" si="134"/>
        <v>1057</v>
      </c>
      <c r="N1058">
        <f t="shared" si="135"/>
        <v>1967.99999999992</v>
      </c>
      <c r="O1058">
        <f t="shared" si="130"/>
        <v>36.637715116165623</v>
      </c>
      <c r="P1058">
        <f t="array" ref="P1058">+SUM($G$2:$G$18*SIN(2*PI()*(N1058)*$B$1/$F$2:$F$18+$H$2:$H$18))</f>
        <v>-8.6743642370189916E-2</v>
      </c>
      <c r="Q1058">
        <f t="shared" si="131"/>
        <v>-3.1780888572975718</v>
      </c>
      <c r="R1058">
        <f t="shared" si="132"/>
        <v>5.8872140829739203E-3</v>
      </c>
      <c r="S1058">
        <f t="array" ref="S1058">+$B$2*SIN(R1058*$B$3+$B$4)+0*R1058+ SUM($J$2:$J$20*SIN(2*PI()*N1058*$I$2:$I$20+$K$2:$K$20))</f>
        <v>-0.50595896345043201</v>
      </c>
      <c r="U1058" s="3">
        <f t="shared" si="128"/>
        <v>1967.99999999992</v>
      </c>
      <c r="V1058" s="3">
        <f t="shared" si="129"/>
        <v>-2.3199999999999997E-4</v>
      </c>
      <c r="Z1058" s="1">
        <v>1968.0417</v>
      </c>
      <c r="AA1058" s="2">
        <f t="shared" si="133"/>
        <v>0.95462000000000002</v>
      </c>
      <c r="AB1058">
        <v>47.731000000000002</v>
      </c>
      <c r="AE1058">
        <v>1967.99999999992</v>
      </c>
      <c r="AF1058">
        <v>-0.50595896345043201</v>
      </c>
    </row>
    <row r="1059" spans="4:32" x14ac:dyDescent="0.35">
      <c r="D1059">
        <v>0.86332999999999993</v>
      </c>
      <c r="M1059">
        <f t="shared" si="134"/>
        <v>1058</v>
      </c>
      <c r="N1059">
        <f t="shared" si="135"/>
        <v>1968.0833333332532</v>
      </c>
      <c r="O1059">
        <f t="shared" si="130"/>
        <v>0</v>
      </c>
      <c r="P1059">
        <f t="array" ref="P1059">+SUM($G$2:$G$18*SIN(2*PI()*(N1059)*$B$1/$F$2:$F$18+$H$2:$H$18))</f>
        <v>0.21904130750145709</v>
      </c>
      <c r="Q1059">
        <f t="shared" si="131"/>
        <v>0</v>
      </c>
      <c r="R1059">
        <f t="shared" si="132"/>
        <v>5.8781587180277714E-3</v>
      </c>
      <c r="S1059">
        <f t="array" ref="S1059">+$B$2*SIN(R1059*$B$3+$B$4)+0*R1059+ SUM($J$2:$J$20*SIN(2*PI()*N1059*$I$2:$I$20+$K$2:$K$20))</f>
        <v>-0.50690809283522398</v>
      </c>
      <c r="U1059" s="3">
        <f t="shared" si="128"/>
        <v>1968.0833333332532</v>
      </c>
      <c r="V1059" s="3">
        <f t="shared" si="129"/>
        <v>1.8799999999999999E-3</v>
      </c>
      <c r="Z1059" s="1">
        <v>1968.125</v>
      </c>
      <c r="AA1059" s="2">
        <f t="shared" si="133"/>
        <v>0.81822000000000006</v>
      </c>
      <c r="AB1059">
        <v>40.911000000000001</v>
      </c>
      <c r="AE1059">
        <v>1968.0833333332532</v>
      </c>
      <c r="AF1059">
        <v>-0.50690809283522398</v>
      </c>
    </row>
    <row r="1060" spans="4:32" x14ac:dyDescent="0.35">
      <c r="D1060">
        <v>0.95462000000000002</v>
      </c>
      <c r="M1060">
        <f t="shared" si="134"/>
        <v>1059</v>
      </c>
      <c r="N1060">
        <f t="shared" si="135"/>
        <v>1968.1666666665865</v>
      </c>
      <c r="O1060">
        <f t="shared" si="130"/>
        <v>0</v>
      </c>
      <c r="P1060">
        <f t="array" ref="P1060">+SUM($G$2:$G$18*SIN(2*PI()*(N1060)*$B$1/$F$2:$F$18+$H$2:$H$18))</f>
        <v>-0.13502650512905681</v>
      </c>
      <c r="Q1060">
        <f t="shared" si="131"/>
        <v>0</v>
      </c>
      <c r="R1060">
        <f t="shared" si="132"/>
        <v>5.8691172815090852E-3</v>
      </c>
      <c r="S1060">
        <f t="array" ref="S1060">+$B$2*SIN(R1060*$B$3+$B$4)+0*R1060+ SUM($J$2:$J$20*SIN(2*PI()*N1060*$I$2:$I$20+$K$2:$K$20))</f>
        <v>-0.50785429328889453</v>
      </c>
      <c r="U1060" s="3">
        <f t="shared" si="128"/>
        <v>1968.1666666665865</v>
      </c>
      <c r="V1060" s="3">
        <f t="shared" si="129"/>
        <v>-3.4476E-2</v>
      </c>
      <c r="Z1060" s="1">
        <v>1968.2083</v>
      </c>
      <c r="AA1060" s="2">
        <f t="shared" si="133"/>
        <v>0.64797199999999999</v>
      </c>
      <c r="AB1060">
        <v>32.398600000000002</v>
      </c>
      <c r="AE1060">
        <v>1968.1666666665865</v>
      </c>
      <c r="AF1060">
        <v>-0.50785429328889453</v>
      </c>
    </row>
    <row r="1061" spans="4:32" x14ac:dyDescent="0.35">
      <c r="D1061">
        <v>0.81822000000000006</v>
      </c>
      <c r="M1061">
        <f t="shared" si="134"/>
        <v>1060</v>
      </c>
      <c r="N1061">
        <f t="shared" si="135"/>
        <v>1968.2499999999197</v>
      </c>
      <c r="O1061">
        <f t="shared" si="130"/>
        <v>0</v>
      </c>
      <c r="P1061">
        <f t="array" ref="P1061">+SUM($G$2:$G$18*SIN(2*PI()*(N1061)*$B$1/$F$2:$F$18+$H$2:$H$18))</f>
        <v>-0.66567150790320073</v>
      </c>
      <c r="Q1061">
        <f t="shared" si="131"/>
        <v>0</v>
      </c>
      <c r="R1061">
        <f t="shared" si="132"/>
        <v>5.8600897519939764E-3</v>
      </c>
      <c r="S1061">
        <f t="array" ref="S1061">+$B$2*SIN(R1061*$B$3+$B$4)+0*R1061+ SUM($J$2:$J$20*SIN(2*PI()*N1061*$I$2:$I$20+$K$2:$K$20))</f>
        <v>-0.5087975710985484</v>
      </c>
      <c r="U1061" s="3">
        <f t="shared" si="128"/>
        <v>1968.2499999999197</v>
      </c>
      <c r="V1061" s="3">
        <f t="shared" si="129"/>
        <v>0.19994199999999998</v>
      </c>
      <c r="Z1061" s="1">
        <v>1968.2917</v>
      </c>
      <c r="AA1061" s="2">
        <f t="shared" si="133"/>
        <v>0.51771999999999996</v>
      </c>
      <c r="AB1061">
        <v>25.885999999999999</v>
      </c>
      <c r="AE1061">
        <v>1968.2499999999197</v>
      </c>
      <c r="AF1061">
        <v>-0.5087975710985484</v>
      </c>
    </row>
    <row r="1062" spans="4:32" x14ac:dyDescent="0.35">
      <c r="D1062">
        <v>0.64797199999999999</v>
      </c>
      <c r="M1062">
        <f t="shared" si="134"/>
        <v>1061</v>
      </c>
      <c r="N1062">
        <f t="shared" si="135"/>
        <v>1968.333333333253</v>
      </c>
      <c r="O1062">
        <f t="shared" si="130"/>
        <v>0</v>
      </c>
      <c r="P1062">
        <f t="array" ref="P1062">+SUM($G$2:$G$18*SIN(2*PI()*(N1062)*$B$1/$F$2:$F$18+$H$2:$H$18))</f>
        <v>-0.20880463729823984</v>
      </c>
      <c r="Q1062">
        <f t="shared" si="131"/>
        <v>0</v>
      </c>
      <c r="R1062">
        <f t="shared" si="132"/>
        <v>5.8510761080915134E-3</v>
      </c>
      <c r="S1062">
        <f t="array" ref="S1062">+$B$2*SIN(R1062*$B$3+$B$4)+0*R1062+ SUM($J$2:$J$20*SIN(2*PI()*N1062*$I$2:$I$20+$K$2:$K$20))</f>
        <v>-0.50973793255296218</v>
      </c>
      <c r="U1062" s="3">
        <f t="shared" si="128"/>
        <v>1968.333333333253</v>
      </c>
      <c r="V1062" s="3">
        <f t="shared" si="129"/>
        <v>-9.3336000000000002E-2</v>
      </c>
      <c r="Z1062" s="1">
        <v>1968.375</v>
      </c>
      <c r="AA1062" s="2">
        <f t="shared" si="133"/>
        <v>0.67362600000000006</v>
      </c>
      <c r="AB1062">
        <v>33.6813</v>
      </c>
      <c r="AE1062">
        <v>1968.333333333253</v>
      </c>
      <c r="AF1062">
        <v>-0.50973793255296218</v>
      </c>
    </row>
    <row r="1063" spans="4:32" x14ac:dyDescent="0.35">
      <c r="D1063">
        <v>0.51771999999999996</v>
      </c>
      <c r="M1063">
        <f t="shared" si="134"/>
        <v>1062</v>
      </c>
      <c r="N1063">
        <f t="shared" si="135"/>
        <v>1968.4166666665863</v>
      </c>
      <c r="O1063">
        <f t="shared" si="130"/>
        <v>0</v>
      </c>
      <c r="P1063">
        <f t="array" ref="P1063">+SUM($G$2:$G$18*SIN(2*PI()*(N1063)*$B$1/$F$2:$F$18+$H$2:$H$18))</f>
        <v>0.68457785349067879</v>
      </c>
      <c r="Q1063">
        <f t="shared" si="131"/>
        <v>0</v>
      </c>
      <c r="R1063">
        <f t="shared" si="132"/>
        <v>5.842076328443668E-3</v>
      </c>
      <c r="S1063">
        <f t="array" ref="S1063">+$B$2*SIN(R1063*$B$3+$B$4)+0*R1063+ SUM($J$2:$J$20*SIN(2*PI()*N1063*$I$2:$I$20+$K$2:$K$20))</f>
        <v>-0.51067538394245315</v>
      </c>
      <c r="U1063" s="3">
        <f t="shared" si="128"/>
        <v>1968.4166666665863</v>
      </c>
      <c r="V1063" s="3">
        <f t="shared" si="129"/>
        <v>4.2613999999999999E-2</v>
      </c>
      <c r="Z1063" s="1">
        <v>1968.4583</v>
      </c>
      <c r="AA1063" s="2">
        <f t="shared" si="133"/>
        <v>0.44799</v>
      </c>
      <c r="AB1063">
        <v>22.3995</v>
      </c>
      <c r="AE1063">
        <v>1968.4166666665863</v>
      </c>
      <c r="AF1063">
        <v>-0.51067538394245315</v>
      </c>
    </row>
    <row r="1064" spans="4:32" x14ac:dyDescent="0.35">
      <c r="D1064">
        <v>0.67362600000000006</v>
      </c>
      <c r="M1064">
        <f t="shared" si="134"/>
        <v>1063</v>
      </c>
      <c r="N1064">
        <f t="shared" si="135"/>
        <v>1968.4999999999195</v>
      </c>
      <c r="O1064">
        <f t="shared" si="130"/>
        <v>0</v>
      </c>
      <c r="P1064">
        <f t="array" ref="P1064">+SUM($G$2:$G$18*SIN(2*PI()*(N1064)*$B$1/$F$2:$F$18+$H$2:$H$18))</f>
        <v>0.84580294609903828</v>
      </c>
      <c r="Q1064">
        <f t="shared" si="131"/>
        <v>0</v>
      </c>
      <c r="R1064">
        <f t="shared" si="132"/>
        <v>5.8330903917252616E-3</v>
      </c>
      <c r="S1064">
        <f t="array" ref="S1064">+$B$2*SIN(R1064*$B$3+$B$4)+0*R1064+ SUM($J$2:$J$20*SIN(2*PI()*N1064*$I$2:$I$20+$K$2:$K$20))</f>
        <v>-0.51160993155874579</v>
      </c>
      <c r="U1064" s="3">
        <f t="shared" si="128"/>
        <v>1968.4999999999195</v>
      </c>
      <c r="V1064" s="3">
        <f t="shared" si="129"/>
        <v>0.18933599999999998</v>
      </c>
      <c r="Z1064" s="1">
        <v>1968.5417</v>
      </c>
      <c r="AA1064" s="2">
        <f t="shared" si="133"/>
        <v>-0.13611200000000001</v>
      </c>
      <c r="AB1064">
        <v>-6.8056000000000001</v>
      </c>
      <c r="AE1064">
        <v>1968.4999999999195</v>
      </c>
      <c r="AF1064">
        <v>-0.51160993155874579</v>
      </c>
    </row>
    <row r="1065" spans="4:32" x14ac:dyDescent="0.35">
      <c r="D1065">
        <v>0.44799</v>
      </c>
      <c r="M1065">
        <f t="shared" si="134"/>
        <v>1064</v>
      </c>
      <c r="N1065">
        <f t="shared" si="135"/>
        <v>1968.5833333332528</v>
      </c>
      <c r="O1065">
        <f t="shared" si="130"/>
        <v>0</v>
      </c>
      <c r="P1065">
        <f t="array" ref="P1065">+SUM($G$2:$G$18*SIN(2*PI()*(N1065)*$B$1/$F$2:$F$18+$H$2:$H$18))</f>
        <v>0.31585273050363161</v>
      </c>
      <c r="Q1065">
        <f t="shared" si="131"/>
        <v>0</v>
      </c>
      <c r="R1065">
        <f t="shared" si="132"/>
        <v>5.8241182766439184E-3</v>
      </c>
      <c r="S1065">
        <f t="array" ref="S1065">+$B$2*SIN(R1065*$B$3+$B$4)+0*R1065+ SUM($J$2:$J$20*SIN(2*PI()*N1065*$I$2:$I$20+$K$2:$K$20))</f>
        <v>-0.51254158169484221</v>
      </c>
      <c r="U1065" s="3">
        <f t="shared" si="128"/>
        <v>1968.5833333332528</v>
      </c>
      <c r="V1065" s="3">
        <f t="shared" si="129"/>
        <v>0.15451599999999999</v>
      </c>
      <c r="Z1065" s="1">
        <v>1968.625</v>
      </c>
      <c r="AA1065" s="2">
        <f t="shared" si="133"/>
        <v>-0.40021000000000001</v>
      </c>
      <c r="AB1065">
        <v>-20.0105</v>
      </c>
      <c r="AE1065">
        <v>1968.5833333332528</v>
      </c>
      <c r="AF1065">
        <v>-0.51254158169484221</v>
      </c>
    </row>
    <row r="1066" spans="4:32" x14ac:dyDescent="0.35">
      <c r="D1066">
        <v>-0.13611200000000001</v>
      </c>
      <c r="M1066">
        <f t="shared" si="134"/>
        <v>1065</v>
      </c>
      <c r="N1066">
        <f t="shared" si="135"/>
        <v>1968.666666666586</v>
      </c>
      <c r="O1066">
        <f t="shared" si="130"/>
        <v>0</v>
      </c>
      <c r="P1066">
        <f t="array" ref="P1066">+SUM($G$2:$G$18*SIN(2*PI()*(N1066)*$B$1/$F$2:$F$18+$H$2:$H$18))</f>
        <v>-9.9747428709737657E-2</v>
      </c>
      <c r="Q1066">
        <f t="shared" si="131"/>
        <v>0</v>
      </c>
      <c r="R1066">
        <f t="shared" si="132"/>
        <v>5.8151599619400132E-3</v>
      </c>
      <c r="S1066">
        <f t="array" ref="S1066">+$B$2*SIN(R1066*$B$3+$B$4)+0*R1066+ SUM($J$2:$J$20*SIN(2*PI()*N1066*$I$2:$I$20+$K$2:$K$20))</f>
        <v>-0.51347034064489072</v>
      </c>
      <c r="U1066" s="3">
        <f t="shared" si="128"/>
        <v>1968.666666666586</v>
      </c>
      <c r="V1066" s="3">
        <f t="shared" si="129"/>
        <v>0.32738599999999995</v>
      </c>
      <c r="Z1066" s="1">
        <v>1968.7083</v>
      </c>
      <c r="AA1066" s="2">
        <f t="shared" si="133"/>
        <v>-0.83661799999999997</v>
      </c>
      <c r="AB1066">
        <v>-41.8309</v>
      </c>
      <c r="AE1066">
        <v>1968.666666666586</v>
      </c>
      <c r="AF1066">
        <v>-0.51347034064489072</v>
      </c>
    </row>
    <row r="1067" spans="4:32" x14ac:dyDescent="0.35">
      <c r="D1067">
        <v>-0.40021000000000001</v>
      </c>
      <c r="M1067">
        <f t="shared" si="134"/>
        <v>1066</v>
      </c>
      <c r="N1067">
        <f t="shared" si="135"/>
        <v>1968.7499999999193</v>
      </c>
      <c r="O1067">
        <f t="shared" si="130"/>
        <v>0</v>
      </c>
      <c r="P1067">
        <f t="array" ref="P1067">+SUM($G$2:$G$18*SIN(2*PI()*(N1067)*$B$1/$F$2:$F$18+$H$2:$H$18))</f>
        <v>0.14873977672111729</v>
      </c>
      <c r="Q1067">
        <f t="shared" si="131"/>
        <v>0</v>
      </c>
      <c r="R1067">
        <f t="shared" si="132"/>
        <v>5.8062154263866196E-3</v>
      </c>
      <c r="S1067">
        <f t="array" ref="S1067">+$B$2*SIN(R1067*$B$3+$B$4)+0*R1067+ SUM($J$2:$J$20*SIN(2*PI()*N1067*$I$2:$I$20+$K$2:$K$20))</f>
        <v>-0.51439621470405894</v>
      </c>
      <c r="U1067" s="3">
        <f t="shared" si="128"/>
        <v>1968.7499999999193</v>
      </c>
      <c r="V1067" s="3">
        <f t="shared" si="129"/>
        <v>0.30025800000000002</v>
      </c>
      <c r="Z1067" s="1">
        <v>1968.7917</v>
      </c>
      <c r="AA1067" s="2">
        <f t="shared" si="133"/>
        <v>-1.0191840000000001</v>
      </c>
      <c r="AB1067">
        <v>-50.959200000000003</v>
      </c>
      <c r="AE1067">
        <v>1968.7499999999193</v>
      </c>
      <c r="AF1067">
        <v>-0.51439621470405894</v>
      </c>
    </row>
    <row r="1068" spans="4:32" x14ac:dyDescent="0.35">
      <c r="D1068">
        <v>-0.83661799999999997</v>
      </c>
      <c r="M1068">
        <f t="shared" si="134"/>
        <v>1067</v>
      </c>
      <c r="N1068">
        <f t="shared" si="135"/>
        <v>1968.8333333332525</v>
      </c>
      <c r="O1068">
        <f t="shared" si="130"/>
        <v>0</v>
      </c>
      <c r="P1068">
        <f t="array" ref="P1068">+SUM($G$2:$G$18*SIN(2*PI()*(N1068)*$B$1/$F$2:$F$18+$H$2:$H$18))</f>
        <v>0.44191726681576554</v>
      </c>
      <c r="Q1068">
        <f t="shared" si="131"/>
        <v>0</v>
      </c>
      <c r="R1068">
        <f t="shared" si="132"/>
        <v>5.7972846487894629E-3</v>
      </c>
      <c r="S1068">
        <f t="array" ref="S1068">+$B$2*SIN(R1068*$B$3+$B$4)+0*R1068+ SUM($J$2:$J$20*SIN(2*PI()*N1068*$I$2:$I$20+$K$2:$K$20))</f>
        <v>-0.51531921016840443</v>
      </c>
      <c r="U1068" s="3">
        <f t="shared" si="128"/>
        <v>1968.8333333332525</v>
      </c>
      <c r="V1068" s="3">
        <f t="shared" si="129"/>
        <v>0.23928199999999999</v>
      </c>
      <c r="Z1068" s="1">
        <v>1968.875</v>
      </c>
      <c r="AA1068" s="2">
        <f t="shared" si="133"/>
        <v>-1.1232880000000001</v>
      </c>
      <c r="AB1068">
        <v>-56.164400000000001</v>
      </c>
      <c r="AE1068">
        <v>1968.8333333332525</v>
      </c>
      <c r="AF1068">
        <v>-0.51531921016840443</v>
      </c>
    </row>
    <row r="1069" spans="4:32" x14ac:dyDescent="0.35">
      <c r="D1069">
        <v>-1.0191840000000001</v>
      </c>
      <c r="M1069">
        <f t="shared" si="134"/>
        <v>1068</v>
      </c>
      <c r="N1069">
        <f t="shared" si="135"/>
        <v>1968.9166666665858</v>
      </c>
      <c r="O1069">
        <f t="shared" si="130"/>
        <v>0</v>
      </c>
      <c r="P1069">
        <f t="array" ref="P1069">+SUM($G$2:$G$18*SIN(2*PI()*(N1069)*$B$1/$F$2:$F$18+$H$2:$H$18))</f>
        <v>-2.3068137046066466E-2</v>
      </c>
      <c r="Q1069">
        <f t="shared" si="131"/>
        <v>0</v>
      </c>
      <c r="R1069">
        <f t="shared" si="132"/>
        <v>5.7883676079868674E-3</v>
      </c>
      <c r="S1069">
        <f t="array" ref="S1069">+$B$2*SIN(R1069*$B$3+$B$4)+0*R1069+ SUM($J$2:$J$20*SIN(2*PI()*N1069*$I$2:$I$20+$K$2:$K$20))</f>
        <v>-0.51623933333474903</v>
      </c>
      <c r="U1069" s="3">
        <f t="shared" si="128"/>
        <v>1968.9166666665858</v>
      </c>
      <c r="V1069" s="3">
        <f t="shared" si="129"/>
        <v>8.2916000000000004E-2</v>
      </c>
      <c r="Z1069" s="1">
        <v>1968.9583</v>
      </c>
      <c r="AA1069" s="2">
        <f t="shared" si="133"/>
        <v>-1.11816</v>
      </c>
      <c r="AB1069">
        <v>-55.908000000000001</v>
      </c>
      <c r="AE1069">
        <v>1968.9166666665858</v>
      </c>
      <c r="AF1069">
        <v>-0.51623933333474903</v>
      </c>
    </row>
    <row r="1070" spans="4:32" x14ac:dyDescent="0.35">
      <c r="D1070">
        <v>-1.1232880000000001</v>
      </c>
      <c r="M1070">
        <f t="shared" si="134"/>
        <v>1069</v>
      </c>
      <c r="N1070">
        <f t="shared" si="135"/>
        <v>1968.9999999999191</v>
      </c>
      <c r="O1070">
        <f t="shared" si="130"/>
        <v>36.637715116165623</v>
      </c>
      <c r="P1070">
        <f t="array" ref="P1070">+SUM($G$2:$G$18*SIN(2*PI()*(N1070)*$B$1/$F$2:$F$18+$H$2:$H$18))</f>
        <v>-0.35248169464484058</v>
      </c>
      <c r="Q1070">
        <f t="shared" si="131"/>
        <v>-12.914123912060951</v>
      </c>
      <c r="R1070">
        <f t="shared" si="132"/>
        <v>-1.4084278284572573E-2</v>
      </c>
      <c r="S1070">
        <f t="array" ref="S1070">+$B$2*SIN(R1070*$B$3+$B$4)+0*R1070+ SUM($J$2:$J$20*SIN(2*PI()*N1070*$I$2:$I$20+$K$2:$K$20))</f>
        <v>0.73517789857042604</v>
      </c>
      <c r="U1070" s="3">
        <f t="shared" si="128"/>
        <v>1968.9999999999191</v>
      </c>
      <c r="V1070" s="3">
        <f t="shared" si="129"/>
        <v>0.15578400000000001</v>
      </c>
      <c r="Z1070" s="1">
        <v>1969.0417</v>
      </c>
      <c r="AA1070" s="2">
        <f t="shared" si="133"/>
        <v>-0.91303799999999991</v>
      </c>
      <c r="AB1070">
        <v>-45.651899999999998</v>
      </c>
      <c r="AE1070">
        <v>1968.9999999999191</v>
      </c>
      <c r="AF1070">
        <v>0.73517789857042604</v>
      </c>
    </row>
    <row r="1071" spans="4:32" x14ac:dyDescent="0.35">
      <c r="D1071">
        <v>-1.11816</v>
      </c>
      <c r="M1071">
        <f t="shared" si="134"/>
        <v>1070</v>
      </c>
      <c r="N1071">
        <f t="shared" si="135"/>
        <v>1969.0833333332523</v>
      </c>
      <c r="O1071">
        <f t="shared" si="130"/>
        <v>0</v>
      </c>
      <c r="P1071">
        <f t="array" ref="P1071">+SUM($G$2:$G$18*SIN(2*PI()*(N1071)*$B$1/$F$2:$F$18+$H$2:$H$18))</f>
        <v>0.3646070290261561</v>
      </c>
      <c r="Q1071">
        <f t="shared" si="131"/>
        <v>0</v>
      </c>
      <c r="R1071">
        <f t="shared" si="132"/>
        <v>-1.4062614679670083E-2</v>
      </c>
      <c r="S1071">
        <f t="array" ref="S1071">+$B$2*SIN(R1071*$B$3+$B$4)+0*R1071+ SUM($J$2:$J$20*SIN(2*PI()*N1071*$I$2:$I$20+$K$2:$K$20))</f>
        <v>0.73451283300955528</v>
      </c>
      <c r="U1071" s="3">
        <f t="shared" si="128"/>
        <v>1969.0833333332523</v>
      </c>
      <c r="V1071" s="3">
        <f t="shared" si="129"/>
        <v>3.3265999999999997E-2</v>
      </c>
      <c r="Z1071" s="1">
        <v>1969.125</v>
      </c>
      <c r="AA1071" s="2">
        <f t="shared" si="133"/>
        <v>-1.047914</v>
      </c>
      <c r="AB1071">
        <v>-52.395699999999998</v>
      </c>
      <c r="AE1071">
        <v>1969.0833333332523</v>
      </c>
      <c r="AF1071">
        <v>0.73451283300955528</v>
      </c>
    </row>
    <row r="1072" spans="4:32" x14ac:dyDescent="0.35">
      <c r="D1072">
        <v>-0.91303799999999991</v>
      </c>
      <c r="M1072">
        <f t="shared" si="134"/>
        <v>1071</v>
      </c>
      <c r="N1072">
        <f t="shared" si="135"/>
        <v>1969.1666666665856</v>
      </c>
      <c r="O1072">
        <f t="shared" si="130"/>
        <v>0</v>
      </c>
      <c r="P1072">
        <f t="array" ref="P1072">+SUM($G$2:$G$18*SIN(2*PI()*(N1072)*$B$1/$F$2:$F$18+$H$2:$H$18))</f>
        <v>1.1412463179066741</v>
      </c>
      <c r="Q1072">
        <f t="shared" si="131"/>
        <v>0</v>
      </c>
      <c r="R1072">
        <f t="shared" si="132"/>
        <v>-1.4040984396444991E-2</v>
      </c>
      <c r="S1072">
        <f t="array" ref="S1072">+$B$2*SIN(R1072*$B$3+$B$4)+0*R1072+ SUM($J$2:$J$20*SIN(2*PI()*N1072*$I$2:$I$20+$K$2:$K$20))</f>
        <v>0.73383660746577217</v>
      </c>
      <c r="U1072" s="3">
        <f t="shared" si="128"/>
        <v>1969.1666666665856</v>
      </c>
      <c r="V1072" s="3">
        <f t="shared" si="129"/>
        <v>-6.3102000000000005E-2</v>
      </c>
      <c r="Z1072" s="1">
        <v>1969.2083</v>
      </c>
      <c r="AA1072" s="2">
        <f t="shared" si="133"/>
        <v>-1.0027900000000001</v>
      </c>
      <c r="AB1072">
        <v>-50.139499999999998</v>
      </c>
      <c r="AE1072">
        <v>1969.1666666665856</v>
      </c>
      <c r="AF1072">
        <v>0.73383660746577217</v>
      </c>
    </row>
    <row r="1073" spans="4:32" x14ac:dyDescent="0.35">
      <c r="D1073">
        <v>-1.047914</v>
      </c>
      <c r="M1073">
        <f t="shared" si="134"/>
        <v>1072</v>
      </c>
      <c r="N1073">
        <f t="shared" si="135"/>
        <v>1969.2499999999188</v>
      </c>
      <c r="O1073">
        <f t="shared" si="130"/>
        <v>0</v>
      </c>
      <c r="P1073">
        <f t="array" ref="P1073">+SUM($G$2:$G$18*SIN(2*PI()*(N1073)*$B$1/$F$2:$F$18+$H$2:$H$18))</f>
        <v>0.97225848642205992</v>
      </c>
      <c r="Q1073">
        <f t="shared" si="131"/>
        <v>0</v>
      </c>
      <c r="R1073">
        <f t="shared" si="132"/>
        <v>-1.4019387383643859E-2</v>
      </c>
      <c r="S1073">
        <f t="array" ref="S1073">+$B$2*SIN(R1073*$B$3+$B$4)+0*R1073+ SUM($J$2:$J$20*SIN(2*PI()*N1073*$I$2:$I$20+$K$2:$K$20))</f>
        <v>0.7331492877356014</v>
      </c>
      <c r="U1073" s="3">
        <f t="shared" si="128"/>
        <v>1969.2499999999188</v>
      </c>
      <c r="V1073" s="3">
        <f t="shared" si="129"/>
        <v>-0.16408200000000001</v>
      </c>
      <c r="Z1073" s="1">
        <v>1969.2917</v>
      </c>
      <c r="AA1073" s="2">
        <f t="shared" si="133"/>
        <v>-0.89766999999999997</v>
      </c>
      <c r="AB1073">
        <v>-44.883499999999998</v>
      </c>
      <c r="AE1073">
        <v>1969.2499999999188</v>
      </c>
      <c r="AF1073">
        <v>0.7331492877356014</v>
      </c>
    </row>
    <row r="1074" spans="4:32" x14ac:dyDescent="0.35">
      <c r="D1074">
        <v>-1.0027900000000001</v>
      </c>
      <c r="M1074">
        <f t="shared" si="134"/>
        <v>1073</v>
      </c>
      <c r="N1074">
        <f t="shared" si="135"/>
        <v>1969.3333333332521</v>
      </c>
      <c r="O1074">
        <f t="shared" si="130"/>
        <v>0</v>
      </c>
      <c r="P1074">
        <f t="array" ref="P1074">+SUM($G$2:$G$18*SIN(2*PI()*(N1074)*$B$1/$F$2:$F$18+$H$2:$H$18))</f>
        <v>0.23680929256442163</v>
      </c>
      <c r="Q1074">
        <f t="shared" si="131"/>
        <v>0</v>
      </c>
      <c r="R1074">
        <f t="shared" si="132"/>
        <v>-1.3997823590092089E-2</v>
      </c>
      <c r="S1074">
        <f t="array" ref="S1074">+$B$2*SIN(R1074*$B$3+$B$4)+0*R1074+ SUM($J$2:$J$20*SIN(2*PI()*N1074*$I$2:$I$20+$K$2:$K$20))</f>
        <v>0.7324509395133878</v>
      </c>
      <c r="U1074" s="3">
        <f t="shared" si="128"/>
        <v>1969.3333333332521</v>
      </c>
      <c r="V1074" s="3">
        <f t="shared" si="129"/>
        <v>-0.37737399999999999</v>
      </c>
      <c r="Z1074" s="1">
        <v>1969.375</v>
      </c>
      <c r="AA1074" s="2">
        <f t="shared" si="133"/>
        <v>-0.654088</v>
      </c>
      <c r="AB1074">
        <v>-32.7044</v>
      </c>
      <c r="AE1074">
        <v>1969.3333333332521</v>
      </c>
      <c r="AF1074">
        <v>0.7324509395133878</v>
      </c>
    </row>
    <row r="1075" spans="4:32" x14ac:dyDescent="0.35">
      <c r="D1075">
        <v>-0.89766999999999997</v>
      </c>
      <c r="M1075">
        <f t="shared" si="134"/>
        <v>1074</v>
      </c>
      <c r="N1075">
        <f t="shared" si="135"/>
        <v>1969.4166666665853</v>
      </c>
      <c r="O1075">
        <f t="shared" si="130"/>
        <v>0</v>
      </c>
      <c r="P1075">
        <f t="array" ref="P1075">+SUM($G$2:$G$18*SIN(2*PI()*(N1075)*$B$1/$F$2:$F$18+$H$2:$H$18))</f>
        <v>-0.11873913426784283</v>
      </c>
      <c r="Q1075">
        <f t="shared" si="131"/>
        <v>0</v>
      </c>
      <c r="R1075">
        <f t="shared" si="132"/>
        <v>-1.3976292964693791E-2</v>
      </c>
      <c r="S1075">
        <f t="array" ref="S1075">+$B$2*SIN(R1075*$B$3+$B$4)+0*R1075+ SUM($J$2:$J$20*SIN(2*PI()*N1075*$I$2:$I$20+$K$2:$K$20))</f>
        <v>0.73174162838936008</v>
      </c>
      <c r="U1075" s="3">
        <f t="shared" si="128"/>
        <v>1969.4166666665853</v>
      </c>
      <c r="V1075" s="3">
        <f t="shared" si="129"/>
        <v>-0.23066800000000001</v>
      </c>
      <c r="Z1075" s="1">
        <v>1969.4583</v>
      </c>
      <c r="AA1075" s="2">
        <f t="shared" si="133"/>
        <v>-0.77358199999999999</v>
      </c>
      <c r="AB1075">
        <v>-38.679099999999998</v>
      </c>
      <c r="AE1075">
        <v>1969.4166666665853</v>
      </c>
      <c r="AF1075">
        <v>0.73174162838936008</v>
      </c>
    </row>
    <row r="1076" spans="4:32" x14ac:dyDescent="0.35">
      <c r="D1076">
        <v>-0.654088</v>
      </c>
      <c r="M1076">
        <f t="shared" si="134"/>
        <v>1075</v>
      </c>
      <c r="N1076">
        <f t="shared" si="135"/>
        <v>1969.4999999999186</v>
      </c>
      <c r="O1076">
        <f t="shared" si="130"/>
        <v>0</v>
      </c>
      <c r="P1076">
        <f t="array" ref="P1076">+SUM($G$2:$G$18*SIN(2*PI()*(N1076)*$B$1/$F$2:$F$18+$H$2:$H$18))</f>
        <v>0.27448317807417166</v>
      </c>
      <c r="Q1076">
        <f t="shared" si="131"/>
        <v>0</v>
      </c>
      <c r="R1076">
        <f t="shared" si="132"/>
        <v>-1.3954795456431673E-2</v>
      </c>
      <c r="S1076">
        <f t="array" ref="S1076">+$B$2*SIN(R1076*$B$3+$B$4)+0*R1076+ SUM($J$2:$J$20*SIN(2*PI()*N1076*$I$2:$I$20+$K$2:$K$20))</f>
        <v>0.73102141984771796</v>
      </c>
      <c r="U1076" s="3">
        <f t="shared" si="128"/>
        <v>1969.4999999999186</v>
      </c>
      <c r="V1076" s="3">
        <f t="shared" si="129"/>
        <v>-0.30549999999999999</v>
      </c>
      <c r="Z1076" s="1">
        <v>1969.5417</v>
      </c>
      <c r="AA1076" s="2">
        <f t="shared" si="133"/>
        <v>-0.87923599999999991</v>
      </c>
      <c r="AB1076">
        <v>-43.961799999999997</v>
      </c>
      <c r="AE1076">
        <v>1969.4999999999186</v>
      </c>
      <c r="AF1076">
        <v>0.73102141984771796</v>
      </c>
    </row>
    <row r="1077" spans="4:32" x14ac:dyDescent="0.35">
      <c r="D1077">
        <v>-0.77358199999999999</v>
      </c>
      <c r="M1077">
        <f t="shared" si="134"/>
        <v>1076</v>
      </c>
      <c r="N1077">
        <f t="shared" si="135"/>
        <v>1969.5833333332519</v>
      </c>
      <c r="O1077">
        <f t="shared" si="130"/>
        <v>0</v>
      </c>
      <c r="P1077">
        <f t="array" ref="P1077">+SUM($G$2:$G$18*SIN(2*PI()*(N1077)*$B$1/$F$2:$F$18+$H$2:$H$18))</f>
        <v>0.50021334121076477</v>
      </c>
      <c r="Q1077">
        <f t="shared" si="131"/>
        <v>0</v>
      </c>
      <c r="R1077">
        <f t="shared" si="132"/>
        <v>-1.3933331014366911E-2</v>
      </c>
      <c r="S1077">
        <f t="array" ref="S1077">+$B$2*SIN(R1077*$B$3+$B$4)+0*R1077+ SUM($J$2:$J$20*SIN(2*PI()*N1077*$I$2:$I$20+$K$2:$K$20))</f>
        <v>0.73029037926474583</v>
      </c>
      <c r="U1077" s="3">
        <f t="shared" si="128"/>
        <v>1969.5833333332519</v>
      </c>
      <c r="V1077" s="3">
        <f t="shared" si="129"/>
        <v>-0.13109999999999999</v>
      </c>
      <c r="Z1077" s="1">
        <v>1969.625</v>
      </c>
      <c r="AA1077" s="2">
        <f t="shared" si="133"/>
        <v>-0.74027199999999993</v>
      </c>
      <c r="AB1077">
        <v>-37.013599999999997</v>
      </c>
      <c r="AE1077">
        <v>1969.5833333332519</v>
      </c>
      <c r="AF1077">
        <v>0.73029037926474583</v>
      </c>
    </row>
    <row r="1078" spans="4:32" x14ac:dyDescent="0.35">
      <c r="D1078">
        <v>-0.87923599999999991</v>
      </c>
      <c r="M1078">
        <f t="shared" si="134"/>
        <v>1077</v>
      </c>
      <c r="N1078">
        <f t="shared" si="135"/>
        <v>1969.6666666665851</v>
      </c>
      <c r="O1078">
        <f t="shared" si="130"/>
        <v>0</v>
      </c>
      <c r="P1078">
        <f t="array" ref="P1078">+SUM($G$2:$G$18*SIN(2*PI()*(N1078)*$B$1/$F$2:$F$18+$H$2:$H$18))</f>
        <v>-3.2948386993645308E-2</v>
      </c>
      <c r="Q1078">
        <f t="shared" si="131"/>
        <v>0</v>
      </c>
      <c r="R1078">
        <f t="shared" si="132"/>
        <v>-1.3911899587639033E-2</v>
      </c>
      <c r="S1078">
        <f t="array" ref="S1078">+$B$2*SIN(R1078*$B$3+$B$4)+0*R1078+ SUM($J$2:$J$20*SIN(2*PI()*N1078*$I$2:$I$20+$K$2:$K$20))</f>
        <v>0.72954857190695166</v>
      </c>
      <c r="U1078" s="3">
        <f t="shared" si="128"/>
        <v>1969.6666666665851</v>
      </c>
      <c r="V1078" s="3">
        <f t="shared" si="129"/>
        <v>0.11867800000000001</v>
      </c>
      <c r="Z1078" s="1">
        <v>1969.7083</v>
      </c>
      <c r="AA1078" s="2">
        <f t="shared" si="133"/>
        <v>-0.96284599999999998</v>
      </c>
      <c r="AB1078">
        <v>-48.142299999999999</v>
      </c>
      <c r="AE1078">
        <v>1969.6666666665851</v>
      </c>
      <c r="AF1078">
        <v>0.72954857190695166</v>
      </c>
    </row>
    <row r="1079" spans="4:32" x14ac:dyDescent="0.35">
      <c r="D1079">
        <v>-0.74027199999999993</v>
      </c>
      <c r="M1079">
        <f t="shared" si="134"/>
        <v>1078</v>
      </c>
      <c r="N1079">
        <f t="shared" si="135"/>
        <v>1969.7499999999184</v>
      </c>
      <c r="O1079">
        <f t="shared" si="130"/>
        <v>0</v>
      </c>
      <c r="P1079">
        <f t="array" ref="P1079">+SUM($G$2:$G$18*SIN(2*PI()*(N1079)*$B$1/$F$2:$F$18+$H$2:$H$18))</f>
        <v>-0.17968570787920513</v>
      </c>
      <c r="Q1079">
        <f t="shared" si="131"/>
        <v>0</v>
      </c>
      <c r="R1079">
        <f t="shared" si="132"/>
        <v>-1.38905011254658E-2</v>
      </c>
      <c r="S1079">
        <f t="array" ref="S1079">+$B$2*SIN(R1079*$B$3+$B$4)+0*R1079+ SUM($J$2:$J$20*SIN(2*PI()*N1079*$I$2:$I$20+$K$2:$K$20))</f>
        <v>0.72879606292923238</v>
      </c>
      <c r="U1079" s="3">
        <f t="shared" si="128"/>
        <v>1969.7499999999184</v>
      </c>
      <c r="V1079" s="3">
        <f t="shared" si="129"/>
        <v>9.307399999999999E-2</v>
      </c>
      <c r="Z1079" s="1">
        <v>1969.7917</v>
      </c>
      <c r="AA1079" s="2">
        <f t="shared" si="133"/>
        <v>-0.65004200000000001</v>
      </c>
      <c r="AB1079">
        <v>-32.502099999999999</v>
      </c>
      <c r="AE1079">
        <v>1969.7499999999184</v>
      </c>
      <c r="AF1079">
        <v>0.72879606292923238</v>
      </c>
    </row>
    <row r="1080" spans="4:32" x14ac:dyDescent="0.35">
      <c r="D1080">
        <v>-0.96284599999999998</v>
      </c>
      <c r="M1080">
        <f t="shared" si="134"/>
        <v>1079</v>
      </c>
      <c r="N1080">
        <f t="shared" si="135"/>
        <v>1969.8333333332516</v>
      </c>
      <c r="O1080">
        <f t="shared" si="130"/>
        <v>0</v>
      </c>
      <c r="P1080">
        <f t="array" ref="P1080">+SUM($G$2:$G$18*SIN(2*PI()*(N1080)*$B$1/$F$2:$F$18+$H$2:$H$18))</f>
        <v>0.61653855285765369</v>
      </c>
      <c r="Q1080">
        <f t="shared" si="131"/>
        <v>0</v>
      </c>
      <c r="R1080">
        <f t="shared" si="132"/>
        <v>-1.3869135577143079E-2</v>
      </c>
      <c r="S1080">
        <f t="array" ref="S1080">+$B$2*SIN(R1080*$B$3+$B$4)+0*R1080+ SUM($J$2:$J$20*SIN(2*PI()*N1080*$I$2:$I$20+$K$2:$K$20))</f>
        <v>0.72803291737306208</v>
      </c>
      <c r="U1080" s="3">
        <f t="shared" si="128"/>
        <v>1969.8333333332516</v>
      </c>
      <c r="V1080" s="3">
        <f t="shared" si="129"/>
        <v>0.165932</v>
      </c>
      <c r="Z1080" s="1">
        <v>1969.875</v>
      </c>
      <c r="AA1080" s="2">
        <f t="shared" si="133"/>
        <v>-0.45262000000000002</v>
      </c>
      <c r="AB1080">
        <v>-22.631</v>
      </c>
      <c r="AE1080">
        <v>1969.8333333332516</v>
      </c>
      <c r="AF1080">
        <v>0.72803291737306208</v>
      </c>
    </row>
    <row r="1081" spans="4:32" x14ac:dyDescent="0.35">
      <c r="D1081">
        <v>-0.65004200000000001</v>
      </c>
      <c r="M1081">
        <f t="shared" si="134"/>
        <v>1080</v>
      </c>
      <c r="N1081">
        <f t="shared" si="135"/>
        <v>1969.9166666665849</v>
      </c>
      <c r="O1081">
        <f t="shared" si="130"/>
        <v>0</v>
      </c>
      <c r="P1081">
        <f t="array" ref="P1081">+SUM($G$2:$G$18*SIN(2*PI()*(N1081)*$B$1/$F$2:$F$18+$H$2:$H$18))</f>
        <v>1.1740843505231495</v>
      </c>
      <c r="Q1081">
        <f t="shared" si="131"/>
        <v>0</v>
      </c>
      <c r="R1081">
        <f t="shared" si="132"/>
        <v>-1.3847802892044731E-2</v>
      </c>
      <c r="S1081">
        <f t="array" ref="S1081">+$B$2*SIN(R1081*$B$3+$B$4)+0*R1081+ SUM($J$2:$J$20*SIN(2*PI()*N1081*$I$2:$I$20+$K$2:$K$20))</f>
        <v>0.72725920016470791</v>
      </c>
      <c r="U1081" s="3">
        <f t="shared" si="128"/>
        <v>1969.9166666665849</v>
      </c>
      <c r="V1081" s="3">
        <f t="shared" si="129"/>
        <v>0.24185999999999999</v>
      </c>
      <c r="Z1081" s="1">
        <v>1969.9583</v>
      </c>
      <c r="AA1081" s="2">
        <f t="shared" si="133"/>
        <v>-0.356738</v>
      </c>
      <c r="AB1081">
        <v>-17.8369</v>
      </c>
      <c r="AE1081">
        <v>1969.9166666665849</v>
      </c>
      <c r="AF1081">
        <v>0.72725920016470791</v>
      </c>
    </row>
    <row r="1082" spans="4:32" x14ac:dyDescent="0.35">
      <c r="D1082">
        <v>-0.45262000000000002</v>
      </c>
      <c r="M1082">
        <f t="shared" si="134"/>
        <v>1081</v>
      </c>
      <c r="N1082">
        <f t="shared" si="135"/>
        <v>1969.9999999999181</v>
      </c>
      <c r="O1082">
        <f t="shared" si="130"/>
        <v>36.637715116165623</v>
      </c>
      <c r="P1082">
        <f t="array" ref="P1082">+SUM($G$2:$G$18*SIN(2*PI()*(N1082)*$B$1/$F$2:$F$18+$H$2:$H$18))</f>
        <v>0.76396499563482212</v>
      </c>
      <c r="Q1082">
        <f t="shared" si="131"/>
        <v>27.989931868791327</v>
      </c>
      <c r="R1082">
        <f t="shared" si="132"/>
        <v>2.9225956822589969E-2</v>
      </c>
      <c r="S1082">
        <f t="array" ref="S1082">+$B$2*SIN(R1082*$B$3+$B$4)+0*R1082+ SUM($J$2:$J$20*SIN(2*PI()*N1082*$I$2:$I$20+$K$2:$K$20))</f>
        <v>-0.37003363775363896</v>
      </c>
      <c r="U1082" s="3">
        <f t="shared" si="128"/>
        <v>1969.9999999999181</v>
      </c>
      <c r="V1082" s="3">
        <f t="shared" si="129"/>
        <v>0.17163799999999999</v>
      </c>
      <c r="Z1082" s="1">
        <v>1970.0417</v>
      </c>
      <c r="AA1082" s="2">
        <f t="shared" si="133"/>
        <v>-0.26085799999999998</v>
      </c>
      <c r="AB1082">
        <v>-13.042899999999999</v>
      </c>
      <c r="AE1082">
        <v>1969.9999999999181</v>
      </c>
      <c r="AF1082">
        <v>-0.37003363775363896</v>
      </c>
    </row>
    <row r="1083" spans="4:32" x14ac:dyDescent="0.35">
      <c r="D1083">
        <v>-0.356738</v>
      </c>
      <c r="M1083">
        <f t="shared" si="134"/>
        <v>1082</v>
      </c>
      <c r="N1083">
        <f t="shared" si="135"/>
        <v>1970.0833333332514</v>
      </c>
      <c r="O1083">
        <f t="shared" si="130"/>
        <v>0</v>
      </c>
      <c r="P1083">
        <f t="array" ref="P1083">+SUM($G$2:$G$18*SIN(2*PI()*(N1083)*$B$1/$F$2:$F$18+$H$2:$H$18))</f>
        <v>-6.5482140792361615E-2</v>
      </c>
      <c r="Q1083">
        <f t="shared" si="131"/>
        <v>0</v>
      </c>
      <c r="R1083">
        <f t="shared" si="132"/>
        <v>2.9181003182175515E-2</v>
      </c>
      <c r="S1083">
        <f t="array" ref="S1083">+$B$2*SIN(R1083*$B$3+$B$4)+0*R1083+ SUM($J$2:$J$20*SIN(2*PI()*N1083*$I$2:$I$20+$K$2:$K$20))</f>
        <v>-0.36447439296912898</v>
      </c>
      <c r="U1083" s="3">
        <f t="shared" ref="U1083:U1146" si="136">+N1083</f>
        <v>1970.0833333332514</v>
      </c>
      <c r="V1083" s="3">
        <f t="shared" ref="V1083:V1146" si="137">+D1041</f>
        <v>-4.7815999999999997E-2</v>
      </c>
      <c r="Z1083" s="1">
        <v>1970.125</v>
      </c>
      <c r="AA1083" s="2">
        <f t="shared" si="133"/>
        <v>-0.26036199999999998</v>
      </c>
      <c r="AB1083">
        <v>-13.0181</v>
      </c>
      <c r="AE1083">
        <v>1970.0833333332514</v>
      </c>
      <c r="AF1083">
        <v>-0.36447439296912898</v>
      </c>
    </row>
    <row r="1084" spans="4:32" x14ac:dyDescent="0.35">
      <c r="D1084">
        <v>-0.26085799999999998</v>
      </c>
      <c r="M1084">
        <f t="shared" si="134"/>
        <v>1083</v>
      </c>
      <c r="N1084">
        <f t="shared" si="135"/>
        <v>1970.1666666665847</v>
      </c>
      <c r="O1084">
        <f t="shared" si="130"/>
        <v>0</v>
      </c>
      <c r="P1084">
        <f t="array" ref="P1084">+SUM($G$2:$G$18*SIN(2*PI()*(N1084)*$B$1/$F$2:$F$18+$H$2:$H$18))</f>
        <v>-0.35113920747282601</v>
      </c>
      <c r="Q1084">
        <f t="shared" si="131"/>
        <v>0</v>
      </c>
      <c r="R1084">
        <f t="shared" si="132"/>
        <v>2.9136118686795345E-2</v>
      </c>
      <c r="S1084">
        <f t="array" ref="S1084">+$B$2*SIN(R1084*$B$3+$B$4)+0*R1084+ SUM($J$2:$J$20*SIN(2*PI()*N1084*$I$2:$I$20+$K$2:$K$20))</f>
        <v>-0.358897668167516</v>
      </c>
      <c r="U1084" s="3">
        <f t="shared" si="136"/>
        <v>1970.1666666665847</v>
      </c>
      <c r="V1084" s="3">
        <f t="shared" si="137"/>
        <v>9.7339999999999996E-2</v>
      </c>
      <c r="Z1084" s="1">
        <v>1970.2083</v>
      </c>
      <c r="AA1084" s="2">
        <f t="shared" si="133"/>
        <v>-0.13833000000000001</v>
      </c>
      <c r="AB1084">
        <v>-6.9165000000000001</v>
      </c>
      <c r="AE1084">
        <v>1970.1666666665847</v>
      </c>
      <c r="AF1084">
        <v>-0.358897668167516</v>
      </c>
    </row>
    <row r="1085" spans="4:32" x14ac:dyDescent="0.35">
      <c r="D1085">
        <v>-0.26036199999999998</v>
      </c>
      <c r="M1085">
        <f t="shared" si="134"/>
        <v>1084</v>
      </c>
      <c r="N1085">
        <f t="shared" si="135"/>
        <v>1970.2499999999179</v>
      </c>
      <c r="O1085">
        <f t="shared" si="130"/>
        <v>0</v>
      </c>
      <c r="P1085">
        <f t="array" ref="P1085">+SUM($G$2:$G$18*SIN(2*PI()*(N1085)*$B$1/$F$2:$F$18+$H$2:$H$18))</f>
        <v>0.13666104419439118</v>
      </c>
      <c r="Q1085">
        <f t="shared" si="131"/>
        <v>0</v>
      </c>
      <c r="R1085">
        <f t="shared" si="132"/>
        <v>2.9091303230094651E-2</v>
      </c>
      <c r="S1085">
        <f t="array" ref="S1085">+$B$2*SIN(R1085*$B$3+$B$4)+0*R1085+ SUM($J$2:$J$20*SIN(2*PI()*N1085*$I$2:$I$20+$K$2:$K$20))</f>
        <v>-0.35330396731596253</v>
      </c>
      <c r="U1085" s="3">
        <f t="shared" si="136"/>
        <v>1970.2499999999179</v>
      </c>
      <c r="V1085" s="3">
        <f t="shared" si="137"/>
        <v>-3.7502000000000001E-2</v>
      </c>
      <c r="Z1085" s="1">
        <v>1970.2917</v>
      </c>
      <c r="AA1085" s="2">
        <f t="shared" si="133"/>
        <v>-0.131686</v>
      </c>
      <c r="AB1085">
        <v>-6.5842999999999998</v>
      </c>
      <c r="AE1085">
        <v>1970.2499999999179</v>
      </c>
      <c r="AF1085">
        <v>-0.35330396731596253</v>
      </c>
    </row>
    <row r="1086" spans="4:32" x14ac:dyDescent="0.35">
      <c r="D1086">
        <v>-0.13833000000000001</v>
      </c>
      <c r="M1086">
        <f t="shared" si="134"/>
        <v>1085</v>
      </c>
      <c r="N1086">
        <f t="shared" si="135"/>
        <v>1970.3333333332512</v>
      </c>
      <c r="O1086">
        <f t="shared" si="130"/>
        <v>0</v>
      </c>
      <c r="P1086">
        <f t="array" ref="P1086">+SUM($G$2:$G$18*SIN(2*PI()*(N1086)*$B$1/$F$2:$F$18+$H$2:$H$18))</f>
        <v>0.32538669951994292</v>
      </c>
      <c r="Q1086">
        <f t="shared" si="131"/>
        <v>0</v>
      </c>
      <c r="R1086">
        <f t="shared" si="132"/>
        <v>2.9046556705882215E-2</v>
      </c>
      <c r="S1086">
        <f t="array" ref="S1086">+$B$2*SIN(R1086*$B$3+$B$4)+0*R1086+ SUM($J$2:$J$20*SIN(2*PI()*N1086*$I$2:$I$20+$K$2:$K$20))</f>
        <v>-0.34769379212443269</v>
      </c>
      <c r="U1086" s="3">
        <f t="shared" si="136"/>
        <v>1970.3333333332512</v>
      </c>
      <c r="V1086" s="3">
        <f t="shared" si="137"/>
        <v>0.20304200000000003</v>
      </c>
      <c r="Z1086" s="1">
        <v>1970.375</v>
      </c>
      <c r="AA1086" s="2">
        <f t="shared" si="133"/>
        <v>5.4960000000000002E-2</v>
      </c>
      <c r="AB1086">
        <v>2.7480000000000002</v>
      </c>
      <c r="AE1086">
        <v>1970.3333333332512</v>
      </c>
      <c r="AF1086">
        <v>-0.34769379212443269</v>
      </c>
    </row>
    <row r="1087" spans="4:32" x14ac:dyDescent="0.35">
      <c r="D1087">
        <v>-0.131686</v>
      </c>
      <c r="M1087">
        <f t="shared" si="134"/>
        <v>1086</v>
      </c>
      <c r="N1087">
        <f t="shared" si="135"/>
        <v>1970.4166666665844</v>
      </c>
      <c r="O1087">
        <f t="shared" si="130"/>
        <v>0</v>
      </c>
      <c r="P1087">
        <f t="array" ref="P1087">+SUM($G$2:$G$18*SIN(2*PI()*(N1087)*$B$1/$F$2:$F$18+$H$2:$H$18))</f>
        <v>-0.1937581335077718</v>
      </c>
      <c r="Q1087">
        <f t="shared" si="131"/>
        <v>0</v>
      </c>
      <c r="R1087">
        <f t="shared" si="132"/>
        <v>2.9001879008130158E-2</v>
      </c>
      <c r="S1087">
        <f t="array" ref="S1087">+$B$2*SIN(R1087*$B$3+$B$4)+0*R1087+ SUM($J$2:$J$20*SIN(2*PI()*N1087*$I$2:$I$20+$K$2:$K$20))</f>
        <v>-0.34206764201456186</v>
      </c>
      <c r="U1087" s="3">
        <f t="shared" si="136"/>
        <v>1970.4166666665844</v>
      </c>
      <c r="V1087" s="3">
        <f t="shared" si="137"/>
        <v>0.31127199999999999</v>
      </c>
      <c r="Z1087" s="1">
        <v>1970.4583</v>
      </c>
      <c r="AA1087" s="2">
        <f t="shared" si="133"/>
        <v>3.6989999999999995E-2</v>
      </c>
      <c r="AB1087">
        <v>1.8494999999999999</v>
      </c>
      <c r="AE1087">
        <v>1970.4166666665844</v>
      </c>
      <c r="AF1087">
        <v>-0.34206764201456186</v>
      </c>
    </row>
    <row r="1088" spans="4:32" x14ac:dyDescent="0.35">
      <c r="D1088">
        <v>5.4960000000000002E-2</v>
      </c>
      <c r="M1088">
        <f t="shared" si="134"/>
        <v>1087</v>
      </c>
      <c r="N1088">
        <f t="shared" si="135"/>
        <v>1970.4999999999177</v>
      </c>
      <c r="O1088">
        <f t="shared" si="130"/>
        <v>0</v>
      </c>
      <c r="P1088">
        <f t="array" ref="P1088">+SUM($G$2:$G$18*SIN(2*PI()*(N1088)*$B$1/$F$2:$F$18+$H$2:$H$18))</f>
        <v>-0.24561036912957876</v>
      </c>
      <c r="Q1088">
        <f t="shared" si="131"/>
        <v>0</v>
      </c>
      <c r="R1088">
        <f t="shared" si="132"/>
        <v>2.8957270030973682E-2</v>
      </c>
      <c r="S1088">
        <f t="array" ref="S1088">+$B$2*SIN(R1088*$B$3+$B$4)+0*R1088+ SUM($J$2:$J$20*SIN(2*PI()*N1088*$I$2:$I$20+$K$2:$K$20))</f>
        <v>-0.33642601408918771</v>
      </c>
      <c r="U1088" s="3">
        <f t="shared" si="136"/>
        <v>1970.4999999999177</v>
      </c>
      <c r="V1088" s="3">
        <f t="shared" si="137"/>
        <v>0.25335000000000002</v>
      </c>
      <c r="Z1088" s="1">
        <v>1970.5417</v>
      </c>
      <c r="AA1088" s="2">
        <f t="shared" si="133"/>
        <v>-6.2522000000000008E-2</v>
      </c>
      <c r="AB1088">
        <v>-3.1261000000000001</v>
      </c>
      <c r="AE1088">
        <v>1970.4999999999177</v>
      </c>
      <c r="AF1088">
        <v>-0.33642601408918771</v>
      </c>
    </row>
    <row r="1089" spans="4:32" x14ac:dyDescent="0.35">
      <c r="D1089">
        <v>3.6989999999999995E-2</v>
      </c>
      <c r="M1089">
        <f t="shared" si="134"/>
        <v>1088</v>
      </c>
      <c r="N1089">
        <f t="shared" si="135"/>
        <v>1970.5833333332509</v>
      </c>
      <c r="O1089">
        <f t="shared" si="130"/>
        <v>0</v>
      </c>
      <c r="P1089">
        <f t="array" ref="P1089">+SUM($G$2:$G$18*SIN(2*PI()*(N1089)*$B$1/$F$2:$F$18+$H$2:$H$18))</f>
        <v>0.45419943353374731</v>
      </c>
      <c r="Q1089">
        <f t="shared" si="131"/>
        <v>0</v>
      </c>
      <c r="R1089">
        <f t="shared" si="132"/>
        <v>2.8912729668710828E-2</v>
      </c>
      <c r="S1089">
        <f t="array" ref="S1089">+$B$2*SIN(R1089*$B$3+$B$4)+0*R1089+ SUM($J$2:$J$20*SIN(2*PI()*N1089*$I$2:$I$20+$K$2:$K$20))</f>
        <v>-0.33076940310254771</v>
      </c>
      <c r="U1089" s="3">
        <f t="shared" si="136"/>
        <v>1970.5833333332509</v>
      </c>
      <c r="V1089" s="3">
        <f t="shared" si="137"/>
        <v>0.41388800000000003</v>
      </c>
      <c r="Z1089" s="1">
        <v>1970.625</v>
      </c>
      <c r="AA1089" s="2">
        <f t="shared" si="133"/>
        <v>0.32719799999999999</v>
      </c>
      <c r="AB1089">
        <v>16.3599</v>
      </c>
      <c r="AE1089">
        <v>1970.5833333332509</v>
      </c>
      <c r="AF1089">
        <v>-0.33076940310254771</v>
      </c>
    </row>
    <row r="1090" spans="4:32" x14ac:dyDescent="0.35">
      <c r="D1090">
        <v>-6.2522000000000008E-2</v>
      </c>
      <c r="M1090">
        <f t="shared" si="134"/>
        <v>1089</v>
      </c>
      <c r="N1090">
        <f t="shared" si="135"/>
        <v>1970.6666666665842</v>
      </c>
      <c r="O1090">
        <f t="shared" ref="O1090:O1153" si="138">+IF(MOD(M1090,$B$5)=1, $B$6, 0)</f>
        <v>0</v>
      </c>
      <c r="P1090">
        <f t="array" ref="P1090">+SUM($G$2:$G$18*SIN(2*PI()*(N1090)*$B$1/$F$2:$F$18+$H$2:$H$18))</f>
        <v>0.83205360821963059</v>
      </c>
      <c r="Q1090">
        <f t="shared" si="131"/>
        <v>0</v>
      </c>
      <c r="R1090">
        <f t="shared" si="132"/>
        <v>2.8868257815802219E-2</v>
      </c>
      <c r="S1090">
        <f t="array" ref="S1090">+$B$2*SIN(R1090*$B$3+$B$4)+0*R1090+ SUM($J$2:$J$20*SIN(2*PI()*N1090*$I$2:$I$20+$K$2:$K$20))</f>
        <v>-0.32509830143112861</v>
      </c>
      <c r="U1090" s="3">
        <f t="shared" si="136"/>
        <v>1970.6666666665842</v>
      </c>
      <c r="V1090" s="3">
        <f t="shared" si="137"/>
        <v>0.48980800000000002</v>
      </c>
      <c r="Z1090" s="1">
        <v>1970.7083</v>
      </c>
      <c r="AA1090" s="2">
        <f t="shared" si="133"/>
        <v>0.50460799999999995</v>
      </c>
      <c r="AB1090">
        <v>25.230399999999999</v>
      </c>
      <c r="AE1090">
        <v>1970.6666666665842</v>
      </c>
      <c r="AF1090">
        <v>-0.32509830143112861</v>
      </c>
    </row>
    <row r="1091" spans="4:32" x14ac:dyDescent="0.35">
      <c r="D1091">
        <v>0.32719799999999999</v>
      </c>
      <c r="M1091">
        <f t="shared" si="134"/>
        <v>1090</v>
      </c>
      <c r="N1091">
        <f t="shared" si="135"/>
        <v>1970.7499999999175</v>
      </c>
      <c r="O1091">
        <f t="shared" si="138"/>
        <v>0</v>
      </c>
      <c r="P1091">
        <f t="array" ref="P1091">+SUM($G$2:$G$18*SIN(2*PI()*(N1091)*$B$1/$F$2:$F$18+$H$2:$H$18))</f>
        <v>0.3781331999277614</v>
      </c>
      <c r="Q1091">
        <f t="shared" ref="Q1091:Q1154" si="139">+O1091*P1091</f>
        <v>0</v>
      </c>
      <c r="R1091">
        <f t="shared" ref="R1091:R1154" si="140">+(1-$B$7)*R1090+($B$7)*Q1091</f>
        <v>2.8823854366870811E-2</v>
      </c>
      <c r="S1091">
        <f t="array" ref="S1091">+$B$2*SIN(R1091*$B$3+$B$4)+0*R1091+ SUM($J$2:$J$20*SIN(2*PI()*N1091*$I$2:$I$20+$K$2:$K$20))</f>
        <v>-0.31941319904516818</v>
      </c>
      <c r="U1091" s="3">
        <f t="shared" si="136"/>
        <v>1970.7499999999175</v>
      </c>
      <c r="V1091" s="3">
        <f t="shared" si="137"/>
        <v>0.43803600000000004</v>
      </c>
      <c r="Z1091" s="1">
        <v>1970.7917</v>
      </c>
      <c r="AA1091" s="2">
        <f t="shared" ref="AA1091:AA1154" si="141">+AB1091/50</f>
        <v>0.7143219999999999</v>
      </c>
      <c r="AB1091">
        <v>35.716099999999997</v>
      </c>
      <c r="AE1091">
        <v>1970.7499999999175</v>
      </c>
      <c r="AF1091">
        <v>-0.31941319904516818</v>
      </c>
    </row>
    <row r="1092" spans="4:32" x14ac:dyDescent="0.35">
      <c r="D1092">
        <v>0.50460799999999995</v>
      </c>
      <c r="M1092">
        <f t="shared" ref="M1092:M1155" si="142">+M1091+1</f>
        <v>1091</v>
      </c>
      <c r="N1092">
        <f t="shared" ref="N1092:N1155" si="143">+N1091+1/12</f>
        <v>1970.8333333332507</v>
      </c>
      <c r="O1092">
        <f t="shared" si="138"/>
        <v>0</v>
      </c>
      <c r="P1092">
        <f t="array" ref="P1092">+SUM($G$2:$G$18*SIN(2*PI()*(N1092)*$B$1/$F$2:$F$18+$H$2:$H$18))</f>
        <v>-0.44720345284007001</v>
      </c>
      <c r="Q1092">
        <f t="shared" si="139"/>
        <v>0</v>
      </c>
      <c r="R1092">
        <f t="shared" si="140"/>
        <v>2.877951921670165E-2</v>
      </c>
      <c r="S1092">
        <f t="array" ref="S1092">+$B$2*SIN(R1092*$B$3+$B$4)+0*R1092+ SUM($J$2:$J$20*SIN(2*PI()*N1092*$I$2:$I$20+$K$2:$K$20))</f>
        <v>-0.31371458348080367</v>
      </c>
      <c r="U1092" s="3">
        <f t="shared" si="136"/>
        <v>1970.8333333332507</v>
      </c>
      <c r="V1092" s="3">
        <f t="shared" si="137"/>
        <v>0.43703400000000003</v>
      </c>
      <c r="Z1092" s="1">
        <v>1970.875</v>
      </c>
      <c r="AA1092" s="2">
        <f t="shared" si="141"/>
        <v>0.62865400000000005</v>
      </c>
      <c r="AB1092">
        <v>31.432700000000001</v>
      </c>
      <c r="AE1092">
        <v>1970.8333333332507</v>
      </c>
      <c r="AF1092">
        <v>-0.31371458348080367</v>
      </c>
    </row>
    <row r="1093" spans="4:32" x14ac:dyDescent="0.35">
      <c r="D1093">
        <v>0.7143219999999999</v>
      </c>
      <c r="M1093">
        <f t="shared" si="142"/>
        <v>1092</v>
      </c>
      <c r="N1093">
        <f t="shared" si="143"/>
        <v>1970.916666666584</v>
      </c>
      <c r="O1093">
        <f t="shared" si="138"/>
        <v>0</v>
      </c>
      <c r="P1093">
        <f t="array" ref="P1093">+SUM($G$2:$G$18*SIN(2*PI()*(N1093)*$B$1/$F$2:$F$18+$H$2:$H$18))</f>
        <v>-0.70341628178509485</v>
      </c>
      <c r="Q1093">
        <f t="shared" si="139"/>
        <v>0</v>
      </c>
      <c r="R1093">
        <f t="shared" si="140"/>
        <v>2.8735252260241612E-2</v>
      </c>
      <c r="S1093">
        <f t="array" ref="S1093">+$B$2*SIN(R1093*$B$3+$B$4)+0*R1093+ SUM($J$2:$J$20*SIN(2*PI()*N1093*$I$2:$I$20+$K$2:$K$20))</f>
        <v>-0.30800293981286025</v>
      </c>
      <c r="U1093" s="3">
        <f t="shared" si="136"/>
        <v>1970.916666666584</v>
      </c>
      <c r="V1093" s="3">
        <f t="shared" si="137"/>
        <v>0.27602599999999999</v>
      </c>
      <c r="Z1093" s="1">
        <v>1970.9583</v>
      </c>
      <c r="AA1093" s="2">
        <f t="shared" si="141"/>
        <v>0.57067800000000002</v>
      </c>
      <c r="AB1093">
        <v>28.533899999999999</v>
      </c>
      <c r="AE1093">
        <v>1970.916666666584</v>
      </c>
      <c r="AF1093">
        <v>-0.30800293981286025</v>
      </c>
    </row>
    <row r="1094" spans="4:32" x14ac:dyDescent="0.35">
      <c r="D1094">
        <v>0.62865400000000005</v>
      </c>
      <c r="M1094">
        <f t="shared" si="142"/>
        <v>1093</v>
      </c>
      <c r="N1094">
        <f t="shared" si="143"/>
        <v>1970.9999999999172</v>
      </c>
      <c r="O1094">
        <f t="shared" si="138"/>
        <v>36.637715116165623</v>
      </c>
      <c r="P1094">
        <f t="array" ref="P1094">+SUM($G$2:$G$18*SIN(2*PI()*(N1094)*$B$1/$F$2:$F$18+$H$2:$H$18))</f>
        <v>-0.16072604772391308</v>
      </c>
      <c r="Q1094">
        <f t="shared" si="139"/>
        <v>-5.8886351482559673</v>
      </c>
      <c r="R1094">
        <f t="shared" si="140"/>
        <v>1.9633502647775629E-2</v>
      </c>
      <c r="S1094">
        <f t="array" ref="S1094">+$B$2*SIN(R1094*$B$3+$B$4)+0*R1094+ SUM($J$2:$J$20*SIN(2*PI()*N1094*$I$2:$I$20+$K$2:$K$20))</f>
        <v>0.72356411686474864</v>
      </c>
      <c r="U1094" s="3">
        <f t="shared" si="136"/>
        <v>1970.9999999999172</v>
      </c>
      <c r="V1094" s="3">
        <f t="shared" si="137"/>
        <v>0.238098</v>
      </c>
      <c r="Z1094" s="1">
        <v>1971.0417</v>
      </c>
      <c r="AA1094" s="2">
        <f t="shared" si="141"/>
        <v>0.674234</v>
      </c>
      <c r="AB1094">
        <v>33.7117</v>
      </c>
      <c r="AE1094">
        <v>1970.9999999999172</v>
      </c>
      <c r="AF1094">
        <v>0.72356411686474864</v>
      </c>
    </row>
    <row r="1095" spans="4:32" x14ac:dyDescent="0.35">
      <c r="D1095">
        <v>0.57067800000000002</v>
      </c>
      <c r="M1095">
        <f t="shared" si="142"/>
        <v>1094</v>
      </c>
      <c r="N1095">
        <f t="shared" si="143"/>
        <v>1971.0833333332505</v>
      </c>
      <c r="O1095">
        <f t="shared" si="138"/>
        <v>0</v>
      </c>
      <c r="P1095">
        <f t="array" ref="P1095">+SUM($G$2:$G$18*SIN(2*PI()*(N1095)*$B$1/$F$2:$F$18+$H$2:$H$18))</f>
        <v>6.8653372435972526E-2</v>
      </c>
      <c r="Q1095">
        <f t="shared" si="139"/>
        <v>0</v>
      </c>
      <c r="R1095">
        <f t="shared" si="140"/>
        <v>1.9603303553748973E-2</v>
      </c>
      <c r="S1095">
        <f t="array" ref="S1095">+$B$2*SIN(R1095*$B$3+$B$4)+0*R1095+ SUM($J$2:$J$20*SIN(2*PI()*N1095*$I$2:$I$20+$K$2:$K$20))</f>
        <v>0.72473187680435813</v>
      </c>
      <c r="U1095" s="3">
        <f t="shared" si="136"/>
        <v>1971.0833333332505</v>
      </c>
      <c r="V1095" s="3">
        <f t="shared" si="137"/>
        <v>0.61863000000000001</v>
      </c>
      <c r="Z1095" s="1">
        <v>1971.125</v>
      </c>
      <c r="AA1095" s="2">
        <f t="shared" si="141"/>
        <v>0.56086999999999998</v>
      </c>
      <c r="AB1095">
        <v>28.043500000000002</v>
      </c>
      <c r="AE1095">
        <v>1971.0833333332505</v>
      </c>
      <c r="AF1095">
        <v>0.72473187680435813</v>
      </c>
    </row>
    <row r="1096" spans="4:32" x14ac:dyDescent="0.35">
      <c r="D1096">
        <v>0.674234</v>
      </c>
      <c r="M1096">
        <f t="shared" si="142"/>
        <v>1095</v>
      </c>
      <c r="N1096">
        <f t="shared" si="143"/>
        <v>1971.1666666665838</v>
      </c>
      <c r="O1096">
        <f t="shared" si="138"/>
        <v>0</v>
      </c>
      <c r="P1096">
        <f t="array" ref="P1096">+SUM($G$2:$G$18*SIN(2*PI()*(N1096)*$B$1/$F$2:$F$18+$H$2:$H$18))</f>
        <v>-0.36119580139886248</v>
      </c>
      <c r="Q1096">
        <f t="shared" si="139"/>
        <v>0</v>
      </c>
      <c r="R1096">
        <f t="shared" si="140"/>
        <v>1.9573150910184897E-2</v>
      </c>
      <c r="S1096">
        <f t="array" ref="S1096">+$B$2*SIN(R1096*$B$3+$B$4)+0*R1096+ SUM($J$2:$J$20*SIN(2*PI()*N1096*$I$2:$I$20+$K$2:$K$20))</f>
        <v>0.72587448149192524</v>
      </c>
      <c r="U1096" s="3">
        <f t="shared" si="136"/>
        <v>1971.1666666665838</v>
      </c>
      <c r="V1096" s="3">
        <f t="shared" si="137"/>
        <v>0.93608000000000002</v>
      </c>
      <c r="Z1096" s="1">
        <v>1971.2083</v>
      </c>
      <c r="AA1096" s="2">
        <f t="shared" si="141"/>
        <v>0.56135199999999996</v>
      </c>
      <c r="AB1096">
        <v>28.067599999999999</v>
      </c>
      <c r="AE1096">
        <v>1971.1666666665838</v>
      </c>
      <c r="AF1096">
        <v>0.72587448149192524</v>
      </c>
    </row>
    <row r="1097" spans="4:32" x14ac:dyDescent="0.35">
      <c r="D1097">
        <v>0.56086999999999998</v>
      </c>
      <c r="M1097">
        <f t="shared" si="142"/>
        <v>1096</v>
      </c>
      <c r="N1097">
        <f t="shared" si="143"/>
        <v>1971.249999999917</v>
      </c>
      <c r="O1097">
        <f t="shared" si="138"/>
        <v>0</v>
      </c>
      <c r="P1097">
        <f t="array" ref="P1097">+SUM($G$2:$G$18*SIN(2*PI()*(N1097)*$B$1/$F$2:$F$18+$H$2:$H$18))</f>
        <v>-0.41744932705881371</v>
      </c>
      <c r="Q1097">
        <f t="shared" si="139"/>
        <v>0</v>
      </c>
      <c r="R1097">
        <f t="shared" si="140"/>
        <v>1.954304464563604E-2</v>
      </c>
      <c r="S1097">
        <f t="array" ref="S1097">+$B$2*SIN(R1097*$B$3+$B$4)+0*R1097+ SUM($J$2:$J$20*SIN(2*PI()*N1097*$I$2:$I$20+$K$2:$K$20))</f>
        <v>0.72699200470849845</v>
      </c>
      <c r="U1097" s="3">
        <f t="shared" si="136"/>
        <v>1971.249999999917</v>
      </c>
      <c r="V1097" s="3">
        <f t="shared" si="137"/>
        <v>1.015072</v>
      </c>
      <c r="Z1097" s="1">
        <v>1971.2917</v>
      </c>
      <c r="AA1097" s="2">
        <f t="shared" si="141"/>
        <v>0.46798200000000001</v>
      </c>
      <c r="AB1097">
        <v>23.399100000000001</v>
      </c>
      <c r="AE1097">
        <v>1971.249999999917</v>
      </c>
      <c r="AF1097">
        <v>0.72699200470849845</v>
      </c>
    </row>
    <row r="1098" spans="4:32" x14ac:dyDescent="0.35">
      <c r="D1098">
        <v>0.56135199999999996</v>
      </c>
      <c r="M1098">
        <f t="shared" si="142"/>
        <v>1097</v>
      </c>
      <c r="N1098">
        <f t="shared" si="143"/>
        <v>1971.3333333332503</v>
      </c>
      <c r="O1098">
        <f t="shared" si="138"/>
        <v>0</v>
      </c>
      <c r="P1098">
        <f t="array" ref="P1098">+SUM($G$2:$G$18*SIN(2*PI()*(N1098)*$B$1/$F$2:$F$18+$H$2:$H$18))</f>
        <v>9.4997210341123489E-2</v>
      </c>
      <c r="Q1098">
        <f t="shared" si="139"/>
        <v>0</v>
      </c>
      <c r="R1098">
        <f t="shared" si="140"/>
        <v>1.9512984688764945E-2</v>
      </c>
      <c r="S1098">
        <f t="array" ref="S1098">+$B$2*SIN(R1098*$B$3+$B$4)+0*R1098+ SUM($J$2:$J$20*SIN(2*PI()*N1098*$I$2:$I$20+$K$2:$K$20))</f>
        <v>0.72808452093008869</v>
      </c>
      <c r="U1098" s="3">
        <f t="shared" si="136"/>
        <v>1971.3333333332503</v>
      </c>
      <c r="V1098" s="3">
        <f t="shared" si="137"/>
        <v>1.201754</v>
      </c>
      <c r="Z1098" s="1">
        <v>1971.375</v>
      </c>
      <c r="AA1098" s="2">
        <f t="shared" si="141"/>
        <v>0.59461599999999992</v>
      </c>
      <c r="AB1098">
        <v>29.730799999999999</v>
      </c>
      <c r="AE1098">
        <v>1971.3333333332503</v>
      </c>
      <c r="AF1098">
        <v>0.72808452093008869</v>
      </c>
    </row>
    <row r="1099" spans="4:32" x14ac:dyDescent="0.35">
      <c r="D1099">
        <v>0.46798200000000001</v>
      </c>
      <c r="M1099">
        <f t="shared" si="142"/>
        <v>1098</v>
      </c>
      <c r="N1099">
        <f t="shared" si="143"/>
        <v>1971.4166666665835</v>
      </c>
      <c r="O1099">
        <f t="shared" si="138"/>
        <v>0</v>
      </c>
      <c r="P1099">
        <f t="array" ref="P1099">+SUM($G$2:$G$18*SIN(2*PI()*(N1099)*$B$1/$F$2:$F$18+$H$2:$H$18))</f>
        <v>0.41940431282427459</v>
      </c>
      <c r="Q1099">
        <f t="shared" si="139"/>
        <v>0</v>
      </c>
      <c r="R1099">
        <f t="shared" si="140"/>
        <v>1.9482970968343873E-2</v>
      </c>
      <c r="S1099">
        <f t="array" ref="S1099">+$B$2*SIN(R1099*$B$3+$B$4)+0*R1099+ SUM($J$2:$J$20*SIN(2*PI()*N1099*$I$2:$I$20+$K$2:$K$20))</f>
        <v>0.7291521053164508</v>
      </c>
      <c r="U1099" s="3">
        <f t="shared" si="136"/>
        <v>1971.4166666665835</v>
      </c>
      <c r="V1099" s="3">
        <f t="shared" si="137"/>
        <v>1.1099699999999999</v>
      </c>
      <c r="Z1099" s="1">
        <v>1971.4583</v>
      </c>
      <c r="AA1099" s="2">
        <f t="shared" si="141"/>
        <v>0.60124600000000006</v>
      </c>
      <c r="AB1099">
        <v>30.0623</v>
      </c>
      <c r="AE1099">
        <v>1971.4166666665835</v>
      </c>
      <c r="AF1099">
        <v>0.7291521053164508</v>
      </c>
    </row>
    <row r="1100" spans="4:32" x14ac:dyDescent="0.35">
      <c r="D1100">
        <v>0.59461599999999992</v>
      </c>
      <c r="M1100">
        <f t="shared" si="142"/>
        <v>1099</v>
      </c>
      <c r="N1100">
        <f t="shared" si="143"/>
        <v>1971.4999999999168</v>
      </c>
      <c r="O1100">
        <f t="shared" si="138"/>
        <v>0</v>
      </c>
      <c r="P1100">
        <f t="array" ref="P1100">+SUM($G$2:$G$18*SIN(2*PI()*(N1100)*$B$1/$F$2:$F$18+$H$2:$H$18))</f>
        <v>9.7836448554398825E-2</v>
      </c>
      <c r="Q1100">
        <f t="shared" si="139"/>
        <v>0</v>
      </c>
      <c r="R1100">
        <f t="shared" si="140"/>
        <v>1.9453003413254649E-2</v>
      </c>
      <c r="S1100">
        <f t="array" ref="S1100">+$B$2*SIN(R1100*$B$3+$B$4)+0*R1100+ SUM($J$2:$J$20*SIN(2*PI()*N1100*$I$2:$I$20+$K$2:$K$20))</f>
        <v>0.73019483369993632</v>
      </c>
      <c r="U1100" s="3">
        <f t="shared" si="136"/>
        <v>1971.4999999999168</v>
      </c>
      <c r="V1100" s="3">
        <f t="shared" si="137"/>
        <v>1.00742</v>
      </c>
      <c r="Z1100" s="1">
        <v>1971.5417</v>
      </c>
      <c r="AA1100" s="2">
        <f t="shared" si="141"/>
        <v>0.22479600000000002</v>
      </c>
      <c r="AB1100">
        <v>11.239800000000001</v>
      </c>
      <c r="AE1100">
        <v>1971.4999999999168</v>
      </c>
      <c r="AF1100">
        <v>0.73019483369993632</v>
      </c>
    </row>
    <row r="1101" spans="4:32" x14ac:dyDescent="0.35">
      <c r="D1101">
        <v>0.60124600000000006</v>
      </c>
      <c r="M1101">
        <f t="shared" si="142"/>
        <v>1100</v>
      </c>
      <c r="N1101">
        <f t="shared" si="143"/>
        <v>1971.58333333325</v>
      </c>
      <c r="O1101">
        <f t="shared" si="138"/>
        <v>0</v>
      </c>
      <c r="P1101">
        <f t="array" ref="P1101">+SUM($G$2:$G$18*SIN(2*PI()*(N1101)*$B$1/$F$2:$F$18+$H$2:$H$18))</f>
        <v>-0.67598599235285084</v>
      </c>
      <c r="Q1101">
        <f t="shared" si="139"/>
        <v>0</v>
      </c>
      <c r="R1101">
        <f t="shared" si="140"/>
        <v>1.9423081952488489E-2</v>
      </c>
      <c r="S1101">
        <f t="array" ref="S1101">+$B$2*SIN(R1101*$B$3+$B$4)+0*R1101+ SUM($J$2:$J$20*SIN(2*PI()*N1101*$I$2:$I$20+$K$2:$K$20))</f>
        <v>0.73121278257442079</v>
      </c>
      <c r="U1101" s="3">
        <f t="shared" si="136"/>
        <v>1971.58333333325</v>
      </c>
      <c r="V1101" s="3">
        <f t="shared" si="137"/>
        <v>0.86332999999999993</v>
      </c>
      <c r="Z1101" s="1">
        <v>1971.625</v>
      </c>
      <c r="AA1101" s="2">
        <f t="shared" si="141"/>
        <v>-5.6265999999999997E-2</v>
      </c>
      <c r="AB1101">
        <v>-2.8132999999999999</v>
      </c>
      <c r="AE1101">
        <v>1971.58333333325</v>
      </c>
      <c r="AF1101">
        <v>0.73121278257442079</v>
      </c>
    </row>
    <row r="1102" spans="4:32" x14ac:dyDescent="0.35">
      <c r="D1102">
        <v>0.22479600000000002</v>
      </c>
      <c r="M1102">
        <f t="shared" si="142"/>
        <v>1101</v>
      </c>
      <c r="N1102">
        <f t="shared" si="143"/>
        <v>1971.6666666665833</v>
      </c>
      <c r="O1102">
        <f t="shared" si="138"/>
        <v>0</v>
      </c>
      <c r="P1102">
        <f t="array" ref="P1102">+SUM($G$2:$G$18*SIN(2*PI()*(N1102)*$B$1/$F$2:$F$18+$H$2:$H$18))</f>
        <v>-0.94101335032453526</v>
      </c>
      <c r="Q1102">
        <f t="shared" si="139"/>
        <v>0</v>
      </c>
      <c r="R1102">
        <f t="shared" si="140"/>
        <v>1.9393206515145825E-2</v>
      </c>
      <c r="S1102">
        <f t="array" ref="S1102">+$B$2*SIN(R1102*$B$3+$B$4)+0*R1102+ SUM($J$2:$J$20*SIN(2*PI()*N1102*$I$2:$I$20+$K$2:$K$20))</f>
        <v>0.73220602908430199</v>
      </c>
      <c r="U1102" s="3">
        <f t="shared" si="136"/>
        <v>1971.6666666665833</v>
      </c>
      <c r="V1102" s="3">
        <f t="shared" si="137"/>
        <v>0.95462000000000002</v>
      </c>
      <c r="Z1102" s="1">
        <v>1971.7083</v>
      </c>
      <c r="AA1102" s="2">
        <f t="shared" si="141"/>
        <v>-0.621946</v>
      </c>
      <c r="AB1102">
        <v>-31.097300000000001</v>
      </c>
      <c r="AE1102">
        <v>1971.6666666665833</v>
      </c>
      <c r="AF1102">
        <v>0.73220602908430199</v>
      </c>
    </row>
    <row r="1103" spans="4:32" x14ac:dyDescent="0.35">
      <c r="D1103">
        <v>-5.6265999999999997E-2</v>
      </c>
      <c r="M1103">
        <f t="shared" si="142"/>
        <v>1102</v>
      </c>
      <c r="N1103">
        <f t="shared" si="143"/>
        <v>1971.7499999999166</v>
      </c>
      <c r="O1103">
        <f t="shared" si="138"/>
        <v>0</v>
      </c>
      <c r="P1103">
        <f t="array" ref="P1103">+SUM($G$2:$G$18*SIN(2*PI()*(N1103)*$B$1/$F$2:$F$18+$H$2:$H$18))</f>
        <v>-0.36652334612949405</v>
      </c>
      <c r="Q1103">
        <f t="shared" si="139"/>
        <v>0</v>
      </c>
      <c r="R1103">
        <f t="shared" si="140"/>
        <v>1.9363377030436148E-2</v>
      </c>
      <c r="S1103">
        <f t="array" ref="S1103">+$B$2*SIN(R1103*$B$3+$B$4)+0*R1103+ SUM($J$2:$J$20*SIN(2*PI()*N1103*$I$2:$I$20+$K$2:$K$20))</f>
        <v>0.73317465101357182</v>
      </c>
      <c r="U1103" s="3">
        <f t="shared" si="136"/>
        <v>1971.7499999999166</v>
      </c>
      <c r="V1103" s="3">
        <f t="shared" si="137"/>
        <v>0.81822000000000006</v>
      </c>
      <c r="Z1103" s="1">
        <v>1971.7917</v>
      </c>
      <c r="AA1103" s="2">
        <f t="shared" si="141"/>
        <v>-0.67070600000000002</v>
      </c>
      <c r="AB1103">
        <v>-33.535299999999999</v>
      </c>
      <c r="AE1103">
        <v>1971.7499999999166</v>
      </c>
      <c r="AF1103">
        <v>0.73317465101357182</v>
      </c>
    </row>
    <row r="1104" spans="4:32" x14ac:dyDescent="0.35">
      <c r="D1104">
        <v>-0.621946</v>
      </c>
      <c r="M1104">
        <f t="shared" si="142"/>
        <v>1103</v>
      </c>
      <c r="N1104">
        <f t="shared" si="143"/>
        <v>1971.8333333332498</v>
      </c>
      <c r="O1104">
        <f t="shared" si="138"/>
        <v>0</v>
      </c>
      <c r="P1104">
        <f t="array" ref="P1104">+SUM($G$2:$G$18*SIN(2*PI()*(N1104)*$B$1/$F$2:$F$18+$H$2:$H$18))</f>
        <v>-4.9332906489272327E-2</v>
      </c>
      <c r="Q1104">
        <f t="shared" si="139"/>
        <v>0</v>
      </c>
      <c r="R1104">
        <f t="shared" si="140"/>
        <v>1.933359342767783E-2</v>
      </c>
      <c r="S1104">
        <f t="array" ref="S1104">+$B$2*SIN(R1104*$B$3+$B$4)+0*R1104+ SUM($J$2:$J$20*SIN(2*PI()*N1104*$I$2:$I$20+$K$2:$K$20))</f>
        <v>0.73411872677496071</v>
      </c>
      <c r="U1104" s="3">
        <f t="shared" si="136"/>
        <v>1971.8333333332498</v>
      </c>
      <c r="V1104" s="3">
        <f t="shared" si="137"/>
        <v>0.64797199999999999</v>
      </c>
      <c r="Z1104" s="1">
        <v>1971.875</v>
      </c>
      <c r="AA1104" s="2">
        <f t="shared" si="141"/>
        <v>-0.73023399999999994</v>
      </c>
      <c r="AB1104">
        <v>-36.511699999999998</v>
      </c>
      <c r="AE1104">
        <v>1971.8333333332498</v>
      </c>
      <c r="AF1104">
        <v>0.73411872677496071</v>
      </c>
    </row>
    <row r="1105" spans="4:32" x14ac:dyDescent="0.35">
      <c r="D1105">
        <v>-0.67070600000000002</v>
      </c>
      <c r="M1105">
        <f t="shared" si="142"/>
        <v>1104</v>
      </c>
      <c r="N1105">
        <f t="shared" si="143"/>
        <v>1971.9166666665831</v>
      </c>
      <c r="O1105">
        <f t="shared" si="138"/>
        <v>0</v>
      </c>
      <c r="P1105">
        <f t="array" ref="P1105">+SUM($G$2:$G$18*SIN(2*PI()*(N1105)*$B$1/$F$2:$F$18+$H$2:$H$18))</f>
        <v>-0.36161246406265429</v>
      </c>
      <c r="Q1105">
        <f t="shared" si="139"/>
        <v>0</v>
      </c>
      <c r="R1105">
        <f t="shared" si="140"/>
        <v>1.9303855636297964E-2</v>
      </c>
      <c r="S1105">
        <f t="array" ref="S1105">+$B$2*SIN(R1105*$B$3+$B$4)+0*R1105+ SUM($J$2:$J$20*SIN(2*PI()*N1105*$I$2:$I$20+$K$2:$K$20))</f>
        <v>0.73503833539915508</v>
      </c>
      <c r="U1105" s="3">
        <f t="shared" si="136"/>
        <v>1971.9166666665831</v>
      </c>
      <c r="V1105" s="3">
        <f t="shared" si="137"/>
        <v>0.51771999999999996</v>
      </c>
      <c r="Z1105" s="1">
        <v>1971.9583</v>
      </c>
      <c r="AA1105" s="2">
        <f t="shared" si="141"/>
        <v>-0.66361000000000003</v>
      </c>
      <c r="AB1105">
        <v>-33.180500000000002</v>
      </c>
      <c r="AE1105">
        <v>1971.9166666665831</v>
      </c>
      <c r="AF1105">
        <v>0.73503833539915508</v>
      </c>
    </row>
    <row r="1106" spans="4:32" x14ac:dyDescent="0.35">
      <c r="D1106">
        <v>-0.73023399999999994</v>
      </c>
      <c r="M1106">
        <f t="shared" si="142"/>
        <v>1105</v>
      </c>
      <c r="N1106">
        <f t="shared" si="143"/>
        <v>1971.9999999999163</v>
      </c>
      <c r="O1106">
        <f t="shared" si="138"/>
        <v>36.637715116165623</v>
      </c>
      <c r="P1106">
        <f t="array" ref="P1106">+SUM($G$2:$G$18*SIN(2*PI()*(N1106)*$B$1/$F$2:$F$18+$H$2:$H$18))</f>
        <v>-0.476207343389703</v>
      </c>
      <c r="Q1106">
        <f t="shared" si="139"/>
        <v>-17.447148983337996</v>
      </c>
      <c r="R1106">
        <f t="shared" si="140"/>
        <v>-7.5620103815570681E-3</v>
      </c>
      <c r="S1106">
        <f t="array" ref="S1106">+$B$2*SIN(R1106*$B$3+$B$4)+0*R1106+ SUM($J$2:$J$20*SIN(2*PI()*N1106*$I$2:$I$20+$K$2:$K$20))</f>
        <v>9.5220384457813709E-2</v>
      </c>
      <c r="U1106" s="3">
        <f t="shared" si="136"/>
        <v>1971.9999999999163</v>
      </c>
      <c r="V1106" s="3">
        <f t="shared" si="137"/>
        <v>0.67362600000000006</v>
      </c>
      <c r="Z1106" s="1">
        <v>1972.0417</v>
      </c>
      <c r="AA1106" s="2">
        <f t="shared" si="141"/>
        <v>-0.67083599999999999</v>
      </c>
      <c r="AB1106">
        <v>-33.541800000000002</v>
      </c>
      <c r="AE1106">
        <v>1971.9999999999163</v>
      </c>
      <c r="AF1106">
        <v>9.5220384457813709E-2</v>
      </c>
    </row>
    <row r="1107" spans="4:32" x14ac:dyDescent="0.35">
      <c r="D1107">
        <v>-0.66361000000000003</v>
      </c>
      <c r="M1107">
        <f t="shared" si="142"/>
        <v>1106</v>
      </c>
      <c r="N1107">
        <f t="shared" si="143"/>
        <v>1972.0833333332496</v>
      </c>
      <c r="O1107">
        <f t="shared" si="138"/>
        <v>0</v>
      </c>
      <c r="P1107">
        <f t="array" ref="P1107">+SUM($G$2:$G$18*SIN(2*PI()*(N1107)*$B$1/$F$2:$F$18+$H$2:$H$18))</f>
        <v>-0.14013919532288058</v>
      </c>
      <c r="Q1107">
        <f t="shared" si="139"/>
        <v>0</v>
      </c>
      <c r="R1107">
        <f t="shared" si="140"/>
        <v>-7.5503789438742426E-3</v>
      </c>
      <c r="S1107">
        <f t="array" ref="S1107">+$B$2*SIN(R1107*$B$3+$B$4)+0*R1107+ SUM($J$2:$J$20*SIN(2*PI()*N1107*$I$2:$I$20+$K$2:$K$20))</f>
        <v>9.3585532421785689E-2</v>
      </c>
      <c r="U1107" s="3">
        <f t="shared" si="136"/>
        <v>1972.0833333332496</v>
      </c>
      <c r="V1107" s="3">
        <f t="shared" si="137"/>
        <v>0.44799</v>
      </c>
      <c r="Z1107" s="1">
        <v>1972.125</v>
      </c>
      <c r="AA1107" s="2">
        <f t="shared" si="141"/>
        <v>-0.73344399999999998</v>
      </c>
      <c r="AB1107">
        <v>-36.672199999999997</v>
      </c>
      <c r="AE1107">
        <v>1972.0833333332496</v>
      </c>
      <c r="AF1107">
        <v>9.3585532421785689E-2</v>
      </c>
    </row>
    <row r="1108" spans="4:32" x14ac:dyDescent="0.35">
      <c r="D1108">
        <v>-0.67083599999999999</v>
      </c>
      <c r="M1108">
        <f t="shared" si="142"/>
        <v>1107</v>
      </c>
      <c r="N1108">
        <f t="shared" si="143"/>
        <v>1972.1666666665828</v>
      </c>
      <c r="O1108">
        <f t="shared" si="138"/>
        <v>0</v>
      </c>
      <c r="P1108">
        <f t="array" ref="P1108">+SUM($G$2:$G$18*SIN(2*PI()*(N1108)*$B$1/$F$2:$F$18+$H$2:$H$18))</f>
        <v>0.23438565852324972</v>
      </c>
      <c r="Q1108">
        <f t="shared" si="139"/>
        <v>0</v>
      </c>
      <c r="R1108">
        <f t="shared" si="140"/>
        <v>-7.5387653969817949E-3</v>
      </c>
      <c r="S1108">
        <f t="array" ref="S1108">+$B$2*SIN(R1108*$B$3+$B$4)+0*R1108+ SUM($J$2:$J$20*SIN(2*PI()*N1108*$I$2:$I$20+$K$2:$K$20))</f>
        <v>9.1952747541136193E-2</v>
      </c>
      <c r="U1108" s="3">
        <f t="shared" si="136"/>
        <v>1972.1666666665828</v>
      </c>
      <c r="V1108" s="3">
        <f t="shared" si="137"/>
        <v>-0.13611200000000001</v>
      </c>
      <c r="Z1108" s="1">
        <v>1972.2083</v>
      </c>
      <c r="AA1108" s="2">
        <f t="shared" si="141"/>
        <v>-0.59605200000000003</v>
      </c>
      <c r="AB1108">
        <v>-29.802600000000002</v>
      </c>
      <c r="AE1108">
        <v>1972.1666666665828</v>
      </c>
      <c r="AF1108">
        <v>9.1952747541136193E-2</v>
      </c>
    </row>
    <row r="1109" spans="4:32" x14ac:dyDescent="0.35">
      <c r="D1109">
        <v>-0.73344399999999998</v>
      </c>
      <c r="M1109">
        <f t="shared" si="142"/>
        <v>1108</v>
      </c>
      <c r="N1109">
        <f t="shared" si="143"/>
        <v>1972.2499999999161</v>
      </c>
      <c r="O1109">
        <f t="shared" si="138"/>
        <v>0</v>
      </c>
      <c r="P1109">
        <f t="array" ref="P1109">+SUM($G$2:$G$18*SIN(2*PI()*(N1109)*$B$1/$F$2:$F$18+$H$2:$H$18))</f>
        <v>9.2108083400202739E-2</v>
      </c>
      <c r="Q1109">
        <f t="shared" si="139"/>
        <v>0</v>
      </c>
      <c r="R1109">
        <f t="shared" si="140"/>
        <v>-7.5271697133611681E-3</v>
      </c>
      <c r="S1109">
        <f t="array" ref="S1109">+$B$2*SIN(R1109*$B$3+$B$4)+0*R1109+ SUM($J$2:$J$20*SIN(2*PI()*N1109*$I$2:$I$20+$K$2:$K$20))</f>
        <v>9.0322035794864433E-2</v>
      </c>
      <c r="U1109" s="3">
        <f t="shared" si="136"/>
        <v>1972.2499999999161</v>
      </c>
      <c r="V1109" s="3">
        <f t="shared" si="137"/>
        <v>-0.40021000000000001</v>
      </c>
      <c r="Z1109" s="1">
        <v>1972.2917</v>
      </c>
      <c r="AA1109" s="2">
        <f t="shared" si="141"/>
        <v>-0.65405199999999997</v>
      </c>
      <c r="AB1109">
        <v>-32.702599999999997</v>
      </c>
      <c r="AE1109">
        <v>1972.2499999999161</v>
      </c>
      <c r="AF1109">
        <v>9.0322035794864433E-2</v>
      </c>
    </row>
    <row r="1110" spans="4:32" x14ac:dyDescent="0.35">
      <c r="D1110">
        <v>-0.59605200000000003</v>
      </c>
      <c r="M1110">
        <f t="shared" si="142"/>
        <v>1109</v>
      </c>
      <c r="N1110">
        <f t="shared" si="143"/>
        <v>1972.3333333332494</v>
      </c>
      <c r="O1110">
        <f t="shared" si="138"/>
        <v>0</v>
      </c>
      <c r="P1110">
        <f t="array" ref="P1110">+SUM($G$2:$G$18*SIN(2*PI()*(N1110)*$B$1/$F$2:$F$18+$H$2:$H$18))</f>
        <v>-0.63049932120371743</v>
      </c>
      <c r="Q1110">
        <f t="shared" si="139"/>
        <v>0</v>
      </c>
      <c r="R1110">
        <f t="shared" si="140"/>
        <v>-7.5155918655361318E-3</v>
      </c>
      <c r="S1110">
        <f t="array" ref="S1110">+$B$2*SIN(R1110*$B$3+$B$4)+0*R1110+ SUM($J$2:$J$20*SIN(2*PI()*N1110*$I$2:$I$20+$K$2:$K$20))</f>
        <v>8.8693403090841602E-2</v>
      </c>
      <c r="U1110" s="3">
        <f t="shared" si="136"/>
        <v>1972.3333333332494</v>
      </c>
      <c r="V1110" s="3">
        <f t="shared" si="137"/>
        <v>-0.83661799999999997</v>
      </c>
      <c r="Z1110" s="1">
        <v>1972.375</v>
      </c>
      <c r="AA1110" s="2">
        <f t="shared" si="141"/>
        <v>-0.56281599999999998</v>
      </c>
      <c r="AB1110">
        <v>-28.140799999999999</v>
      </c>
      <c r="AE1110">
        <v>1972.3333333332494</v>
      </c>
      <c r="AF1110">
        <v>8.8693403090841602E-2</v>
      </c>
    </row>
    <row r="1111" spans="4:32" x14ac:dyDescent="0.35">
      <c r="D1111">
        <v>-0.65405199999999997</v>
      </c>
      <c r="M1111">
        <f t="shared" si="142"/>
        <v>1110</v>
      </c>
      <c r="N1111">
        <f t="shared" si="143"/>
        <v>1972.4166666665826</v>
      </c>
      <c r="O1111">
        <f t="shared" si="138"/>
        <v>0</v>
      </c>
      <c r="P1111">
        <f t="array" ref="P1111">+SUM($G$2:$G$18*SIN(2*PI()*(N1111)*$B$1/$F$2:$F$18+$H$2:$H$18))</f>
        <v>-0.89933285859406864</v>
      </c>
      <c r="Q1111">
        <f t="shared" si="139"/>
        <v>0</v>
      </c>
      <c r="R1111">
        <f t="shared" si="140"/>
        <v>-7.5040318260727193E-3</v>
      </c>
      <c r="S1111">
        <f t="array" ref="S1111">+$B$2*SIN(R1111*$B$3+$B$4)+0*R1111+ SUM($J$2:$J$20*SIN(2*PI()*N1111*$I$2:$I$20+$K$2:$K$20))</f>
        <v>8.7066855266222154E-2</v>
      </c>
      <c r="U1111" s="3">
        <f t="shared" si="136"/>
        <v>1972.4166666665826</v>
      </c>
      <c r="V1111" s="3">
        <f t="shared" si="137"/>
        <v>-1.0191840000000001</v>
      </c>
      <c r="Z1111" s="1">
        <v>1972.4583</v>
      </c>
      <c r="AA1111" s="2">
        <f t="shared" si="141"/>
        <v>-0.78389200000000003</v>
      </c>
      <c r="AB1111">
        <v>-39.194600000000001</v>
      </c>
      <c r="AE1111">
        <v>1972.4166666665826</v>
      </c>
      <c r="AF1111">
        <v>8.7066855266222154E-2</v>
      </c>
    </row>
    <row r="1112" spans="4:32" x14ac:dyDescent="0.35">
      <c r="D1112">
        <v>-0.56281599999999998</v>
      </c>
      <c r="M1112">
        <f t="shared" si="142"/>
        <v>1111</v>
      </c>
      <c r="N1112">
        <f t="shared" si="143"/>
        <v>1972.4999999999159</v>
      </c>
      <c r="O1112">
        <f t="shared" si="138"/>
        <v>0</v>
      </c>
      <c r="P1112">
        <f t="array" ref="P1112">+SUM($G$2:$G$18*SIN(2*PI()*(N1112)*$B$1/$F$2:$F$18+$H$2:$H$18))</f>
        <v>-0.31941444841979749</v>
      </c>
      <c r="Q1112">
        <f t="shared" si="139"/>
        <v>0</v>
      </c>
      <c r="R1112">
        <f t="shared" si="140"/>
        <v>-7.4924895675791614E-3</v>
      </c>
      <c r="S1112">
        <f t="array" ref="S1112">+$B$2*SIN(R1112*$B$3+$B$4)+0*R1112+ SUM($J$2:$J$20*SIN(2*PI()*N1112*$I$2:$I$20+$K$2:$K$20))</f>
        <v>8.5442398087843582E-2</v>
      </c>
      <c r="U1112" s="3">
        <f t="shared" si="136"/>
        <v>1972.4999999999159</v>
      </c>
      <c r="V1112" s="3">
        <f t="shared" si="137"/>
        <v>-1.1232880000000001</v>
      </c>
      <c r="Z1112" s="1">
        <v>1972.5417</v>
      </c>
      <c r="AA1112" s="2">
        <f t="shared" si="141"/>
        <v>-1.2295860000000001</v>
      </c>
      <c r="AB1112">
        <v>-61.479300000000002</v>
      </c>
      <c r="AE1112">
        <v>1972.4999999999159</v>
      </c>
      <c r="AF1112">
        <v>8.5442398087843582E-2</v>
      </c>
    </row>
    <row r="1113" spans="4:32" x14ac:dyDescent="0.35">
      <c r="D1113">
        <v>-0.78389200000000003</v>
      </c>
      <c r="M1113">
        <f t="shared" si="142"/>
        <v>1112</v>
      </c>
      <c r="N1113">
        <f t="shared" si="143"/>
        <v>1972.5833333332491</v>
      </c>
      <c r="O1113">
        <f t="shared" si="138"/>
        <v>0</v>
      </c>
      <c r="P1113">
        <f t="array" ref="P1113">+SUM($G$2:$G$18*SIN(2*PI()*(N1113)*$B$1/$F$2:$F$18+$H$2:$H$18))</f>
        <v>4.822961382195011E-2</v>
      </c>
      <c r="Q1113">
        <f t="shared" si="139"/>
        <v>0</v>
      </c>
      <c r="R1113">
        <f t="shared" si="140"/>
        <v>-7.4809650627058197E-3</v>
      </c>
      <c r="S1113">
        <f t="array" ref="S1113">+$B$2*SIN(R1113*$B$3+$B$4)+0*R1113+ SUM($J$2:$J$20*SIN(2*PI()*N1113*$I$2:$I$20+$K$2:$K$20))</f>
        <v>8.3820037252632401E-2</v>
      </c>
      <c r="U1113" s="3">
        <f t="shared" si="136"/>
        <v>1972.5833333332491</v>
      </c>
      <c r="V1113" s="3">
        <f t="shared" si="137"/>
        <v>-1.11816</v>
      </c>
      <c r="Z1113" s="1">
        <v>1972.625</v>
      </c>
      <c r="AA1113" s="2">
        <f t="shared" si="141"/>
        <v>-1.06297</v>
      </c>
      <c r="AB1113">
        <v>-53.148499999999999</v>
      </c>
      <c r="AE1113">
        <v>1972.5833333332491</v>
      </c>
      <c r="AF1113">
        <v>8.3820037252632401E-2</v>
      </c>
    </row>
    <row r="1114" spans="4:32" x14ac:dyDescent="0.35">
      <c r="D1114">
        <v>-1.2295860000000001</v>
      </c>
      <c r="M1114">
        <f t="shared" si="142"/>
        <v>1113</v>
      </c>
      <c r="N1114">
        <f t="shared" si="143"/>
        <v>1972.6666666665824</v>
      </c>
      <c r="O1114">
        <f t="shared" si="138"/>
        <v>0</v>
      </c>
      <c r="P1114">
        <f t="array" ref="P1114">+SUM($G$2:$G$18*SIN(2*PI()*(N1114)*$B$1/$F$2:$F$18+$H$2:$H$18))</f>
        <v>-0.16705732390184685</v>
      </c>
      <c r="Q1114">
        <f t="shared" si="139"/>
        <v>0</v>
      </c>
      <c r="R1114">
        <f t="shared" si="140"/>
        <v>-7.4694582841451241E-3</v>
      </c>
      <c r="S1114">
        <f t="array" ref="S1114">+$B$2*SIN(R1114*$B$3+$B$4)+0*R1114+ SUM($J$2:$J$20*SIN(2*PI()*N1114*$I$2:$I$20+$K$2:$K$20))</f>
        <v>8.2199778388003325E-2</v>
      </c>
      <c r="U1114" s="3">
        <f t="shared" si="136"/>
        <v>1972.6666666665824</v>
      </c>
      <c r="V1114" s="3">
        <f t="shared" si="137"/>
        <v>-0.91303799999999991</v>
      </c>
      <c r="Z1114" s="1">
        <v>1972.7083</v>
      </c>
      <c r="AA1114" s="2">
        <f t="shared" si="141"/>
        <v>-0.70712399999999997</v>
      </c>
      <c r="AB1114">
        <v>-35.356200000000001</v>
      </c>
      <c r="AE1114">
        <v>1972.6666666665824</v>
      </c>
      <c r="AF1114">
        <v>8.2199778388003325E-2</v>
      </c>
    </row>
    <row r="1115" spans="4:32" x14ac:dyDescent="0.35">
      <c r="D1115">
        <v>-1.06297</v>
      </c>
      <c r="M1115">
        <f t="shared" si="142"/>
        <v>1114</v>
      </c>
      <c r="N1115">
        <f t="shared" si="143"/>
        <v>1972.7499999999156</v>
      </c>
      <c r="O1115">
        <f t="shared" si="138"/>
        <v>0</v>
      </c>
      <c r="P1115">
        <f t="array" ref="P1115">+SUM($G$2:$G$18*SIN(2*PI()*(N1115)*$B$1/$F$2:$F$18+$H$2:$H$18))</f>
        <v>-0.31997363263228629</v>
      </c>
      <c r="Q1115">
        <f t="shared" si="139"/>
        <v>0</v>
      </c>
      <c r="R1115">
        <f t="shared" si="140"/>
        <v>-7.457969204631508E-3</v>
      </c>
      <c r="S1115">
        <f t="array" ref="S1115">+$B$2*SIN(R1115*$B$3+$B$4)+0*R1115+ SUM($J$2:$J$20*SIN(2*PI()*N1115*$I$2:$I$20+$K$2:$K$20))</f>
        <v>8.0581627052262725E-2</v>
      </c>
      <c r="U1115" s="3">
        <f t="shared" si="136"/>
        <v>1972.7499999999156</v>
      </c>
      <c r="V1115" s="3">
        <f t="shared" si="137"/>
        <v>-1.047914</v>
      </c>
      <c r="Z1115" s="1">
        <v>1972.7917</v>
      </c>
      <c r="AA1115" s="2">
        <f t="shared" si="141"/>
        <v>-0.22820599999999999</v>
      </c>
      <c r="AB1115">
        <v>-11.410299999999999</v>
      </c>
      <c r="AE1115">
        <v>1972.7499999999156</v>
      </c>
      <c r="AF1115">
        <v>8.0581627052262725E-2</v>
      </c>
    </row>
    <row r="1116" spans="4:32" x14ac:dyDescent="0.35">
      <c r="D1116">
        <v>-0.70712399999999997</v>
      </c>
      <c r="M1116">
        <f t="shared" si="142"/>
        <v>1115</v>
      </c>
      <c r="N1116">
        <f t="shared" si="143"/>
        <v>1972.8333333332489</v>
      </c>
      <c r="O1116">
        <f t="shared" si="138"/>
        <v>0</v>
      </c>
      <c r="P1116">
        <f t="array" ref="P1116">+SUM($G$2:$G$18*SIN(2*PI()*(N1116)*$B$1/$F$2:$F$18+$H$2:$H$18))</f>
        <v>-8.8934387469603624E-2</v>
      </c>
      <c r="Q1116">
        <f t="shared" si="139"/>
        <v>0</v>
      </c>
      <c r="R1116">
        <f t="shared" si="140"/>
        <v>-7.4464977969413426E-3</v>
      </c>
      <c r="S1116">
        <f t="array" ref="S1116">+$B$2*SIN(R1116*$B$3+$B$4)+0*R1116+ SUM($J$2:$J$20*SIN(2*PI()*N1116*$I$2:$I$20+$K$2:$K$20))</f>
        <v>7.8965588735002437E-2</v>
      </c>
      <c r="U1116" s="3">
        <f t="shared" si="136"/>
        <v>1972.8333333332489</v>
      </c>
      <c r="V1116" s="3">
        <f t="shared" si="137"/>
        <v>-1.0027900000000001</v>
      </c>
      <c r="Z1116" s="1">
        <v>1972.875</v>
      </c>
      <c r="AA1116" s="2">
        <f t="shared" si="141"/>
        <v>-0.24005600000000002</v>
      </c>
      <c r="AB1116">
        <v>-12.002800000000001</v>
      </c>
      <c r="AE1116">
        <v>1972.8333333332489</v>
      </c>
      <c r="AF1116">
        <v>7.8965588735002437E-2</v>
      </c>
    </row>
    <row r="1117" spans="4:32" x14ac:dyDescent="0.35">
      <c r="D1117">
        <v>-0.22820599999999999</v>
      </c>
      <c r="M1117">
        <f t="shared" si="142"/>
        <v>1116</v>
      </c>
      <c r="N1117">
        <f t="shared" si="143"/>
        <v>1972.9166666665822</v>
      </c>
      <c r="O1117">
        <f t="shared" si="138"/>
        <v>0</v>
      </c>
      <c r="P1117">
        <f t="array" ref="P1117">+SUM($G$2:$G$18*SIN(2*PI()*(N1117)*$B$1/$F$2:$F$18+$H$2:$H$18))</f>
        <v>0.33122629769679168</v>
      </c>
      <c r="Q1117">
        <f t="shared" si="139"/>
        <v>0</v>
      </c>
      <c r="R1117">
        <f t="shared" si="140"/>
        <v>-7.4350440338928738E-3</v>
      </c>
      <c r="S1117">
        <f t="array" ref="S1117">+$B$2*SIN(R1117*$B$3+$B$4)+0*R1117+ SUM($J$2:$J$20*SIN(2*PI()*N1117*$I$2:$I$20+$K$2:$K$20))</f>
        <v>7.7351668857501374E-2</v>
      </c>
      <c r="U1117" s="3">
        <f t="shared" si="136"/>
        <v>1972.9166666665822</v>
      </c>
      <c r="V1117" s="3">
        <f t="shared" si="137"/>
        <v>-0.89766999999999997</v>
      </c>
      <c r="Z1117" s="1">
        <v>1972.9583</v>
      </c>
      <c r="AA1117" s="2">
        <f t="shared" si="141"/>
        <v>-0.131906</v>
      </c>
      <c r="AB1117">
        <v>-6.5952999999999999</v>
      </c>
      <c r="AE1117">
        <v>1972.9166666665822</v>
      </c>
      <c r="AF1117">
        <v>7.7351668857501374E-2</v>
      </c>
    </row>
    <row r="1118" spans="4:32" x14ac:dyDescent="0.35">
      <c r="D1118">
        <v>-0.24005600000000002</v>
      </c>
      <c r="M1118">
        <f t="shared" si="142"/>
        <v>1117</v>
      </c>
      <c r="N1118">
        <f t="shared" si="143"/>
        <v>1972.9999999999154</v>
      </c>
      <c r="O1118">
        <f t="shared" si="138"/>
        <v>36.637715116165623</v>
      </c>
      <c r="P1118">
        <f t="array" ref="P1118">+SUM($G$2:$G$18*SIN(2*PI()*(N1118)*$B$1/$F$2:$F$18+$H$2:$H$18))</f>
        <v>0.27011753900484364</v>
      </c>
      <c r="Q1118">
        <f t="shared" si="139"/>
        <v>9.8964894419392166</v>
      </c>
      <c r="R1118">
        <f t="shared" si="140"/>
        <v>7.7985875880577085E-3</v>
      </c>
      <c r="S1118">
        <f t="array" ref="S1118">+$B$2*SIN(R1118*$B$3+$B$4)+0*R1118+ SUM($J$2:$J$20*SIN(2*PI()*N1118*$I$2:$I$20+$K$2:$K$20))</f>
        <v>-0.27737372311360703</v>
      </c>
      <c r="U1118" s="3">
        <f t="shared" si="136"/>
        <v>1972.9999999999154</v>
      </c>
      <c r="V1118" s="3">
        <f t="shared" si="137"/>
        <v>-0.654088</v>
      </c>
      <c r="Z1118" s="1">
        <v>1973.0417</v>
      </c>
      <c r="AA1118" s="2">
        <f t="shared" si="141"/>
        <v>-6.8379999999999995E-3</v>
      </c>
      <c r="AB1118">
        <v>-0.34189999999999998</v>
      </c>
      <c r="AE1118">
        <v>1972.9999999999154</v>
      </c>
      <c r="AF1118">
        <v>-0.27737372311360703</v>
      </c>
    </row>
    <row r="1119" spans="4:32" x14ac:dyDescent="0.35">
      <c r="D1119">
        <v>-0.131906</v>
      </c>
      <c r="M1119">
        <f t="shared" si="142"/>
        <v>1118</v>
      </c>
      <c r="N1119">
        <f t="shared" si="143"/>
        <v>1973.0833333332487</v>
      </c>
      <c r="O1119">
        <f t="shared" si="138"/>
        <v>0</v>
      </c>
      <c r="P1119">
        <f t="array" ref="P1119">+SUM($G$2:$G$18*SIN(2*PI()*(N1119)*$B$1/$F$2:$F$18+$H$2:$H$18))</f>
        <v>-0.40886695624523228</v>
      </c>
      <c r="Q1119">
        <f t="shared" si="139"/>
        <v>0</v>
      </c>
      <c r="R1119">
        <f t="shared" si="140"/>
        <v>7.7865922612904009E-3</v>
      </c>
      <c r="S1119">
        <f t="array" ref="S1119">+$B$2*SIN(R1119*$B$3+$B$4)+0*R1119+ SUM($J$2:$J$20*SIN(2*PI()*N1119*$I$2:$I$20+$K$2:$K$20))</f>
        <v>-0.27895284669454118</v>
      </c>
      <c r="U1119" s="3">
        <f t="shared" si="136"/>
        <v>1973.0833333332487</v>
      </c>
      <c r="V1119" s="3">
        <f t="shared" si="137"/>
        <v>-0.77358199999999999</v>
      </c>
      <c r="Z1119" s="1">
        <v>1973.125</v>
      </c>
      <c r="AA1119" s="2">
        <f t="shared" si="141"/>
        <v>6.9001999999999994E-2</v>
      </c>
      <c r="AB1119">
        <v>3.4500999999999999</v>
      </c>
      <c r="AE1119">
        <v>1973.0833333332487</v>
      </c>
      <c r="AF1119">
        <v>-0.27895284669454118</v>
      </c>
    </row>
    <row r="1120" spans="4:32" x14ac:dyDescent="0.35">
      <c r="D1120">
        <v>-6.8379999999999995E-3</v>
      </c>
      <c r="M1120">
        <f t="shared" si="142"/>
        <v>1119</v>
      </c>
      <c r="N1120">
        <f t="shared" si="143"/>
        <v>1973.1666666665819</v>
      </c>
      <c r="O1120">
        <f t="shared" si="138"/>
        <v>0</v>
      </c>
      <c r="P1120">
        <f t="array" ref="P1120">+SUM($G$2:$G$18*SIN(2*PI()*(N1120)*$B$1/$F$2:$F$18+$H$2:$H$18))</f>
        <v>-0.62348766769317177</v>
      </c>
      <c r="Q1120">
        <f t="shared" si="139"/>
        <v>0</v>
      </c>
      <c r="R1120">
        <f t="shared" si="140"/>
        <v>7.7746153850261658E-3</v>
      </c>
      <c r="S1120">
        <f t="array" ref="S1120">+$B$2*SIN(R1120*$B$3+$B$4)+0*R1120+ SUM($J$2:$J$20*SIN(2*PI()*N1120*$I$2:$I$20+$K$2:$K$20))</f>
        <v>-0.28052812280824857</v>
      </c>
      <c r="U1120" s="3">
        <f t="shared" si="136"/>
        <v>1973.1666666665819</v>
      </c>
      <c r="V1120" s="3">
        <f t="shared" si="137"/>
        <v>-0.87923599999999991</v>
      </c>
      <c r="Z1120" s="1">
        <v>1973.2083</v>
      </c>
      <c r="AA1120" s="2">
        <f t="shared" si="141"/>
        <v>9.0996000000000007E-2</v>
      </c>
      <c r="AB1120">
        <v>4.5498000000000003</v>
      </c>
      <c r="AE1120">
        <v>1973.1666666665819</v>
      </c>
      <c r="AF1120">
        <v>-0.28052812280824857</v>
      </c>
    </row>
    <row r="1121" spans="4:32" x14ac:dyDescent="0.35">
      <c r="D1121">
        <v>6.9001999999999994E-2</v>
      </c>
      <c r="M1121">
        <f t="shared" si="142"/>
        <v>1120</v>
      </c>
      <c r="N1121">
        <f t="shared" si="143"/>
        <v>1973.2499999999152</v>
      </c>
      <c r="O1121">
        <f t="shared" si="138"/>
        <v>0</v>
      </c>
      <c r="P1121">
        <f t="array" ref="P1121">+SUM($G$2:$G$18*SIN(2*PI()*(N1121)*$B$1/$F$2:$F$18+$H$2:$H$18))</f>
        <v>-8.3665459841595347E-2</v>
      </c>
      <c r="Q1121">
        <f t="shared" si="139"/>
        <v>0</v>
      </c>
      <c r="R1121">
        <f t="shared" si="140"/>
        <v>7.762656930885529E-3</v>
      </c>
      <c r="S1121">
        <f t="array" ref="S1121">+$B$2*SIN(R1121*$B$3+$B$4)+0*R1121+ SUM($J$2:$J$20*SIN(2*PI()*N1121*$I$2:$I$20+$K$2:$K$20))</f>
        <v>-0.28209955374706103</v>
      </c>
      <c r="U1121" s="3">
        <f t="shared" si="136"/>
        <v>1973.2499999999152</v>
      </c>
      <c r="V1121" s="3">
        <f t="shared" si="137"/>
        <v>-0.74027199999999993</v>
      </c>
      <c r="Z1121" s="1">
        <v>1973.2917</v>
      </c>
      <c r="AA1121" s="2">
        <f t="shared" si="141"/>
        <v>-5.1631999999999997E-2</v>
      </c>
      <c r="AB1121">
        <v>-2.5815999999999999</v>
      </c>
      <c r="AE1121">
        <v>1973.2499999999152</v>
      </c>
      <c r="AF1121">
        <v>-0.28209955374706103</v>
      </c>
    </row>
    <row r="1122" spans="4:32" x14ac:dyDescent="0.35">
      <c r="D1122">
        <v>9.0996000000000007E-2</v>
      </c>
      <c r="M1122">
        <f t="shared" si="142"/>
        <v>1121</v>
      </c>
      <c r="N1122">
        <f t="shared" si="143"/>
        <v>1973.3333333332484</v>
      </c>
      <c r="O1122">
        <f t="shared" si="138"/>
        <v>0</v>
      </c>
      <c r="P1122">
        <f t="array" ref="P1122">+SUM($G$2:$G$18*SIN(2*PI()*(N1122)*$B$1/$F$2:$F$18+$H$2:$H$18))</f>
        <v>0.22805848517564103</v>
      </c>
      <c r="Q1122">
        <f t="shared" si="139"/>
        <v>0</v>
      </c>
      <c r="R1122">
        <f t="shared" si="140"/>
        <v>7.7507168705326689E-3</v>
      </c>
      <c r="S1122">
        <f t="array" ref="S1122">+$B$2*SIN(R1122*$B$3+$B$4)+0*R1122+ SUM($J$2:$J$20*SIN(2*PI()*N1122*$I$2:$I$20+$K$2:$K$20))</f>
        <v>-0.2836671418549111</v>
      </c>
      <c r="U1122" s="3">
        <f t="shared" si="136"/>
        <v>1973.3333333332484</v>
      </c>
      <c r="V1122" s="3">
        <f t="shared" si="137"/>
        <v>-0.96284599999999998</v>
      </c>
      <c r="Z1122" s="1">
        <v>1973.375</v>
      </c>
      <c r="AA1122" s="2">
        <f t="shared" si="141"/>
        <v>2.1128000000000001E-2</v>
      </c>
      <c r="AB1122">
        <v>1.0564</v>
      </c>
      <c r="AE1122">
        <v>1973.3333333332484</v>
      </c>
      <c r="AF1122">
        <v>-0.2836671418549111</v>
      </c>
    </row>
    <row r="1123" spans="4:32" x14ac:dyDescent="0.35">
      <c r="D1123">
        <v>-5.1631999999999997E-2</v>
      </c>
      <c r="M1123">
        <f t="shared" si="142"/>
        <v>1122</v>
      </c>
      <c r="N1123">
        <f t="shared" si="143"/>
        <v>1973.4166666665817</v>
      </c>
      <c r="O1123">
        <f t="shared" si="138"/>
        <v>0</v>
      </c>
      <c r="P1123">
        <f t="array" ref="P1123">+SUM($G$2:$G$18*SIN(2*PI()*(N1123)*$B$1/$F$2:$F$18+$H$2:$H$18))</f>
        <v>7.7374749937396098E-2</v>
      </c>
      <c r="Q1123">
        <f t="shared" si="139"/>
        <v>0</v>
      </c>
      <c r="R1123">
        <f t="shared" si="140"/>
        <v>7.7387951756753472E-3</v>
      </c>
      <c r="S1123">
        <f t="array" ref="S1123">+$B$2*SIN(R1123*$B$3+$B$4)+0*R1123+ SUM($J$2:$J$20*SIN(2*PI()*N1123*$I$2:$I$20+$K$2:$K$20))</f>
        <v>-0.28523088952687792</v>
      </c>
      <c r="U1123" s="3">
        <f t="shared" si="136"/>
        <v>1973.4166666665817</v>
      </c>
      <c r="V1123" s="3">
        <f t="shared" si="137"/>
        <v>-0.65004200000000001</v>
      </c>
      <c r="Z1123" s="1">
        <v>1973.4583</v>
      </c>
      <c r="AA1123" s="2">
        <f t="shared" si="141"/>
        <v>0.124654</v>
      </c>
      <c r="AB1123">
        <v>6.2327000000000004</v>
      </c>
      <c r="AE1123">
        <v>1973.4166666665817</v>
      </c>
      <c r="AF1123">
        <v>-0.28523088952687792</v>
      </c>
    </row>
    <row r="1124" spans="4:32" x14ac:dyDescent="0.35">
      <c r="D1124">
        <v>2.1128000000000001E-2</v>
      </c>
      <c r="M1124">
        <f t="shared" si="142"/>
        <v>1123</v>
      </c>
      <c r="N1124">
        <f t="shared" si="143"/>
        <v>1973.499999999915</v>
      </c>
      <c r="O1124">
        <f t="shared" si="138"/>
        <v>0</v>
      </c>
      <c r="P1124">
        <f t="array" ref="P1124">+SUM($G$2:$G$18*SIN(2*PI()*(N1124)*$B$1/$F$2:$F$18+$H$2:$H$18))</f>
        <v>-3.4423726597463233E-2</v>
      </c>
      <c r="Q1124">
        <f t="shared" si="139"/>
        <v>0</v>
      </c>
      <c r="R1124">
        <f t="shared" si="140"/>
        <v>7.7268918180648429E-3</v>
      </c>
      <c r="S1124">
        <f t="array" ref="S1124">+$B$2*SIN(R1124*$B$3+$B$4)+0*R1124+ SUM($J$2:$J$20*SIN(2*PI()*N1124*$I$2:$I$20+$K$2:$K$20))</f>
        <v>-0.28679079920873296</v>
      </c>
      <c r="U1124" s="3">
        <f t="shared" si="136"/>
        <v>1973.499999999915</v>
      </c>
      <c r="V1124" s="3">
        <f t="shared" si="137"/>
        <v>-0.45262000000000002</v>
      </c>
      <c r="Z1124" s="1">
        <v>1973.5417</v>
      </c>
      <c r="AA1124" s="2">
        <f t="shared" si="141"/>
        <v>0.140486</v>
      </c>
      <c r="AB1124">
        <v>7.0243000000000002</v>
      </c>
      <c r="AE1124">
        <v>1973.499999999915</v>
      </c>
      <c r="AF1124">
        <v>-0.28679079920873296</v>
      </c>
    </row>
    <row r="1125" spans="4:32" x14ac:dyDescent="0.35">
      <c r="D1125">
        <v>0.124654</v>
      </c>
      <c r="M1125">
        <f t="shared" si="142"/>
        <v>1124</v>
      </c>
      <c r="N1125">
        <f t="shared" si="143"/>
        <v>1973.5833333332482</v>
      </c>
      <c r="O1125">
        <f t="shared" si="138"/>
        <v>0</v>
      </c>
      <c r="P1125">
        <f t="array" ref="P1125">+SUM($G$2:$G$18*SIN(2*PI()*(N1125)*$B$1/$F$2:$F$18+$H$2:$H$18))</f>
        <v>0.15823123237114817</v>
      </c>
      <c r="Q1125">
        <f t="shared" si="139"/>
        <v>0</v>
      </c>
      <c r="R1125">
        <f t="shared" si="140"/>
        <v>7.7150067694958871E-3</v>
      </c>
      <c r="S1125">
        <f t="array" ref="S1125">+$B$2*SIN(R1125*$B$3+$B$4)+0*R1125+ SUM($J$2:$J$20*SIN(2*PI()*N1125*$I$2:$I$20+$K$2:$K$20))</f>
        <v>-0.28834687339648979</v>
      </c>
      <c r="U1125" s="3">
        <f t="shared" si="136"/>
        <v>1973.5833333332482</v>
      </c>
      <c r="V1125" s="3">
        <f t="shared" si="137"/>
        <v>-0.356738</v>
      </c>
      <c r="Z1125" s="1">
        <v>1973.625</v>
      </c>
      <c r="AA1125" s="2">
        <f t="shared" si="141"/>
        <v>0.35170400000000002</v>
      </c>
      <c r="AB1125">
        <v>17.5852</v>
      </c>
      <c r="AE1125">
        <v>1973.5833333332482</v>
      </c>
      <c r="AF1125">
        <v>-0.28834687339648979</v>
      </c>
    </row>
    <row r="1126" spans="4:32" x14ac:dyDescent="0.35">
      <c r="D1126">
        <v>0.140486</v>
      </c>
      <c r="M1126">
        <f t="shared" si="142"/>
        <v>1125</v>
      </c>
      <c r="N1126">
        <f t="shared" si="143"/>
        <v>1973.6666666665815</v>
      </c>
      <c r="O1126">
        <f t="shared" si="138"/>
        <v>0</v>
      </c>
      <c r="P1126">
        <f t="array" ref="P1126">+SUM($G$2:$G$18*SIN(2*PI()*(N1126)*$B$1/$F$2:$F$18+$H$2:$H$18))</f>
        <v>0.50874029959205713</v>
      </c>
      <c r="Q1126">
        <f t="shared" si="139"/>
        <v>0</v>
      </c>
      <c r="R1126">
        <f t="shared" si="140"/>
        <v>7.7031400018065929E-3</v>
      </c>
      <c r="S1126">
        <f t="array" ref="S1126">+$B$2*SIN(R1126*$B$3+$B$4)+0*R1126+ SUM($J$2:$J$20*SIN(2*PI()*N1126*$I$2:$I$20+$K$2:$K$20))</f>
        <v>-0.28989911463595586</v>
      </c>
      <c r="U1126" s="3">
        <f t="shared" si="136"/>
        <v>1973.6666666665815</v>
      </c>
      <c r="V1126" s="3">
        <f t="shared" si="137"/>
        <v>-0.26085799999999998</v>
      </c>
      <c r="Z1126" s="1">
        <v>1973.7083</v>
      </c>
      <c r="AA1126" s="2">
        <f t="shared" si="141"/>
        <v>5.0612000000000004E-2</v>
      </c>
      <c r="AB1126">
        <v>2.5306000000000002</v>
      </c>
      <c r="AE1126">
        <v>1973.6666666665815</v>
      </c>
      <c r="AF1126">
        <v>-0.28989911463595586</v>
      </c>
    </row>
    <row r="1127" spans="4:32" x14ac:dyDescent="0.35">
      <c r="D1127">
        <v>0.35170400000000002</v>
      </c>
      <c r="M1127">
        <f t="shared" si="142"/>
        <v>1126</v>
      </c>
      <c r="N1127">
        <f t="shared" si="143"/>
        <v>1973.7499999999147</v>
      </c>
      <c r="O1127">
        <f t="shared" si="138"/>
        <v>0</v>
      </c>
      <c r="P1127">
        <f t="array" ref="P1127">+SUM($G$2:$G$18*SIN(2*PI()*(N1127)*$B$1/$F$2:$F$18+$H$2:$H$18))</f>
        <v>0.36856329257326831</v>
      </c>
      <c r="Q1127">
        <f t="shared" si="139"/>
        <v>0</v>
      </c>
      <c r="R1127">
        <f t="shared" si="140"/>
        <v>7.6912914868783912E-3</v>
      </c>
      <c r="S1127">
        <f t="array" ref="S1127">+$B$2*SIN(R1127*$B$3+$B$4)+0*R1127+ SUM($J$2:$J$20*SIN(2*PI()*N1127*$I$2:$I$20+$K$2:$K$20))</f>
        <v>-0.29144752552228764</v>
      </c>
      <c r="U1127" s="3">
        <f t="shared" si="136"/>
        <v>1973.7499999999147</v>
      </c>
      <c r="V1127" s="3">
        <f t="shared" si="137"/>
        <v>-0.26036199999999998</v>
      </c>
      <c r="Z1127" s="1">
        <v>1973.7917</v>
      </c>
      <c r="AA1127" s="2">
        <f t="shared" si="141"/>
        <v>-0.122792</v>
      </c>
      <c r="AB1127">
        <v>-6.1395999999999997</v>
      </c>
      <c r="AE1127">
        <v>1973.7499999999147</v>
      </c>
      <c r="AF1127">
        <v>-0.29144752552228764</v>
      </c>
    </row>
    <row r="1128" spans="4:32" x14ac:dyDescent="0.35">
      <c r="D1128">
        <v>5.0612000000000004E-2</v>
      </c>
      <c r="M1128">
        <f t="shared" si="142"/>
        <v>1127</v>
      </c>
      <c r="N1128">
        <f t="shared" si="143"/>
        <v>1973.833333333248</v>
      </c>
      <c r="O1128">
        <f t="shared" si="138"/>
        <v>0</v>
      </c>
      <c r="P1128">
        <f t="array" ref="P1128">+SUM($G$2:$G$18*SIN(2*PI()*(N1128)*$B$1/$F$2:$F$18+$H$2:$H$18))</f>
        <v>-0.23594444955233929</v>
      </c>
      <c r="Q1128">
        <f t="shared" si="139"/>
        <v>0</v>
      </c>
      <c r="R1128">
        <f t="shared" si="140"/>
        <v>7.6794611966359639E-3</v>
      </c>
      <c r="S1128">
        <f t="array" ref="S1128">+$B$2*SIN(R1128*$B$3+$B$4)+0*R1128+ SUM($J$2:$J$20*SIN(2*PI()*N1128*$I$2:$I$20+$K$2:$K$20))</f>
        <v>-0.29299210869954584</v>
      </c>
      <c r="U1128" s="3">
        <f t="shared" si="136"/>
        <v>1973.833333333248</v>
      </c>
      <c r="V1128" s="3">
        <f t="shared" si="137"/>
        <v>-0.13833000000000001</v>
      </c>
      <c r="Z1128" s="1">
        <v>1973.875</v>
      </c>
      <c r="AA1128" s="2">
        <f t="shared" si="141"/>
        <v>-0.35003799999999996</v>
      </c>
      <c r="AB1128">
        <v>-17.501899999999999</v>
      </c>
      <c r="AE1128">
        <v>1973.833333333248</v>
      </c>
      <c r="AF1128">
        <v>-0.29299210869954584</v>
      </c>
    </row>
    <row r="1129" spans="4:32" x14ac:dyDescent="0.35">
      <c r="D1129">
        <v>-0.122792</v>
      </c>
      <c r="M1129">
        <f t="shared" si="142"/>
        <v>1128</v>
      </c>
      <c r="N1129">
        <f t="shared" si="143"/>
        <v>1973.9166666665812</v>
      </c>
      <c r="O1129">
        <f t="shared" si="138"/>
        <v>0</v>
      </c>
      <c r="P1129">
        <f t="array" ref="P1129">+SUM($G$2:$G$18*SIN(2*PI()*(N1129)*$B$1/$F$2:$F$18+$H$2:$H$18))</f>
        <v>-0.31050915273641561</v>
      </c>
      <c r="Q1129">
        <f t="shared" si="139"/>
        <v>0</v>
      </c>
      <c r="R1129">
        <f t="shared" si="140"/>
        <v>7.6676491030471744E-3</v>
      </c>
      <c r="S1129">
        <f t="array" ref="S1129">+$B$2*SIN(R1129*$B$3+$B$4)+0*R1129+ SUM($J$2:$J$20*SIN(2*PI()*N1129*$I$2:$I$20+$K$2:$K$20))</f>
        <v>-0.29453286686025654</v>
      </c>
      <c r="U1129" s="3">
        <f t="shared" si="136"/>
        <v>1973.9166666665812</v>
      </c>
      <c r="V1129" s="3">
        <f t="shared" si="137"/>
        <v>-0.131686</v>
      </c>
      <c r="Z1129" s="1">
        <v>1973.9583</v>
      </c>
      <c r="AA1129" s="2">
        <f t="shared" si="141"/>
        <v>-0.20036400000000001</v>
      </c>
      <c r="AB1129">
        <v>-10.0182</v>
      </c>
      <c r="AE1129">
        <v>1973.9166666665812</v>
      </c>
      <c r="AF1129">
        <v>-0.29453286686025654</v>
      </c>
    </row>
    <row r="1130" spans="4:32" x14ac:dyDescent="0.35">
      <c r="D1130">
        <v>-0.35003799999999996</v>
      </c>
      <c r="M1130">
        <f t="shared" si="142"/>
        <v>1129</v>
      </c>
      <c r="N1130">
        <f t="shared" si="143"/>
        <v>1973.9999999999145</v>
      </c>
      <c r="O1130">
        <f t="shared" si="138"/>
        <v>36.637715116165623</v>
      </c>
      <c r="P1130">
        <f t="array" ref="P1130">+SUM($G$2:$G$18*SIN(2*PI()*(N1130)*$B$1/$F$2:$F$18+$H$2:$H$18))</f>
        <v>0.13357766673409657</v>
      </c>
      <c r="Q1130">
        <f t="shared" si="139"/>
        <v>4.8939804996859442</v>
      </c>
      <c r="R1130">
        <f t="shared" si="140"/>
        <v>1.5183486896520555E-2</v>
      </c>
      <c r="S1130">
        <f t="array" ref="S1130">+$B$2*SIN(R1130*$B$3+$B$4)+0*R1130+ SUM($J$2:$J$20*SIN(2*PI()*N1130*$I$2:$I$20+$K$2:$K$20))</f>
        <v>0.6384535796971017</v>
      </c>
      <c r="U1130" s="3">
        <f t="shared" si="136"/>
        <v>1973.9999999999145</v>
      </c>
      <c r="V1130" s="3">
        <f t="shared" si="137"/>
        <v>5.4960000000000002E-2</v>
      </c>
      <c r="Z1130" s="1">
        <v>1974.0417</v>
      </c>
      <c r="AA1130" s="2">
        <f t="shared" si="141"/>
        <v>9.6998000000000001E-2</v>
      </c>
      <c r="AB1130">
        <v>4.8498999999999999</v>
      </c>
      <c r="AE1130">
        <v>1973.9999999999145</v>
      </c>
      <c r="AF1130">
        <v>0.6384535796971017</v>
      </c>
    </row>
    <row r="1131" spans="4:32" x14ac:dyDescent="0.35">
      <c r="D1131">
        <v>-0.20036400000000001</v>
      </c>
      <c r="M1131">
        <f t="shared" si="142"/>
        <v>1130</v>
      </c>
      <c r="N1131">
        <f t="shared" si="143"/>
        <v>1974.0833333332478</v>
      </c>
      <c r="O1131">
        <f t="shared" si="138"/>
        <v>0</v>
      </c>
      <c r="P1131">
        <f t="array" ref="P1131">+SUM($G$2:$G$18*SIN(2*PI()*(N1131)*$B$1/$F$2:$F$18+$H$2:$H$18))</f>
        <v>0.28908176640966016</v>
      </c>
      <c r="Q1131">
        <f t="shared" si="139"/>
        <v>0</v>
      </c>
      <c r="R1131">
        <f t="shared" si="140"/>
        <v>1.5160132553861149E-2</v>
      </c>
      <c r="S1131">
        <f t="array" ref="S1131">+$B$2*SIN(R1131*$B$3+$B$4)+0*R1131+ SUM($J$2:$J$20*SIN(2*PI()*N1131*$I$2:$I$20+$K$2:$K$20))</f>
        <v>0.63669478955805781</v>
      </c>
      <c r="U1131" s="3">
        <f t="shared" si="136"/>
        <v>1974.0833333332478</v>
      </c>
      <c r="V1131" s="3">
        <f t="shared" si="137"/>
        <v>3.6989999999999995E-2</v>
      </c>
      <c r="Z1131" s="1">
        <v>1974.125</v>
      </c>
      <c r="AA1131" s="2">
        <f t="shared" si="141"/>
        <v>0.16359400000000002</v>
      </c>
      <c r="AB1131">
        <v>8.1797000000000004</v>
      </c>
      <c r="AE1131">
        <v>1974.0833333332478</v>
      </c>
      <c r="AF1131">
        <v>0.63669478955805781</v>
      </c>
    </row>
    <row r="1132" spans="4:32" x14ac:dyDescent="0.35">
      <c r="D1132">
        <v>9.6998000000000001E-2</v>
      </c>
      <c r="M1132">
        <f t="shared" si="142"/>
        <v>1131</v>
      </c>
      <c r="N1132">
        <f t="shared" si="143"/>
        <v>1974.166666666581</v>
      </c>
      <c r="O1132">
        <f t="shared" si="138"/>
        <v>0</v>
      </c>
      <c r="P1132">
        <f t="array" ref="P1132">+SUM($G$2:$G$18*SIN(2*PI()*(N1132)*$B$1/$F$2:$F$18+$H$2:$H$18))</f>
        <v>0.20030524973633118</v>
      </c>
      <c r="Q1132">
        <f t="shared" si="139"/>
        <v>0</v>
      </c>
      <c r="R1132">
        <f t="shared" si="140"/>
        <v>1.5136814133472086E-2</v>
      </c>
      <c r="S1132">
        <f t="array" ref="S1132">+$B$2*SIN(R1132*$B$3+$B$4)+0*R1132+ SUM($J$2:$J$20*SIN(2*PI()*N1132*$I$2:$I$20+$K$2:$K$20))</f>
        <v>0.63492643146838079</v>
      </c>
      <c r="U1132" s="3">
        <f t="shared" si="136"/>
        <v>1974.166666666581</v>
      </c>
      <c r="V1132" s="3">
        <f t="shared" si="137"/>
        <v>-6.2522000000000008E-2</v>
      </c>
      <c r="Z1132" s="1">
        <v>1974.2083</v>
      </c>
      <c r="AA1132" s="2">
        <f t="shared" si="141"/>
        <v>3.3264000000000002E-2</v>
      </c>
      <c r="AB1132">
        <v>1.6632</v>
      </c>
      <c r="AE1132">
        <v>1974.166666666581</v>
      </c>
      <c r="AF1132">
        <v>0.63492643146838079</v>
      </c>
    </row>
    <row r="1133" spans="4:32" x14ac:dyDescent="0.35">
      <c r="D1133">
        <v>0.16359400000000002</v>
      </c>
      <c r="M1133">
        <f t="shared" si="142"/>
        <v>1132</v>
      </c>
      <c r="N1133">
        <f t="shared" si="143"/>
        <v>1974.2499999999143</v>
      </c>
      <c r="O1133">
        <f t="shared" si="138"/>
        <v>0</v>
      </c>
      <c r="P1133">
        <f t="array" ref="P1133">+SUM($G$2:$G$18*SIN(2*PI()*(N1133)*$B$1/$F$2:$F$18+$H$2:$H$18))</f>
        <v>0.21456852984111122</v>
      </c>
      <c r="Q1133">
        <f t="shared" si="139"/>
        <v>0</v>
      </c>
      <c r="R1133">
        <f t="shared" si="140"/>
        <v>1.5113531580099851E-2</v>
      </c>
      <c r="S1133">
        <f t="array" ref="S1133">+$B$2*SIN(R1133*$B$3+$B$4)+0*R1133+ SUM($J$2:$J$20*SIN(2*PI()*N1133*$I$2:$I$20+$K$2:$K$20))</f>
        <v>0.6331485918544556</v>
      </c>
      <c r="U1133" s="3">
        <f t="shared" si="136"/>
        <v>1974.2499999999143</v>
      </c>
      <c r="V1133" s="3">
        <f t="shared" si="137"/>
        <v>0.32719799999999999</v>
      </c>
      <c r="Z1133" s="1">
        <v>1974.2917</v>
      </c>
      <c r="AA1133" s="2">
        <f t="shared" si="141"/>
        <v>0.19985399999999998</v>
      </c>
      <c r="AB1133">
        <v>9.9926999999999992</v>
      </c>
      <c r="AE1133">
        <v>1974.2499999999143</v>
      </c>
      <c r="AF1133">
        <v>0.6331485918544556</v>
      </c>
    </row>
    <row r="1134" spans="4:32" x14ac:dyDescent="0.35">
      <c r="D1134">
        <v>3.3264000000000002E-2</v>
      </c>
      <c r="M1134">
        <f t="shared" si="142"/>
        <v>1133</v>
      </c>
      <c r="N1134">
        <f t="shared" si="143"/>
        <v>1974.3333333332475</v>
      </c>
      <c r="O1134">
        <f t="shared" si="138"/>
        <v>0</v>
      </c>
      <c r="P1134">
        <f t="array" ref="P1134">+SUM($G$2:$G$18*SIN(2*PI()*(N1134)*$B$1/$F$2:$F$18+$H$2:$H$18))</f>
        <v>0.38250571163980074</v>
      </c>
      <c r="Q1134">
        <f t="shared" si="139"/>
        <v>0</v>
      </c>
      <c r="R1134">
        <f t="shared" si="140"/>
        <v>1.5090284838575919E-2</v>
      </c>
      <c r="S1134">
        <f t="array" ref="S1134">+$B$2*SIN(R1134*$B$3+$B$4)+0*R1134+ SUM($J$2:$J$20*SIN(2*PI()*N1134*$I$2:$I$20+$K$2:$K$20))</f>
        <v>0.6313613568664912</v>
      </c>
      <c r="U1134" s="3">
        <f t="shared" si="136"/>
        <v>1974.3333333332475</v>
      </c>
      <c r="V1134" s="3">
        <f t="shared" si="137"/>
        <v>0.50460799999999995</v>
      </c>
      <c r="Z1134" s="1">
        <v>1974.375</v>
      </c>
      <c r="AA1134" s="2">
        <f t="shared" si="141"/>
        <v>0.25106200000000001</v>
      </c>
      <c r="AB1134">
        <v>12.553100000000001</v>
      </c>
      <c r="AE1134">
        <v>1974.3333333332475</v>
      </c>
      <c r="AF1134">
        <v>0.6313613568664912</v>
      </c>
    </row>
    <row r="1135" spans="4:32" x14ac:dyDescent="0.35">
      <c r="D1135">
        <v>0.19985399999999998</v>
      </c>
      <c r="M1135">
        <f t="shared" si="142"/>
        <v>1134</v>
      </c>
      <c r="N1135">
        <f t="shared" si="143"/>
        <v>1974.4166666665808</v>
      </c>
      <c r="O1135">
        <f t="shared" si="138"/>
        <v>0</v>
      </c>
      <c r="P1135">
        <f t="array" ref="P1135">+SUM($G$2:$G$18*SIN(2*PI()*(N1135)*$B$1/$F$2:$F$18+$H$2:$H$18))</f>
        <v>0.51460833147278906</v>
      </c>
      <c r="Q1135">
        <f t="shared" si="139"/>
        <v>0</v>
      </c>
      <c r="R1135">
        <f t="shared" si="140"/>
        <v>1.506707385381662E-2</v>
      </c>
      <c r="S1135">
        <f t="array" ref="S1135">+$B$2*SIN(R1135*$B$3+$B$4)+0*R1135+ SUM($J$2:$J$20*SIN(2*PI()*N1135*$I$2:$I$20+$K$2:$K$20))</f>
        <v>0.62956481237694506</v>
      </c>
      <c r="U1135" s="3">
        <f t="shared" si="136"/>
        <v>1974.4166666665808</v>
      </c>
      <c r="V1135" s="3">
        <f t="shared" si="137"/>
        <v>0.7143219999999999</v>
      </c>
      <c r="Z1135" s="1">
        <v>1974.4583</v>
      </c>
      <c r="AA1135" s="2">
        <f t="shared" si="141"/>
        <v>0.41611400000000004</v>
      </c>
      <c r="AB1135">
        <v>20.805700000000002</v>
      </c>
      <c r="AE1135">
        <v>1974.4166666665808</v>
      </c>
      <c r="AF1135">
        <v>0.62956481237694506</v>
      </c>
    </row>
    <row r="1136" spans="4:32" x14ac:dyDescent="0.35">
      <c r="D1136">
        <v>0.25106200000000001</v>
      </c>
      <c r="M1136">
        <f t="shared" si="142"/>
        <v>1135</v>
      </c>
      <c r="N1136">
        <f t="shared" si="143"/>
        <v>1974.4999999999141</v>
      </c>
      <c r="O1136">
        <f t="shared" si="138"/>
        <v>0</v>
      </c>
      <c r="P1136">
        <f t="array" ref="P1136">+SUM($G$2:$G$18*SIN(2*PI()*(N1136)*$B$1/$F$2:$F$18+$H$2:$H$18))</f>
        <v>0.19314956659985655</v>
      </c>
      <c r="Q1136">
        <f t="shared" si="139"/>
        <v>0</v>
      </c>
      <c r="R1136">
        <f t="shared" si="140"/>
        <v>1.504389857082301E-2</v>
      </c>
      <c r="S1136">
        <f t="array" ref="S1136">+$B$2*SIN(R1136*$B$3+$B$4)+0*R1136+ SUM($J$2:$J$20*SIN(2*PI()*N1136*$I$2:$I$20+$K$2:$K$20))</f>
        <v>0.62775904397898041</v>
      </c>
      <c r="U1136" s="3">
        <f t="shared" si="136"/>
        <v>1974.4999999999141</v>
      </c>
      <c r="V1136" s="3">
        <f t="shared" si="137"/>
        <v>0.62865400000000005</v>
      </c>
      <c r="Z1136" s="1">
        <v>1974.5417</v>
      </c>
      <c r="AA1136" s="2">
        <f t="shared" si="141"/>
        <v>0.50424000000000002</v>
      </c>
      <c r="AB1136">
        <v>25.212</v>
      </c>
      <c r="AE1136">
        <v>1974.4999999999141</v>
      </c>
      <c r="AF1136">
        <v>0.62775904397898041</v>
      </c>
    </row>
    <row r="1137" spans="4:32" x14ac:dyDescent="0.35">
      <c r="D1137">
        <v>0.41611400000000004</v>
      </c>
      <c r="M1137">
        <f t="shared" si="142"/>
        <v>1136</v>
      </c>
      <c r="N1137">
        <f t="shared" si="143"/>
        <v>1974.5833333332473</v>
      </c>
      <c r="O1137">
        <f t="shared" si="138"/>
        <v>0</v>
      </c>
      <c r="P1137">
        <f t="array" ref="P1137">+SUM($G$2:$G$18*SIN(2*PI()*(N1137)*$B$1/$F$2:$F$18+$H$2:$H$18))</f>
        <v>-0.2561807599847038</v>
      </c>
      <c r="Q1137">
        <f t="shared" si="139"/>
        <v>0</v>
      </c>
      <c r="R1137">
        <f t="shared" si="140"/>
        <v>1.5020758934680745E-2</v>
      </c>
      <c r="S1137">
        <f t="array" ref="S1137">+$B$2*SIN(R1137*$B$3+$B$4)+0*R1137+ SUM($J$2:$J$20*SIN(2*PI()*N1137*$I$2:$I$20+$K$2:$K$20))</f>
        <v>0.62594413698495643</v>
      </c>
      <c r="U1137" s="3">
        <f t="shared" si="136"/>
        <v>1974.5833333332473</v>
      </c>
      <c r="V1137" s="3">
        <f t="shared" si="137"/>
        <v>0.57067800000000002</v>
      </c>
      <c r="Z1137" s="1">
        <v>1974.625</v>
      </c>
      <c r="AA1137" s="2">
        <f t="shared" si="141"/>
        <v>0.59390399999999999</v>
      </c>
      <c r="AB1137">
        <v>29.6952</v>
      </c>
      <c r="AE1137">
        <v>1974.5833333332473</v>
      </c>
      <c r="AF1137">
        <v>0.62594413698495643</v>
      </c>
    </row>
    <row r="1138" spans="4:32" x14ac:dyDescent="0.35">
      <c r="D1138">
        <v>0.50424000000000002</v>
      </c>
      <c r="M1138">
        <f t="shared" si="142"/>
        <v>1137</v>
      </c>
      <c r="N1138">
        <f t="shared" si="143"/>
        <v>1974.6666666665806</v>
      </c>
      <c r="O1138">
        <f t="shared" si="138"/>
        <v>0</v>
      </c>
      <c r="P1138">
        <f t="array" ref="P1138">+SUM($G$2:$G$18*SIN(2*PI()*(N1138)*$B$1/$F$2:$F$18+$H$2:$H$18))</f>
        <v>-0.12467941508269124</v>
      </c>
      <c r="Q1138">
        <f t="shared" si="139"/>
        <v>0</v>
      </c>
      <c r="R1138">
        <f t="shared" si="140"/>
        <v>1.4997654890559939E-2</v>
      </c>
      <c r="S1138">
        <f t="array" ref="S1138">+$B$2*SIN(R1138*$B$3+$B$4)+0*R1138+ SUM($J$2:$J$20*SIN(2*PI()*N1138*$I$2:$I$20+$K$2:$K$20))</f>
        <v>0.62412017642495043</v>
      </c>
      <c r="U1138" s="3">
        <f t="shared" si="136"/>
        <v>1974.6666666665806</v>
      </c>
      <c r="V1138" s="3">
        <f t="shared" si="137"/>
        <v>0.674234</v>
      </c>
      <c r="Z1138" s="1">
        <v>1974.7083</v>
      </c>
      <c r="AA1138" s="2">
        <f t="shared" si="141"/>
        <v>0.63895400000000002</v>
      </c>
      <c r="AB1138">
        <v>31.947700000000001</v>
      </c>
      <c r="AE1138">
        <v>1974.6666666665806</v>
      </c>
      <c r="AF1138">
        <v>0.62412017642495043</v>
      </c>
    </row>
    <row r="1139" spans="4:32" x14ac:dyDescent="0.35">
      <c r="D1139">
        <v>0.59390399999999999</v>
      </c>
      <c r="M1139">
        <f t="shared" si="142"/>
        <v>1138</v>
      </c>
      <c r="N1139">
        <f t="shared" si="143"/>
        <v>1974.7499999999138</v>
      </c>
      <c r="O1139">
        <f t="shared" si="138"/>
        <v>0</v>
      </c>
      <c r="P1139">
        <f t="array" ref="P1139">+SUM($G$2:$G$18*SIN(2*PI()*(N1139)*$B$1/$F$2:$F$18+$H$2:$H$18))</f>
        <v>0.18575884440998691</v>
      </c>
      <c r="Q1139">
        <f t="shared" si="139"/>
        <v>0</v>
      </c>
      <c r="R1139">
        <f t="shared" si="140"/>
        <v>1.4974586383715051E-2</v>
      </c>
      <c r="S1139">
        <f t="array" ref="S1139">+$B$2*SIN(R1139*$B$3+$B$4)+0*R1139+ SUM($J$2:$J$20*SIN(2*PI()*N1139*$I$2:$I$20+$K$2:$K$20))</f>
        <v>0.62228724704531402</v>
      </c>
      <c r="U1139" s="3">
        <f t="shared" si="136"/>
        <v>1974.7499999999138</v>
      </c>
      <c r="V1139" s="3">
        <f t="shared" si="137"/>
        <v>0.56086999999999998</v>
      </c>
      <c r="Z1139" s="1">
        <v>1974.7917</v>
      </c>
      <c r="AA1139" s="2">
        <f t="shared" si="141"/>
        <v>0.79938399999999998</v>
      </c>
      <c r="AB1139">
        <v>39.969200000000001</v>
      </c>
      <c r="AE1139">
        <v>1974.7499999999138</v>
      </c>
      <c r="AF1139">
        <v>0.62228724704531402</v>
      </c>
    </row>
    <row r="1140" spans="4:32" x14ac:dyDescent="0.35">
      <c r="D1140">
        <v>0.63895400000000002</v>
      </c>
      <c r="M1140">
        <f t="shared" si="142"/>
        <v>1139</v>
      </c>
      <c r="N1140">
        <f t="shared" si="143"/>
        <v>1974.8333333332471</v>
      </c>
      <c r="O1140">
        <f t="shared" si="138"/>
        <v>0</v>
      </c>
      <c r="P1140">
        <f t="array" ref="P1140">+SUM($G$2:$G$18*SIN(2*PI()*(N1140)*$B$1/$F$2:$F$18+$H$2:$H$18))</f>
        <v>0.16711409236634195</v>
      </c>
      <c r="Q1140">
        <f t="shared" si="139"/>
        <v>0</v>
      </c>
      <c r="R1140">
        <f t="shared" si="140"/>
        <v>1.495155335948474E-2</v>
      </c>
      <c r="S1140">
        <f t="array" ref="S1140">+$B$2*SIN(R1140*$B$3+$B$4)+0*R1140+ SUM($J$2:$J$20*SIN(2*PI()*N1140*$I$2:$I$20+$K$2:$K$20))</f>
        <v>0.62044543330725965</v>
      </c>
      <c r="U1140" s="3">
        <f t="shared" si="136"/>
        <v>1974.8333333332471</v>
      </c>
      <c r="V1140" s="3">
        <f t="shared" si="137"/>
        <v>0.56135199999999996</v>
      </c>
      <c r="Z1140" s="1">
        <v>1974.875</v>
      </c>
      <c r="AA1140" s="2">
        <f t="shared" si="141"/>
        <v>0.889046</v>
      </c>
      <c r="AB1140">
        <v>44.452300000000001</v>
      </c>
      <c r="AE1140">
        <v>1974.8333333332471</v>
      </c>
      <c r="AF1140">
        <v>0.62044543330725965</v>
      </c>
    </row>
    <row r="1141" spans="4:32" x14ac:dyDescent="0.35">
      <c r="D1141">
        <v>0.79938399999999998</v>
      </c>
      <c r="M1141">
        <f t="shared" si="142"/>
        <v>1140</v>
      </c>
      <c r="N1141">
        <f t="shared" si="143"/>
        <v>1974.9166666665803</v>
      </c>
      <c r="O1141">
        <f t="shared" si="138"/>
        <v>0</v>
      </c>
      <c r="P1141">
        <f t="array" ref="P1141">+SUM($G$2:$G$18*SIN(2*PI()*(N1141)*$B$1/$F$2:$F$18+$H$2:$H$18))</f>
        <v>0.17236836643062345</v>
      </c>
      <c r="Q1141">
        <f t="shared" si="139"/>
        <v>0</v>
      </c>
      <c r="R1141">
        <f t="shared" si="140"/>
        <v>1.4928555763291745E-2</v>
      </c>
      <c r="S1141">
        <f t="array" ref="S1141">+$B$2*SIN(R1141*$B$3+$B$4)+0*R1141+ SUM($J$2:$J$20*SIN(2*PI()*N1141*$I$2:$I$20+$K$2:$K$20))</f>
        <v>0.61859481938547911</v>
      </c>
      <c r="U1141" s="3">
        <f t="shared" si="136"/>
        <v>1974.9166666665803</v>
      </c>
      <c r="V1141" s="3">
        <f t="shared" si="137"/>
        <v>0.46798200000000001</v>
      </c>
      <c r="Z1141" s="1">
        <v>1974.9583</v>
      </c>
      <c r="AA1141" s="2">
        <f t="shared" si="141"/>
        <v>1.0971680000000001</v>
      </c>
      <c r="AB1141">
        <v>54.858400000000003</v>
      </c>
      <c r="AE1141">
        <v>1974.9166666665803</v>
      </c>
      <c r="AF1141">
        <v>0.61859481938547911</v>
      </c>
    </row>
    <row r="1142" spans="4:32" x14ac:dyDescent="0.35">
      <c r="D1142">
        <v>0.889046</v>
      </c>
      <c r="M1142">
        <f t="shared" si="142"/>
        <v>1141</v>
      </c>
      <c r="N1142">
        <f t="shared" si="143"/>
        <v>1974.9999999999136</v>
      </c>
      <c r="O1142">
        <f t="shared" si="138"/>
        <v>36.637715116165623</v>
      </c>
      <c r="P1142">
        <f t="array" ref="P1142">+SUM($G$2:$G$18*SIN(2*PI()*(N1142)*$B$1/$F$2:$F$18+$H$2:$H$18))</f>
        <v>0.33593890842387641</v>
      </c>
      <c r="Q1142">
        <f t="shared" si="139"/>
        <v>12.308034023269636</v>
      </c>
      <c r="R1142">
        <f t="shared" si="140"/>
        <v>3.3837084442706264E-2</v>
      </c>
      <c r="S1142">
        <f t="array" ref="S1142">+$B$2*SIN(R1142*$B$3+$B$4)+0*R1142+ SUM($J$2:$J$20*SIN(2*PI()*N1142*$I$2:$I$20+$K$2:$K$20))</f>
        <v>-0.73932574618912406</v>
      </c>
      <c r="U1142" s="3">
        <f t="shared" si="136"/>
        <v>1974.9999999999136</v>
      </c>
      <c r="V1142" s="3">
        <f t="shared" si="137"/>
        <v>0.59461599999999992</v>
      </c>
      <c r="Z1142" s="1">
        <v>1975.0417</v>
      </c>
      <c r="AA1142" s="2">
        <f t="shared" si="141"/>
        <v>1.0437479999999999</v>
      </c>
      <c r="AB1142">
        <v>52.187399999999997</v>
      </c>
      <c r="AE1142">
        <v>1974.9999999999136</v>
      </c>
      <c r="AF1142">
        <v>-0.73932574618912406</v>
      </c>
    </row>
    <row r="1143" spans="4:32" x14ac:dyDescent="0.35">
      <c r="D1143">
        <v>1.0971680000000001</v>
      </c>
      <c r="M1143">
        <f t="shared" si="142"/>
        <v>1142</v>
      </c>
      <c r="N1143">
        <f t="shared" si="143"/>
        <v>1975.0833333332469</v>
      </c>
      <c r="O1143">
        <f t="shared" si="138"/>
        <v>0</v>
      </c>
      <c r="P1143">
        <f t="array" ref="P1143">+SUM($G$2:$G$18*SIN(2*PI()*(N1143)*$B$1/$F$2:$F$18+$H$2:$H$18))</f>
        <v>0.4318757321560539</v>
      </c>
      <c r="Q1143">
        <f t="shared" si="139"/>
        <v>0</v>
      </c>
      <c r="R1143">
        <f t="shared" si="140"/>
        <v>3.3785038238164714E-2</v>
      </c>
      <c r="S1143">
        <f t="array" ref="S1143">+$B$2*SIN(R1143*$B$3+$B$4)+0*R1143+ SUM($J$2:$J$20*SIN(2*PI()*N1143*$I$2:$I$20+$K$2:$K$20))</f>
        <v>-0.73790486852861581</v>
      </c>
      <c r="U1143" s="3">
        <f t="shared" si="136"/>
        <v>1975.0833333332469</v>
      </c>
      <c r="V1143" s="3">
        <f t="shared" si="137"/>
        <v>0.60124600000000006</v>
      </c>
      <c r="Z1143" s="1">
        <v>1975.125</v>
      </c>
      <c r="AA1143" s="2">
        <f t="shared" si="141"/>
        <v>0.79956000000000005</v>
      </c>
      <c r="AB1143">
        <v>39.978000000000002</v>
      </c>
      <c r="AE1143">
        <v>1975.0833333332469</v>
      </c>
      <c r="AF1143">
        <v>-0.73790486852861581</v>
      </c>
    </row>
    <row r="1144" spans="4:32" x14ac:dyDescent="0.35">
      <c r="D1144">
        <v>1.0437479999999999</v>
      </c>
      <c r="M1144">
        <f t="shared" si="142"/>
        <v>1143</v>
      </c>
      <c r="N1144">
        <f t="shared" si="143"/>
        <v>1975.1666666665801</v>
      </c>
      <c r="O1144">
        <f t="shared" si="138"/>
        <v>0</v>
      </c>
      <c r="P1144">
        <f t="array" ref="P1144">+SUM($G$2:$G$18*SIN(2*PI()*(N1144)*$B$1/$F$2:$F$18+$H$2:$H$18))</f>
        <v>0.26384050600977643</v>
      </c>
      <c r="Q1144">
        <f t="shared" si="139"/>
        <v>0</v>
      </c>
      <c r="R1144">
        <f t="shared" si="140"/>
        <v>3.3733072088020635E-2</v>
      </c>
      <c r="S1144">
        <f t="array" ref="S1144">+$B$2*SIN(R1144*$B$3+$B$4)+0*R1144+ SUM($J$2:$J$20*SIN(2*PI()*N1144*$I$2:$I$20+$K$2:$K$20))</f>
        <v>-0.73641553365959711</v>
      </c>
      <c r="U1144" s="3">
        <f t="shared" si="136"/>
        <v>1975.1666666665801</v>
      </c>
      <c r="V1144" s="3">
        <f t="shared" si="137"/>
        <v>0.22479600000000002</v>
      </c>
      <c r="Z1144" s="1">
        <v>1975.2083</v>
      </c>
      <c r="AA1144" s="2">
        <f t="shared" si="141"/>
        <v>0.53075600000000001</v>
      </c>
      <c r="AB1144">
        <v>26.537800000000001</v>
      </c>
      <c r="AE1144">
        <v>1975.1666666665801</v>
      </c>
      <c r="AF1144">
        <v>-0.73641553365959711</v>
      </c>
    </row>
    <row r="1145" spans="4:32" x14ac:dyDescent="0.35">
      <c r="D1145">
        <v>0.79956000000000005</v>
      </c>
      <c r="M1145">
        <f t="shared" si="142"/>
        <v>1144</v>
      </c>
      <c r="N1145">
        <f t="shared" si="143"/>
        <v>1975.2499999999134</v>
      </c>
      <c r="O1145">
        <f t="shared" si="138"/>
        <v>0</v>
      </c>
      <c r="P1145">
        <f t="array" ref="P1145">+SUM($G$2:$G$18*SIN(2*PI()*(N1145)*$B$1/$F$2:$F$18+$H$2:$H$18))</f>
        <v>-0.20921190644121423</v>
      </c>
      <c r="Q1145">
        <f t="shared" si="139"/>
        <v>0</v>
      </c>
      <c r="R1145">
        <f t="shared" si="140"/>
        <v>3.3681185869139083E-2</v>
      </c>
      <c r="S1145">
        <f t="array" ref="S1145">+$B$2*SIN(R1145*$B$3+$B$4)+0*R1145+ SUM($J$2:$J$20*SIN(2*PI()*N1145*$I$2:$I$20+$K$2:$K$20))</f>
        <v>-0.73485820616544872</v>
      </c>
      <c r="U1145" s="3">
        <f t="shared" si="136"/>
        <v>1975.2499999999134</v>
      </c>
      <c r="V1145" s="3">
        <f t="shared" si="137"/>
        <v>-5.6265999999999997E-2</v>
      </c>
      <c r="Z1145" s="1">
        <v>1975.2917</v>
      </c>
      <c r="AA1145" s="2">
        <f t="shared" si="141"/>
        <v>0.73887000000000003</v>
      </c>
      <c r="AB1145">
        <v>36.9435</v>
      </c>
      <c r="AE1145">
        <v>1975.2499999999134</v>
      </c>
      <c r="AF1145">
        <v>-0.73485820616544872</v>
      </c>
    </row>
    <row r="1146" spans="4:32" x14ac:dyDescent="0.35">
      <c r="D1146">
        <v>0.53075600000000001</v>
      </c>
      <c r="M1146">
        <f t="shared" si="142"/>
        <v>1145</v>
      </c>
      <c r="N1146">
        <f t="shared" si="143"/>
        <v>1975.3333333332466</v>
      </c>
      <c r="O1146">
        <f t="shared" si="138"/>
        <v>0</v>
      </c>
      <c r="P1146">
        <f t="array" ref="P1146">+SUM($G$2:$G$18*SIN(2*PI()*(N1146)*$B$1/$F$2:$F$18+$H$2:$H$18))</f>
        <v>-0.41041429138438579</v>
      </c>
      <c r="Q1146">
        <f t="shared" si="139"/>
        <v>0</v>
      </c>
      <c r="R1146">
        <f t="shared" si="140"/>
        <v>3.3629379458574506E-2</v>
      </c>
      <c r="S1146">
        <f t="array" ref="S1146">+$B$2*SIN(R1146*$B$3+$B$4)+0*R1146+ SUM($J$2:$J$20*SIN(2*PI()*N1146*$I$2:$I$20+$K$2:$K$20))</f>
        <v>-0.73323335484291496</v>
      </c>
      <c r="U1146" s="3">
        <f t="shared" si="136"/>
        <v>1975.3333333332466</v>
      </c>
      <c r="V1146" s="3">
        <f t="shared" si="137"/>
        <v>-0.621946</v>
      </c>
      <c r="Z1146" s="1">
        <v>1975.375</v>
      </c>
      <c r="AA1146" s="2">
        <f t="shared" si="141"/>
        <v>0.31468000000000002</v>
      </c>
      <c r="AB1146">
        <v>15.734</v>
      </c>
      <c r="AE1146">
        <v>1975.3333333332466</v>
      </c>
      <c r="AF1146">
        <v>-0.73323335484291496</v>
      </c>
    </row>
    <row r="1147" spans="4:32" x14ac:dyDescent="0.35">
      <c r="D1147">
        <v>0.73887000000000003</v>
      </c>
      <c r="M1147">
        <f t="shared" si="142"/>
        <v>1146</v>
      </c>
      <c r="N1147">
        <f t="shared" si="143"/>
        <v>1975.4166666665799</v>
      </c>
      <c r="O1147">
        <f t="shared" si="138"/>
        <v>0</v>
      </c>
      <c r="P1147">
        <f t="array" ref="P1147">+SUM($G$2:$G$18*SIN(2*PI()*(N1147)*$B$1/$F$2:$F$18+$H$2:$H$18))</f>
        <v>-7.1354061178564562E-2</v>
      </c>
      <c r="Q1147">
        <f t="shared" si="139"/>
        <v>0</v>
      </c>
      <c r="R1147">
        <f t="shared" si="140"/>
        <v>3.3577652733570468E-2</v>
      </c>
      <c r="S1147">
        <f t="array" ref="S1147">+$B$2*SIN(R1147*$B$3+$B$4)+0*R1147+ SUM($J$2:$J$20*SIN(2*PI()*N1147*$I$2:$I$20+$K$2:$K$20))</f>
        <v>-0.73154145259757963</v>
      </c>
      <c r="U1147" s="3">
        <f t="shared" ref="U1147:U1210" si="144">+N1147</f>
        <v>1975.4166666665799</v>
      </c>
      <c r="V1147" s="3">
        <f t="shared" ref="V1147:V1210" si="145">+D1105</f>
        <v>-0.67070600000000002</v>
      </c>
      <c r="Z1147" s="1">
        <v>1975.4583</v>
      </c>
      <c r="AA1147" s="2">
        <f t="shared" si="141"/>
        <v>0.205872</v>
      </c>
      <c r="AB1147">
        <v>10.2936</v>
      </c>
      <c r="AE1147">
        <v>1975.4166666665799</v>
      </c>
      <c r="AF1147">
        <v>-0.73154145259757963</v>
      </c>
    </row>
    <row r="1148" spans="4:32" x14ac:dyDescent="0.35">
      <c r="D1148">
        <v>0.31468000000000002</v>
      </c>
      <c r="M1148">
        <f t="shared" si="142"/>
        <v>1147</v>
      </c>
      <c r="N1148">
        <f t="shared" si="143"/>
        <v>1975.4999999999131</v>
      </c>
      <c r="O1148">
        <f t="shared" si="138"/>
        <v>0</v>
      </c>
      <c r="P1148">
        <f t="array" ref="P1148">+SUM($G$2:$G$18*SIN(2*PI()*(N1148)*$B$1/$F$2:$F$18+$H$2:$H$18))</f>
        <v>0.1075649104840331</v>
      </c>
      <c r="Q1148">
        <f t="shared" si="139"/>
        <v>0</v>
      </c>
      <c r="R1148">
        <f t="shared" si="140"/>
        <v>3.3526005571559346E-2</v>
      </c>
      <c r="S1148">
        <f t="array" ref="S1148">+$B$2*SIN(R1148*$B$3+$B$4)+0*R1148+ SUM($J$2:$J$20*SIN(2*PI()*N1148*$I$2:$I$20+$K$2:$K$20))</f>
        <v>-0.72978297634000211</v>
      </c>
      <c r="U1148" s="3">
        <f t="shared" si="144"/>
        <v>1975.4999999999131</v>
      </c>
      <c r="V1148" s="3">
        <f t="shared" si="145"/>
        <v>-0.73023399999999994</v>
      </c>
      <c r="Z1148" s="1">
        <v>1975.5417</v>
      </c>
      <c r="AA1148" s="2">
        <f t="shared" si="141"/>
        <v>0.32936799999999999</v>
      </c>
      <c r="AB1148">
        <v>16.468399999999999</v>
      </c>
      <c r="AE1148">
        <v>1975.4999999999131</v>
      </c>
      <c r="AF1148">
        <v>-0.72978297634000211</v>
      </c>
    </row>
    <row r="1149" spans="4:32" x14ac:dyDescent="0.35">
      <c r="D1149">
        <v>0.205872</v>
      </c>
      <c r="M1149">
        <f t="shared" si="142"/>
        <v>1148</v>
      </c>
      <c r="N1149">
        <f t="shared" si="143"/>
        <v>1975.5833333332464</v>
      </c>
      <c r="O1149">
        <f t="shared" si="138"/>
        <v>0</v>
      </c>
      <c r="P1149">
        <f t="array" ref="P1149">+SUM($G$2:$G$18*SIN(2*PI()*(N1149)*$B$1/$F$2:$F$18+$H$2:$H$18))</f>
        <v>-3.4085176018363583E-3</v>
      </c>
      <c r="Q1149">
        <f t="shared" si="139"/>
        <v>0</v>
      </c>
      <c r="R1149">
        <f t="shared" si="140"/>
        <v>3.3474437850162041E-2</v>
      </c>
      <c r="S1149">
        <f t="array" ref="S1149">+$B$2*SIN(R1149*$B$3+$B$4)+0*R1149+ SUM($J$2:$J$20*SIN(2*PI()*N1149*$I$2:$I$20+$K$2:$K$20))</f>
        <v>-0.72795840688252966</v>
      </c>
      <c r="U1149" s="3">
        <f t="shared" si="144"/>
        <v>1975.5833333332464</v>
      </c>
      <c r="V1149" s="3">
        <f t="shared" si="145"/>
        <v>-0.66361000000000003</v>
      </c>
      <c r="Z1149" s="1">
        <v>1975.625</v>
      </c>
      <c r="AA1149" s="2">
        <f t="shared" si="141"/>
        <v>-0.18098</v>
      </c>
      <c r="AB1149">
        <v>-9.0489999999999995</v>
      </c>
      <c r="AE1149">
        <v>1975.5833333332464</v>
      </c>
      <c r="AF1149">
        <v>-0.72795840688252966</v>
      </c>
    </row>
    <row r="1150" spans="4:32" x14ac:dyDescent="0.35">
      <c r="D1150">
        <v>0.32936799999999999</v>
      </c>
      <c r="M1150">
        <f t="shared" si="142"/>
        <v>1149</v>
      </c>
      <c r="N1150">
        <f t="shared" si="143"/>
        <v>1975.6666666665797</v>
      </c>
      <c r="O1150">
        <f t="shared" si="138"/>
        <v>0</v>
      </c>
      <c r="P1150">
        <f t="array" ref="P1150">+SUM($G$2:$G$18*SIN(2*PI()*(N1150)*$B$1/$F$2:$F$18+$H$2:$H$18))</f>
        <v>0.12213704653467509</v>
      </c>
      <c r="Q1150">
        <f t="shared" si="139"/>
        <v>0</v>
      </c>
      <c r="R1150">
        <f t="shared" si="140"/>
        <v>3.3422949447187697E-2</v>
      </c>
      <c r="S1150">
        <f t="array" ref="S1150">+$B$2*SIN(R1150*$B$3+$B$4)+0*R1150+ SUM($J$2:$J$20*SIN(2*PI()*N1150*$I$2:$I$20+$K$2:$K$20))</f>
        <v>-0.72606822883678657</v>
      </c>
      <c r="U1150" s="3">
        <f t="shared" si="144"/>
        <v>1975.6666666665797</v>
      </c>
      <c r="V1150" s="3">
        <f t="shared" si="145"/>
        <v>-0.67083599999999999</v>
      </c>
      <c r="Z1150" s="1">
        <v>1975.7083</v>
      </c>
      <c r="AA1150" s="2">
        <f t="shared" si="141"/>
        <v>-0.42055999999999999</v>
      </c>
      <c r="AB1150">
        <v>-21.027999999999999</v>
      </c>
      <c r="AE1150">
        <v>1975.6666666665797</v>
      </c>
      <c r="AF1150">
        <v>-0.72606822883678657</v>
      </c>
    </row>
    <row r="1151" spans="4:32" x14ac:dyDescent="0.35">
      <c r="D1151">
        <v>-0.18098</v>
      </c>
      <c r="M1151">
        <f t="shared" si="142"/>
        <v>1150</v>
      </c>
      <c r="N1151">
        <f t="shared" si="143"/>
        <v>1975.7499999999129</v>
      </c>
      <c r="O1151">
        <f t="shared" si="138"/>
        <v>0</v>
      </c>
      <c r="P1151">
        <f t="array" ref="P1151">+SUM($G$2:$G$18*SIN(2*PI()*(N1151)*$B$1/$F$2:$F$18+$H$2:$H$18))</f>
        <v>0.3577808869025767</v>
      </c>
      <c r="Q1151">
        <f t="shared" si="139"/>
        <v>0</v>
      </c>
      <c r="R1151">
        <f t="shared" si="140"/>
        <v>3.33715402406334E-2</v>
      </c>
      <c r="S1151">
        <f t="array" ref="S1151">+$B$2*SIN(R1151*$B$3+$B$4)+0*R1151+ SUM($J$2:$J$20*SIN(2*PI()*N1151*$I$2:$I$20+$K$2:$K$20))</f>
        <v>-0.72411293051185244</v>
      </c>
      <c r="U1151" s="3">
        <f t="shared" si="144"/>
        <v>1975.7499999999129</v>
      </c>
      <c r="V1151" s="3">
        <f t="shared" si="145"/>
        <v>-0.73344399999999998</v>
      </c>
      <c r="Z1151" s="1">
        <v>1975.7917</v>
      </c>
      <c r="AA1151" s="2">
        <f t="shared" si="141"/>
        <v>-0.55091199999999996</v>
      </c>
      <c r="AB1151">
        <v>-27.5456</v>
      </c>
      <c r="AE1151">
        <v>1975.7499999999129</v>
      </c>
      <c r="AF1151">
        <v>-0.72411293051185244</v>
      </c>
    </row>
    <row r="1152" spans="4:32" x14ac:dyDescent="0.35">
      <c r="D1152">
        <v>-0.42055999999999999</v>
      </c>
      <c r="M1152">
        <f t="shared" si="142"/>
        <v>1151</v>
      </c>
      <c r="N1152">
        <f t="shared" si="143"/>
        <v>1975.8333333332462</v>
      </c>
      <c r="O1152">
        <f t="shared" si="138"/>
        <v>0</v>
      </c>
      <c r="P1152">
        <f t="array" ref="P1152">+SUM($G$2:$G$18*SIN(2*PI()*(N1152)*$B$1/$F$2:$F$18+$H$2:$H$18))</f>
        <v>0.30619899019475838</v>
      </c>
      <c r="Q1152">
        <f t="shared" si="139"/>
        <v>0</v>
      </c>
      <c r="R1152">
        <f t="shared" si="140"/>
        <v>3.3320210108683898E-2</v>
      </c>
      <c r="S1152">
        <f t="array" ref="S1152">+$B$2*SIN(R1152*$B$3+$B$4)+0*R1152+ SUM($J$2:$J$20*SIN(2*PI()*N1152*$I$2:$I$20+$K$2:$K$20))</f>
        <v>-0.7220930038131379</v>
      </c>
      <c r="U1152" s="3">
        <f t="shared" si="144"/>
        <v>1975.8333333332462</v>
      </c>
      <c r="V1152" s="3">
        <f t="shared" si="145"/>
        <v>-0.59605200000000003</v>
      </c>
      <c r="Z1152" s="1">
        <v>1975.875</v>
      </c>
      <c r="AA1152" s="2">
        <f t="shared" si="141"/>
        <v>-0.53664800000000001</v>
      </c>
      <c r="AB1152">
        <v>-26.8324</v>
      </c>
      <c r="AE1152">
        <v>1975.8333333332462</v>
      </c>
      <c r="AF1152">
        <v>-0.7220930038131379</v>
      </c>
    </row>
    <row r="1153" spans="4:32" x14ac:dyDescent="0.35">
      <c r="D1153">
        <v>-0.55091199999999996</v>
      </c>
      <c r="M1153">
        <f t="shared" si="142"/>
        <v>1152</v>
      </c>
      <c r="N1153">
        <f t="shared" si="143"/>
        <v>1975.9166666665794</v>
      </c>
      <c r="O1153">
        <f t="shared" si="138"/>
        <v>0</v>
      </c>
      <c r="P1153">
        <f t="array" ref="P1153">+SUM($G$2:$G$18*SIN(2*PI()*(N1153)*$B$1/$F$2:$F$18+$H$2:$H$18))</f>
        <v>-0.12007901685016034</v>
      </c>
      <c r="Q1153">
        <f t="shared" si="139"/>
        <v>0</v>
      </c>
      <c r="R1153">
        <f t="shared" si="140"/>
        <v>3.3268958929711302E-2</v>
      </c>
      <c r="S1153">
        <f t="array" ref="S1153">+$B$2*SIN(R1153*$B$3+$B$4)+0*R1153+ SUM($J$2:$J$20*SIN(2*PI()*N1153*$I$2:$I$20+$K$2:$K$20))</f>
        <v>-0.72000894414196159</v>
      </c>
      <c r="U1153" s="3">
        <f t="shared" si="144"/>
        <v>1975.9166666665794</v>
      </c>
      <c r="V1153" s="3">
        <f t="shared" si="145"/>
        <v>-0.65405199999999997</v>
      </c>
      <c r="Z1153" s="1">
        <v>1975.9583</v>
      </c>
      <c r="AA1153" s="2">
        <f t="shared" si="141"/>
        <v>-0.47777000000000003</v>
      </c>
      <c r="AB1153">
        <v>-23.888500000000001</v>
      </c>
      <c r="AE1153">
        <v>1975.9166666665794</v>
      </c>
      <c r="AF1153">
        <v>-0.72000894414196159</v>
      </c>
    </row>
    <row r="1154" spans="4:32" x14ac:dyDescent="0.35">
      <c r="D1154">
        <v>-0.53664800000000001</v>
      </c>
      <c r="M1154">
        <f t="shared" si="142"/>
        <v>1153</v>
      </c>
      <c r="N1154">
        <f t="shared" si="143"/>
        <v>1975.9999999999127</v>
      </c>
      <c r="O1154">
        <f t="shared" ref="O1154:O1217" si="146">+IF(MOD(M1154,$B$5)=1, $B$6, 0)</f>
        <v>36.637715116165623</v>
      </c>
      <c r="P1154">
        <f t="array" ref="P1154">+SUM($G$2:$G$18*SIN(2*PI()*(N1154)*$B$1/$F$2:$F$18+$H$2:$H$18))</f>
        <v>-0.6006327726705657</v>
      </c>
      <c r="Q1154">
        <f t="shared" si="139"/>
        <v>-22.005812414536855</v>
      </c>
      <c r="R1154">
        <f t="shared" si="140"/>
        <v>-6.3025419586158066E-4</v>
      </c>
      <c r="S1154">
        <f t="array" ref="S1154">+$B$2*SIN(R1154*$B$3+$B$4)+0*R1154+ SUM($J$2:$J$20*SIN(2*PI()*N1154*$I$2:$I$20+$K$2:$K$20))</f>
        <v>-0.6953481357583351</v>
      </c>
      <c r="U1154" s="3">
        <f t="shared" si="144"/>
        <v>1975.9999999999127</v>
      </c>
      <c r="V1154" s="3">
        <f t="shared" si="145"/>
        <v>-0.56281599999999998</v>
      </c>
      <c r="Z1154" s="1">
        <v>1976.0417</v>
      </c>
      <c r="AA1154" s="2">
        <f t="shared" si="141"/>
        <v>-0.50197400000000003</v>
      </c>
      <c r="AB1154">
        <v>-25.098700000000001</v>
      </c>
      <c r="AE1154">
        <v>1975.9999999999127</v>
      </c>
      <c r="AF1154">
        <v>-0.6953481357583351</v>
      </c>
    </row>
    <row r="1155" spans="4:32" x14ac:dyDescent="0.35">
      <c r="D1155">
        <v>-0.47777000000000003</v>
      </c>
      <c r="M1155">
        <f t="shared" si="142"/>
        <v>1154</v>
      </c>
      <c r="N1155">
        <f t="shared" si="143"/>
        <v>1976.0833333332459</v>
      </c>
      <c r="O1155">
        <f t="shared" si="146"/>
        <v>0</v>
      </c>
      <c r="P1155">
        <f t="array" ref="P1155">+SUM($G$2:$G$18*SIN(2*PI()*(N1155)*$B$1/$F$2:$F$18+$H$2:$H$18))</f>
        <v>-0.50914147544204524</v>
      </c>
      <c r="Q1155">
        <f t="shared" ref="Q1155:Q1218" si="147">+O1155*P1155</f>
        <v>0</v>
      </c>
      <c r="R1155">
        <f t="shared" ref="R1155:R1218" si="148">+(1-$B$7)*R1154+($B$7)*Q1155</f>
        <v>-6.2928477608646606E-4</v>
      </c>
      <c r="S1155">
        <f t="array" ref="S1155">+$B$2*SIN(R1155*$B$3+$B$4)+0*R1155+ SUM($J$2:$J$20*SIN(2*PI()*N1155*$I$2:$I$20+$K$2:$K$20))</f>
        <v>-0.69540071993567765</v>
      </c>
      <c r="U1155" s="3">
        <f t="shared" si="144"/>
        <v>1976.0833333332459</v>
      </c>
      <c r="V1155" s="3">
        <f t="shared" si="145"/>
        <v>-0.78389200000000003</v>
      </c>
      <c r="Z1155" s="1">
        <v>1976.125</v>
      </c>
      <c r="AA1155" s="2">
        <f t="shared" ref="AA1155:AA1218" si="149">+AB1155/50</f>
        <v>-0.48309800000000003</v>
      </c>
      <c r="AB1155">
        <v>-24.154900000000001</v>
      </c>
      <c r="AE1155">
        <v>1976.0833333332459</v>
      </c>
      <c r="AF1155">
        <v>-0.69540071993567765</v>
      </c>
    </row>
    <row r="1156" spans="4:32" x14ac:dyDescent="0.35">
      <c r="D1156">
        <v>-0.50197400000000003</v>
      </c>
      <c r="M1156">
        <f t="shared" ref="M1156:M1219" si="150">+M1155+1</f>
        <v>1155</v>
      </c>
      <c r="N1156">
        <f t="shared" ref="N1156:N1219" si="151">+N1155+1/12</f>
        <v>1976.1666666665792</v>
      </c>
      <c r="O1156">
        <f t="shared" si="146"/>
        <v>0</v>
      </c>
      <c r="P1156">
        <f t="array" ref="P1156">+SUM($G$2:$G$18*SIN(2*PI()*(N1156)*$B$1/$F$2:$F$18+$H$2:$H$18))</f>
        <v>-3.8966889377829689E-2</v>
      </c>
      <c r="Q1156">
        <f t="shared" si="147"/>
        <v>0</v>
      </c>
      <c r="R1156">
        <f t="shared" si="148"/>
        <v>-6.2831684741558613E-4</v>
      </c>
      <c r="S1156">
        <f t="array" ref="S1156">+$B$2*SIN(R1156*$B$3+$B$4)+0*R1156+ SUM($J$2:$J$20*SIN(2*PI()*N1156*$I$2:$I$20+$K$2:$K$20))</f>
        <v>-0.69545320013439893</v>
      </c>
      <c r="U1156" s="3">
        <f t="shared" si="144"/>
        <v>1976.1666666665792</v>
      </c>
      <c r="V1156" s="3">
        <f t="shared" si="145"/>
        <v>-1.2295860000000001</v>
      </c>
      <c r="Z1156" s="1">
        <v>1976.2083</v>
      </c>
      <c r="AA1156" s="2">
        <f t="shared" si="149"/>
        <v>-0.59037799999999996</v>
      </c>
      <c r="AB1156">
        <v>-29.518899999999999</v>
      </c>
      <c r="AE1156">
        <v>1976.1666666665792</v>
      </c>
      <c r="AF1156">
        <v>-0.69545320013439893</v>
      </c>
    </row>
    <row r="1157" spans="4:32" x14ac:dyDescent="0.35">
      <c r="D1157">
        <v>-0.48309800000000003</v>
      </c>
      <c r="M1157">
        <f t="shared" si="150"/>
        <v>1156</v>
      </c>
      <c r="N1157">
        <f t="shared" si="151"/>
        <v>1976.2499999999125</v>
      </c>
      <c r="O1157">
        <f t="shared" si="146"/>
        <v>0</v>
      </c>
      <c r="P1157">
        <f t="array" ref="P1157">+SUM($G$2:$G$18*SIN(2*PI()*(N1157)*$B$1/$F$2:$F$18+$H$2:$H$18))</f>
        <v>4.8050214515931083E-2</v>
      </c>
      <c r="Q1157">
        <f t="shared" si="147"/>
        <v>0</v>
      </c>
      <c r="R1157">
        <f t="shared" si="148"/>
        <v>-6.2735040755541253E-4</v>
      </c>
      <c r="S1157">
        <f t="array" ref="S1157">+$B$2*SIN(R1157*$B$3+$B$4)+0*R1157+ SUM($J$2:$J$20*SIN(2*PI()*N1157*$I$2:$I$20+$K$2:$K$20))</f>
        <v>-0.69550557658369239</v>
      </c>
      <c r="U1157" s="3">
        <f t="shared" si="144"/>
        <v>1976.2499999999125</v>
      </c>
      <c r="V1157" s="3">
        <f t="shared" si="145"/>
        <v>-1.06297</v>
      </c>
      <c r="Z1157" s="1">
        <v>1976.2917</v>
      </c>
      <c r="AA1157" s="2">
        <f t="shared" si="149"/>
        <v>-0.81458399999999997</v>
      </c>
      <c r="AB1157">
        <v>-40.729199999999999</v>
      </c>
      <c r="AE1157">
        <v>1976.2499999999125</v>
      </c>
      <c r="AF1157">
        <v>-0.69550557658369239</v>
      </c>
    </row>
    <row r="1158" spans="4:32" x14ac:dyDescent="0.35">
      <c r="D1158">
        <v>-0.59037799999999996</v>
      </c>
      <c r="M1158">
        <f t="shared" si="150"/>
        <v>1157</v>
      </c>
      <c r="N1158">
        <f t="shared" si="151"/>
        <v>1976.3333333332457</v>
      </c>
      <c r="O1158">
        <f t="shared" si="146"/>
        <v>0</v>
      </c>
      <c r="P1158">
        <f t="array" ref="P1158">+SUM($G$2:$G$18*SIN(2*PI()*(N1158)*$B$1/$F$2:$F$18+$H$2:$H$18))</f>
        <v>-2.9832765836978678E-2</v>
      </c>
      <c r="Q1158">
        <f t="shared" si="147"/>
        <v>0</v>
      </c>
      <c r="R1158">
        <f t="shared" si="148"/>
        <v>-6.263854542159444E-4</v>
      </c>
      <c r="S1158">
        <f t="array" ref="S1158">+$B$2*SIN(R1158*$B$3+$B$4)+0*R1158+ SUM($J$2:$J$20*SIN(2*PI()*N1158*$I$2:$I$20+$K$2:$K$20))</f>
        <v>-0.69555784951219501</v>
      </c>
      <c r="U1158" s="3">
        <f t="shared" si="144"/>
        <v>1976.3333333332457</v>
      </c>
      <c r="V1158" s="3">
        <f t="shared" si="145"/>
        <v>-0.70712399999999997</v>
      </c>
      <c r="Z1158" s="1">
        <v>1976.375</v>
      </c>
      <c r="AA1158" s="2">
        <f t="shared" si="149"/>
        <v>-1.2034039999999999</v>
      </c>
      <c r="AB1158">
        <v>-60.170200000000001</v>
      </c>
      <c r="AE1158">
        <v>1976.3333333332457</v>
      </c>
      <c r="AF1158">
        <v>-0.69555784951219501</v>
      </c>
    </row>
    <row r="1159" spans="4:32" x14ac:dyDescent="0.35">
      <c r="D1159">
        <v>-0.81458399999999997</v>
      </c>
      <c r="M1159">
        <f t="shared" si="150"/>
        <v>1158</v>
      </c>
      <c r="N1159">
        <f t="shared" si="151"/>
        <v>1976.416666666579</v>
      </c>
      <c r="O1159">
        <f t="shared" si="146"/>
        <v>0</v>
      </c>
      <c r="P1159">
        <f t="array" ref="P1159">+SUM($G$2:$G$18*SIN(2*PI()*(N1159)*$B$1/$F$2:$F$18+$H$2:$H$18))</f>
        <v>0.18429442926845879</v>
      </c>
      <c r="Q1159">
        <f t="shared" si="147"/>
        <v>0</v>
      </c>
      <c r="R1159">
        <f t="shared" si="148"/>
        <v>-6.2542198511070354E-4</v>
      </c>
      <c r="S1159">
        <f t="array" ref="S1159">+$B$2*SIN(R1159*$B$3+$B$4)+0*R1159+ SUM($J$2:$J$20*SIN(2*PI()*N1159*$I$2:$I$20+$K$2:$K$20))</f>
        <v>-0.69561001914798837</v>
      </c>
      <c r="U1159" s="3">
        <f t="shared" si="144"/>
        <v>1976.416666666579</v>
      </c>
      <c r="V1159" s="3">
        <f t="shared" si="145"/>
        <v>-0.22820599999999999</v>
      </c>
      <c r="Z1159" s="1">
        <v>1976.4583</v>
      </c>
      <c r="AA1159" s="2">
        <f t="shared" si="149"/>
        <v>-0.91683999999999999</v>
      </c>
      <c r="AB1159">
        <v>-45.841999999999999</v>
      </c>
      <c r="AE1159">
        <v>1976.416666666579</v>
      </c>
      <c r="AF1159">
        <v>-0.69561001914798837</v>
      </c>
    </row>
    <row r="1160" spans="4:32" x14ac:dyDescent="0.35">
      <c r="D1160">
        <v>-1.2034039999999999</v>
      </c>
      <c r="M1160">
        <f t="shared" si="150"/>
        <v>1159</v>
      </c>
      <c r="N1160">
        <f t="shared" si="151"/>
        <v>1976.4999999999122</v>
      </c>
      <c r="O1160">
        <f t="shared" si="146"/>
        <v>0</v>
      </c>
      <c r="P1160">
        <f t="array" ref="P1160">+SUM($G$2:$G$18*SIN(2*PI()*(N1160)*$B$1/$F$2:$F$18+$H$2:$H$18))</f>
        <v>0.33879839097718067</v>
      </c>
      <c r="Q1160">
        <f t="shared" si="147"/>
        <v>0</v>
      </c>
      <c r="R1160">
        <f t="shared" si="148"/>
        <v>-6.2445999795672849E-4</v>
      </c>
      <c r="S1160">
        <f t="array" ref="S1160">+$B$2*SIN(R1160*$B$3+$B$4)+0*R1160+ SUM($J$2:$J$20*SIN(2*PI()*N1160*$I$2:$I$20+$K$2:$K$20))</f>
        <v>-0.69566208571860022</v>
      </c>
      <c r="U1160" s="3">
        <f t="shared" si="144"/>
        <v>1976.4999999999122</v>
      </c>
      <c r="V1160" s="3">
        <f t="shared" si="145"/>
        <v>-0.24005600000000002</v>
      </c>
      <c r="Z1160" s="1">
        <v>1976.5417</v>
      </c>
      <c r="AA1160" s="2">
        <f t="shared" si="149"/>
        <v>-1.033358</v>
      </c>
      <c r="AB1160">
        <v>-51.667900000000003</v>
      </c>
      <c r="AE1160">
        <v>1976.4999999999122</v>
      </c>
      <c r="AF1160">
        <v>-0.69566208571860022</v>
      </c>
    </row>
    <row r="1161" spans="4:32" x14ac:dyDescent="0.35">
      <c r="D1161">
        <v>-0.91683999999999999</v>
      </c>
      <c r="M1161">
        <f t="shared" si="150"/>
        <v>1160</v>
      </c>
      <c r="N1161">
        <f t="shared" si="151"/>
        <v>1976.5833333332455</v>
      </c>
      <c r="O1161">
        <f t="shared" si="146"/>
        <v>0</v>
      </c>
      <c r="P1161">
        <f t="array" ref="P1161">+SUM($G$2:$G$18*SIN(2*PI()*(N1161)*$B$1/$F$2:$F$18+$H$2:$H$18))</f>
        <v>9.0787128169781531E-2</v>
      </c>
      <c r="Q1161">
        <f t="shared" si="147"/>
        <v>0</v>
      </c>
      <c r="R1161">
        <f t="shared" si="148"/>
        <v>-6.2349949047456929E-4</v>
      </c>
      <c r="S1161">
        <f t="array" ref="S1161">+$B$2*SIN(R1161*$B$3+$B$4)+0*R1161+ SUM($J$2:$J$20*SIN(2*PI()*N1161*$I$2:$I$20+$K$2:$K$20))</f>
        <v>-0.69571404945100623</v>
      </c>
      <c r="U1161" s="3">
        <f t="shared" si="144"/>
        <v>1976.5833333332455</v>
      </c>
      <c r="V1161" s="3">
        <f t="shared" si="145"/>
        <v>-0.131906</v>
      </c>
      <c r="Z1161" s="1">
        <v>1976.625</v>
      </c>
      <c r="AA1161" s="2">
        <f t="shared" si="149"/>
        <v>-1.5883340000000001</v>
      </c>
      <c r="AB1161">
        <v>-79.416700000000006</v>
      </c>
      <c r="AE1161">
        <v>1976.5833333332455</v>
      </c>
      <c r="AF1161">
        <v>-0.69571404945100623</v>
      </c>
    </row>
    <row r="1162" spans="4:32" x14ac:dyDescent="0.35">
      <c r="D1162">
        <v>-1.033358</v>
      </c>
      <c r="M1162">
        <f t="shared" si="150"/>
        <v>1161</v>
      </c>
      <c r="N1162">
        <f t="shared" si="151"/>
        <v>1976.6666666665787</v>
      </c>
      <c r="O1162">
        <f t="shared" si="146"/>
        <v>0</v>
      </c>
      <c r="P1162">
        <f t="array" ref="P1162">+SUM($G$2:$G$18*SIN(2*PI()*(N1162)*$B$1/$F$2:$F$18+$H$2:$H$18))</f>
        <v>-0.44727558055748401</v>
      </c>
      <c r="Q1162">
        <f t="shared" si="147"/>
        <v>0</v>
      </c>
      <c r="R1162">
        <f t="shared" si="148"/>
        <v>-6.2254046038828228E-4</v>
      </c>
      <c r="S1162">
        <f t="array" ref="S1162">+$B$2*SIN(R1162*$B$3+$B$4)+0*R1162+ SUM($J$2:$J$20*SIN(2*PI()*N1162*$I$2:$I$20+$K$2:$K$20))</f>
        <v>-0.69576591057163095</v>
      </c>
      <c r="U1162" s="3">
        <f t="shared" si="144"/>
        <v>1976.6666666665787</v>
      </c>
      <c r="V1162" s="3">
        <f t="shared" si="145"/>
        <v>-6.8379999999999995E-3</v>
      </c>
      <c r="Z1162" s="1">
        <v>1976.7083</v>
      </c>
      <c r="AA1162" s="2">
        <f t="shared" si="149"/>
        <v>-1.5048500000000002</v>
      </c>
      <c r="AB1162">
        <v>-75.242500000000007</v>
      </c>
      <c r="AE1162">
        <v>1976.6666666665787</v>
      </c>
      <c r="AF1162">
        <v>-0.69576591057163095</v>
      </c>
    </row>
    <row r="1163" spans="4:32" x14ac:dyDescent="0.35">
      <c r="D1163">
        <v>-1.5883340000000001</v>
      </c>
      <c r="M1163">
        <f t="shared" si="150"/>
        <v>1162</v>
      </c>
      <c r="N1163">
        <f t="shared" si="151"/>
        <v>1976.749999999912</v>
      </c>
      <c r="O1163">
        <f t="shared" si="146"/>
        <v>0</v>
      </c>
      <c r="P1163">
        <f t="array" ref="P1163">+SUM($G$2:$G$18*SIN(2*PI()*(N1163)*$B$1/$F$2:$F$18+$H$2:$H$18))</f>
        <v>-0.76472095649989447</v>
      </c>
      <c r="Q1163">
        <f t="shared" si="147"/>
        <v>0</v>
      </c>
      <c r="R1163">
        <f t="shared" si="148"/>
        <v>-6.2158290542542428E-4</v>
      </c>
      <c r="S1163">
        <f t="array" ref="S1163">+$B$2*SIN(R1163*$B$3+$B$4)+0*R1163+ SUM($J$2:$J$20*SIN(2*PI()*N1163*$I$2:$I$20+$K$2:$K$20))</f>
        <v>-0.69581766930634925</v>
      </c>
      <c r="U1163" s="3">
        <f t="shared" si="144"/>
        <v>1976.749999999912</v>
      </c>
      <c r="V1163" s="3">
        <f t="shared" si="145"/>
        <v>6.9001999999999994E-2</v>
      </c>
      <c r="Z1163" s="1">
        <v>1976.7917</v>
      </c>
      <c r="AA1163" s="2">
        <f t="shared" si="149"/>
        <v>-1.3952180000000001</v>
      </c>
      <c r="AB1163">
        <v>-69.760900000000007</v>
      </c>
      <c r="AE1163">
        <v>1976.749999999912</v>
      </c>
      <c r="AF1163">
        <v>-0.69581766930634925</v>
      </c>
    </row>
    <row r="1164" spans="4:32" x14ac:dyDescent="0.35">
      <c r="D1164">
        <v>-1.5048500000000002</v>
      </c>
      <c r="M1164">
        <f t="shared" si="150"/>
        <v>1163</v>
      </c>
      <c r="N1164">
        <f t="shared" si="151"/>
        <v>1976.8333333332453</v>
      </c>
      <c r="O1164">
        <f t="shared" si="146"/>
        <v>0</v>
      </c>
      <c r="P1164">
        <f t="array" ref="P1164">+SUM($G$2:$G$18*SIN(2*PI()*(N1164)*$B$1/$F$2:$F$18+$H$2:$H$18))</f>
        <v>-0.41992072919539791</v>
      </c>
      <c r="Q1164">
        <f t="shared" si="147"/>
        <v>0</v>
      </c>
      <c r="R1164">
        <f t="shared" si="148"/>
        <v>-6.2062682331704756E-4</v>
      </c>
      <c r="S1164">
        <f t="array" ref="S1164">+$B$2*SIN(R1164*$B$3+$B$4)+0*R1164+ SUM($J$2:$J$20*SIN(2*PI()*N1164*$I$2:$I$20+$K$2:$K$20))</f>
        <v>-0.69586932588048833</v>
      </c>
      <c r="U1164" s="3">
        <f t="shared" si="144"/>
        <v>1976.8333333332453</v>
      </c>
      <c r="V1164" s="3">
        <f t="shared" si="145"/>
        <v>9.0996000000000007E-2</v>
      </c>
      <c r="Z1164" s="1">
        <v>1976.875</v>
      </c>
      <c r="AA1164" s="2">
        <f t="shared" si="149"/>
        <v>-1.4055819999999999</v>
      </c>
      <c r="AB1164">
        <v>-70.2791</v>
      </c>
      <c r="AE1164">
        <v>1976.8333333332453</v>
      </c>
      <c r="AF1164">
        <v>-0.69586932588048833</v>
      </c>
    </row>
    <row r="1165" spans="4:32" x14ac:dyDescent="0.35">
      <c r="D1165">
        <v>-1.3952180000000001</v>
      </c>
      <c r="M1165">
        <f t="shared" si="150"/>
        <v>1164</v>
      </c>
      <c r="N1165">
        <f t="shared" si="151"/>
        <v>1976.9166666665785</v>
      </c>
      <c r="O1165">
        <f t="shared" si="146"/>
        <v>0</v>
      </c>
      <c r="P1165">
        <f t="array" ref="P1165">+SUM($G$2:$G$18*SIN(2*PI()*(N1165)*$B$1/$F$2:$F$18+$H$2:$H$18))</f>
        <v>5.8305455059470046E-2</v>
      </c>
      <c r="Q1165">
        <f t="shared" si="147"/>
        <v>0</v>
      </c>
      <c r="R1165">
        <f t="shared" si="148"/>
        <v>-6.1967221179769444E-4</v>
      </c>
      <c r="S1165">
        <f t="array" ref="S1165">+$B$2*SIN(R1165*$B$3+$B$4)+0*R1165+ SUM($J$2:$J$20*SIN(2*PI()*N1165*$I$2:$I$20+$K$2:$K$20))</f>
        <v>-0.69592088051882817</v>
      </c>
      <c r="U1165" s="3">
        <f t="shared" si="144"/>
        <v>1976.9166666665785</v>
      </c>
      <c r="V1165" s="3">
        <f t="shared" si="145"/>
        <v>-5.1631999999999997E-2</v>
      </c>
      <c r="Z1165" s="1">
        <v>1976.9583</v>
      </c>
      <c r="AA1165" s="2">
        <f t="shared" si="149"/>
        <v>-1.3344100000000001</v>
      </c>
      <c r="AB1165">
        <v>-66.720500000000001</v>
      </c>
      <c r="AE1165">
        <v>1976.9166666665785</v>
      </c>
      <c r="AF1165">
        <v>-0.69592088051882817</v>
      </c>
    </row>
    <row r="1166" spans="4:32" x14ac:dyDescent="0.35">
      <c r="D1166">
        <v>-1.4055819999999999</v>
      </c>
      <c r="M1166">
        <f t="shared" si="150"/>
        <v>1165</v>
      </c>
      <c r="N1166">
        <f t="shared" si="151"/>
        <v>1976.9999999999118</v>
      </c>
      <c r="O1166">
        <f t="shared" si="146"/>
        <v>36.637715116165623</v>
      </c>
      <c r="P1166">
        <f t="array" ref="P1166">+SUM($G$2:$G$18*SIN(2*PI()*(N1166)*$B$1/$F$2:$F$18+$H$2:$H$18))</f>
        <v>0.10390059633567392</v>
      </c>
      <c r="Q1166">
        <f t="shared" si="147"/>
        <v>3.806680448946143</v>
      </c>
      <c r="R1166">
        <f t="shared" si="148"/>
        <v>5.2364919382896433E-3</v>
      </c>
      <c r="S1166">
        <f t="array" ref="S1166">+$B$2*SIN(R1166*$B$3+$B$4)+0*R1166+ SUM($J$2:$J$20*SIN(2*PI()*N1166*$I$2:$I$20+$K$2:$K$20))</f>
        <v>-0.57025620195615734</v>
      </c>
      <c r="U1166" s="3">
        <f t="shared" si="144"/>
        <v>1976.9999999999118</v>
      </c>
      <c r="V1166" s="3">
        <f t="shared" si="145"/>
        <v>2.1128000000000001E-2</v>
      </c>
      <c r="Z1166" s="1">
        <v>1977.0417</v>
      </c>
      <c r="AA1166" s="2">
        <f t="shared" si="149"/>
        <v>-1.1755500000000001</v>
      </c>
      <c r="AB1166">
        <v>-58.777500000000003</v>
      </c>
      <c r="AE1166">
        <v>1976.9999999999118</v>
      </c>
      <c r="AF1166">
        <v>-0.57025620195615734</v>
      </c>
    </row>
    <row r="1167" spans="4:32" x14ac:dyDescent="0.35">
      <c r="D1167">
        <v>-1.3344100000000001</v>
      </c>
      <c r="M1167">
        <f t="shared" si="150"/>
        <v>1166</v>
      </c>
      <c r="N1167">
        <f t="shared" si="151"/>
        <v>1977.083333333245</v>
      </c>
      <c r="O1167">
        <f t="shared" si="146"/>
        <v>0</v>
      </c>
      <c r="P1167">
        <f t="array" ref="P1167">+SUM($G$2:$G$18*SIN(2*PI()*(N1167)*$B$1/$F$2:$F$18+$H$2:$H$18))</f>
        <v>0.13921137264954353</v>
      </c>
      <c r="Q1167">
        <f t="shared" si="147"/>
        <v>0</v>
      </c>
      <c r="R1167">
        <f t="shared" si="148"/>
        <v>5.2284374757084516E-3</v>
      </c>
      <c r="S1167">
        <f t="array" ref="S1167">+$B$2*SIN(R1167*$B$3+$B$4)+0*R1167+ SUM($J$2:$J$20*SIN(2*PI()*N1167*$I$2:$I$20+$K$2:$K$20))</f>
        <v>-0.57100038915524887</v>
      </c>
      <c r="U1167" s="3">
        <f t="shared" si="144"/>
        <v>1977.083333333245</v>
      </c>
      <c r="V1167" s="3">
        <f t="shared" si="145"/>
        <v>0.124654</v>
      </c>
      <c r="Z1167" s="1">
        <v>1977.125</v>
      </c>
      <c r="AA1167" s="2">
        <f t="shared" si="149"/>
        <v>-1.192072</v>
      </c>
      <c r="AB1167">
        <v>-59.6036</v>
      </c>
      <c r="AE1167">
        <v>1977.083333333245</v>
      </c>
      <c r="AF1167">
        <v>-0.57100038915524887</v>
      </c>
    </row>
    <row r="1168" spans="4:32" x14ac:dyDescent="0.35">
      <c r="D1168">
        <v>-1.1755500000000001</v>
      </c>
      <c r="M1168">
        <f t="shared" si="150"/>
        <v>1167</v>
      </c>
      <c r="N1168">
        <f t="shared" si="151"/>
        <v>1977.1666666665783</v>
      </c>
      <c r="O1168">
        <f t="shared" si="146"/>
        <v>0</v>
      </c>
      <c r="P1168">
        <f t="array" ref="P1168">+SUM($G$2:$G$18*SIN(2*PI()*(N1168)*$B$1/$F$2:$F$18+$H$2:$H$18))</f>
        <v>0.33975708131250326</v>
      </c>
      <c r="Q1168">
        <f t="shared" si="147"/>
        <v>0</v>
      </c>
      <c r="R1168">
        <f t="shared" si="148"/>
        <v>5.2203954020258276E-3</v>
      </c>
      <c r="S1168">
        <f t="array" ref="S1168">+$B$2*SIN(R1168*$B$3+$B$4)+0*R1168+ SUM($J$2:$J$20*SIN(2*PI()*N1168*$I$2:$I$20+$K$2:$K$20))</f>
        <v>-0.57174212250432355</v>
      </c>
      <c r="U1168" s="3">
        <f t="shared" si="144"/>
        <v>1977.1666666665783</v>
      </c>
      <c r="V1168" s="3">
        <f t="shared" si="145"/>
        <v>0.140486</v>
      </c>
      <c r="Z1168" s="1">
        <v>1977.2083</v>
      </c>
      <c r="AA1168" s="2">
        <f t="shared" si="149"/>
        <v>-1.2562880000000001</v>
      </c>
      <c r="AB1168">
        <v>-62.814399999999999</v>
      </c>
      <c r="AE1168">
        <v>1977.1666666665783</v>
      </c>
      <c r="AF1168">
        <v>-0.57174212250432355</v>
      </c>
    </row>
    <row r="1169" spans="4:32" x14ac:dyDescent="0.35">
      <c r="D1169">
        <v>-1.192072</v>
      </c>
      <c r="M1169">
        <f t="shared" si="150"/>
        <v>1168</v>
      </c>
      <c r="N1169">
        <f t="shared" si="151"/>
        <v>1977.2499999999116</v>
      </c>
      <c r="O1169">
        <f t="shared" si="146"/>
        <v>0</v>
      </c>
      <c r="P1169">
        <f t="array" ref="P1169">+SUM($G$2:$G$18*SIN(2*PI()*(N1169)*$B$1/$F$2:$F$18+$H$2:$H$18))</f>
        <v>0.27111631323548724</v>
      </c>
      <c r="Q1169">
        <f t="shared" si="147"/>
        <v>0</v>
      </c>
      <c r="R1169">
        <f t="shared" si="148"/>
        <v>5.2123656981858989E-3</v>
      </c>
      <c r="S1169">
        <f t="array" ref="S1169">+$B$2*SIN(R1169*$B$3+$B$4)+0*R1169+ SUM($J$2:$J$20*SIN(2*PI()*N1169*$I$2:$I$20+$K$2:$K$20))</f>
        <v>-0.57248140810665604</v>
      </c>
      <c r="U1169" s="3">
        <f t="shared" si="144"/>
        <v>1977.2499999999116</v>
      </c>
      <c r="V1169" s="3">
        <f t="shared" si="145"/>
        <v>0.35170400000000002</v>
      </c>
      <c r="Z1169" s="1">
        <v>1977.2917</v>
      </c>
      <c r="AA1169" s="2">
        <f t="shared" si="149"/>
        <v>-1.2205079999999999</v>
      </c>
      <c r="AB1169">
        <v>-61.025399999999998</v>
      </c>
      <c r="AE1169">
        <v>1977.2499999999116</v>
      </c>
      <c r="AF1169">
        <v>-0.57248140810665604</v>
      </c>
    </row>
    <row r="1170" spans="4:32" x14ac:dyDescent="0.35">
      <c r="D1170">
        <v>-1.2562880000000001</v>
      </c>
      <c r="M1170">
        <f t="shared" si="150"/>
        <v>1169</v>
      </c>
      <c r="N1170">
        <f t="shared" si="151"/>
        <v>1977.3333333332448</v>
      </c>
      <c r="O1170">
        <f t="shared" si="146"/>
        <v>0</v>
      </c>
      <c r="P1170">
        <f t="array" ref="P1170">+SUM($G$2:$G$18*SIN(2*PI()*(N1170)*$B$1/$F$2:$F$18+$H$2:$H$18))</f>
        <v>-0.14829797195412103</v>
      </c>
      <c r="Q1170">
        <f t="shared" si="147"/>
        <v>0</v>
      </c>
      <c r="R1170">
        <f t="shared" si="148"/>
        <v>5.2043483451621039E-3</v>
      </c>
      <c r="S1170">
        <f t="array" ref="S1170">+$B$2*SIN(R1170*$B$3+$B$4)+0*R1170+ SUM($J$2:$J$20*SIN(2*PI()*N1170*$I$2:$I$20+$K$2:$K$20))</f>
        <v>-0.57321825205976418</v>
      </c>
      <c r="U1170" s="3">
        <f t="shared" si="144"/>
        <v>1977.3333333332448</v>
      </c>
      <c r="V1170" s="3">
        <f t="shared" si="145"/>
        <v>5.0612000000000004E-2</v>
      </c>
      <c r="Z1170" s="1">
        <v>1977.375</v>
      </c>
      <c r="AA1170" s="2">
        <f t="shared" si="149"/>
        <v>-0.84934200000000004</v>
      </c>
      <c r="AB1170">
        <v>-42.467100000000002</v>
      </c>
      <c r="AE1170">
        <v>1977.3333333332448</v>
      </c>
      <c r="AF1170">
        <v>-0.57321825205976418</v>
      </c>
    </row>
    <row r="1171" spans="4:32" x14ac:dyDescent="0.35">
      <c r="D1171">
        <v>-1.2205079999999999</v>
      </c>
      <c r="M1171">
        <f t="shared" si="150"/>
        <v>1170</v>
      </c>
      <c r="N1171">
        <f t="shared" si="151"/>
        <v>1977.4166666665781</v>
      </c>
      <c r="O1171">
        <f t="shared" si="146"/>
        <v>0</v>
      </c>
      <c r="P1171">
        <f t="array" ref="P1171">+SUM($G$2:$G$18*SIN(2*PI()*(N1171)*$B$1/$F$2:$F$18+$H$2:$H$18))</f>
        <v>-0.62377347672190575</v>
      </c>
      <c r="Q1171">
        <f t="shared" si="147"/>
        <v>0</v>
      </c>
      <c r="R1171">
        <f t="shared" si="148"/>
        <v>5.1963433239571467E-3</v>
      </c>
      <c r="S1171">
        <f t="array" ref="S1171">+$B$2*SIN(R1171*$B$3+$B$4)+0*R1171+ SUM($J$2:$J$20*SIN(2*PI()*N1171*$I$2:$I$20+$K$2:$K$20))</f>
        <v>-0.5739526604553421</v>
      </c>
      <c r="U1171" s="3">
        <f t="shared" si="144"/>
        <v>1977.4166666665781</v>
      </c>
      <c r="V1171" s="3">
        <f t="shared" si="145"/>
        <v>-0.122792</v>
      </c>
      <c r="Z1171" s="1">
        <v>1977.4583</v>
      </c>
      <c r="AA1171" s="2">
        <f t="shared" si="149"/>
        <v>-0.65817599999999998</v>
      </c>
      <c r="AB1171">
        <v>-32.908799999999999</v>
      </c>
      <c r="AE1171">
        <v>1977.4166666665781</v>
      </c>
      <c r="AF1171">
        <v>-0.5739526604553421</v>
      </c>
    </row>
    <row r="1172" spans="4:32" x14ac:dyDescent="0.35">
      <c r="D1172">
        <v>-0.84934200000000004</v>
      </c>
      <c r="M1172">
        <f t="shared" si="150"/>
        <v>1171</v>
      </c>
      <c r="N1172">
        <f t="shared" si="151"/>
        <v>1977.4999999999113</v>
      </c>
      <c r="O1172">
        <f t="shared" si="146"/>
        <v>0</v>
      </c>
      <c r="P1172">
        <f t="array" ref="P1172">+SUM($G$2:$G$18*SIN(2*PI()*(N1172)*$B$1/$F$2:$F$18+$H$2:$H$18))</f>
        <v>-0.67497424983427934</v>
      </c>
      <c r="Q1172">
        <f t="shared" si="147"/>
        <v>0</v>
      </c>
      <c r="R1172">
        <f t="shared" si="148"/>
        <v>5.1883506156029527E-3</v>
      </c>
      <c r="S1172">
        <f t="array" ref="S1172">+$B$2*SIN(R1172*$B$3+$B$4)+0*R1172+ SUM($J$2:$J$20*SIN(2*PI()*N1172*$I$2:$I$20+$K$2:$K$20))</f>
        <v>-0.57468463937919401</v>
      </c>
      <c r="U1172" s="3">
        <f t="shared" si="144"/>
        <v>1977.4999999999113</v>
      </c>
      <c r="V1172" s="3">
        <f t="shared" si="145"/>
        <v>-0.35003799999999996</v>
      </c>
      <c r="Z1172" s="1">
        <v>1977.5417</v>
      </c>
      <c r="AA1172" s="2">
        <f t="shared" si="149"/>
        <v>-0.80547600000000008</v>
      </c>
      <c r="AB1172">
        <v>-40.273800000000001</v>
      </c>
      <c r="AE1172">
        <v>1977.4999999999113</v>
      </c>
      <c r="AF1172">
        <v>-0.57468463937919401</v>
      </c>
    </row>
    <row r="1173" spans="4:32" x14ac:dyDescent="0.35">
      <c r="D1173">
        <v>-0.65817599999999998</v>
      </c>
      <c r="M1173">
        <f t="shared" si="150"/>
        <v>1172</v>
      </c>
      <c r="N1173">
        <f t="shared" si="151"/>
        <v>1977.5833333332446</v>
      </c>
      <c r="O1173">
        <f t="shared" si="146"/>
        <v>0</v>
      </c>
      <c r="P1173">
        <f t="array" ref="P1173">+SUM($G$2:$G$18*SIN(2*PI()*(N1173)*$B$1/$F$2:$F$18+$H$2:$H$18))</f>
        <v>-0.18041492354433905</v>
      </c>
      <c r="Q1173">
        <f t="shared" si="147"/>
        <v>0</v>
      </c>
      <c r="R1173">
        <f t="shared" si="148"/>
        <v>5.1803702011606221E-3</v>
      </c>
      <c r="S1173">
        <f t="array" ref="S1173">+$B$2*SIN(R1173*$B$3+$B$4)+0*R1173+ SUM($J$2:$J$20*SIN(2*PI()*N1173*$I$2:$I$20+$K$2:$K$20))</f>
        <v>-0.57541419491116974</v>
      </c>
      <c r="U1173" s="3">
        <f t="shared" si="144"/>
        <v>1977.5833333332446</v>
      </c>
      <c r="V1173" s="3">
        <f t="shared" si="145"/>
        <v>-0.20036400000000001</v>
      </c>
      <c r="Z1173" s="1">
        <v>1977.625</v>
      </c>
      <c r="AA1173" s="2">
        <f t="shared" si="149"/>
        <v>-0.866622</v>
      </c>
      <c r="AB1173">
        <v>-43.331099999999999</v>
      </c>
      <c r="AE1173">
        <v>1977.5833333332446</v>
      </c>
      <c r="AF1173">
        <v>-0.57541419491116974</v>
      </c>
    </row>
    <row r="1174" spans="4:32" x14ac:dyDescent="0.35">
      <c r="D1174">
        <v>-0.80547600000000008</v>
      </c>
      <c r="M1174">
        <f t="shared" si="150"/>
        <v>1173</v>
      </c>
      <c r="N1174">
        <f t="shared" si="151"/>
        <v>1977.6666666665778</v>
      </c>
      <c r="O1174">
        <f t="shared" si="146"/>
        <v>0</v>
      </c>
      <c r="P1174">
        <f t="array" ref="P1174">+SUM($G$2:$G$18*SIN(2*PI()*(N1174)*$B$1/$F$2:$F$18+$H$2:$H$18))</f>
        <v>0.19687036261275562</v>
      </c>
      <c r="Q1174">
        <f t="shared" si="147"/>
        <v>0</v>
      </c>
      <c r="R1174">
        <f t="shared" si="148"/>
        <v>5.1724020617203853E-3</v>
      </c>
      <c r="S1174">
        <f t="array" ref="S1174">+$B$2*SIN(R1174*$B$3+$B$4)+0*R1174+ SUM($J$2:$J$20*SIN(2*PI()*N1174*$I$2:$I$20+$K$2:$K$20))</f>
        <v>-0.57614133312510052</v>
      </c>
      <c r="U1174" s="3">
        <f t="shared" si="144"/>
        <v>1977.6666666665778</v>
      </c>
      <c r="V1174" s="3">
        <f t="shared" si="145"/>
        <v>9.6998000000000001E-2</v>
      </c>
      <c r="Z1174" s="1">
        <v>1977.7083</v>
      </c>
      <c r="AA1174" s="2">
        <f t="shared" si="149"/>
        <v>-0.85084400000000004</v>
      </c>
      <c r="AB1174">
        <v>-42.542200000000001</v>
      </c>
      <c r="AE1174">
        <v>1977.6666666665778</v>
      </c>
      <c r="AF1174">
        <v>-0.57614133312510052</v>
      </c>
    </row>
    <row r="1175" spans="4:32" x14ac:dyDescent="0.35">
      <c r="D1175">
        <v>-0.866622</v>
      </c>
      <c r="M1175">
        <f t="shared" si="150"/>
        <v>1174</v>
      </c>
      <c r="N1175">
        <f t="shared" si="151"/>
        <v>1977.7499999999111</v>
      </c>
      <c r="O1175">
        <f t="shared" si="146"/>
        <v>0</v>
      </c>
      <c r="P1175">
        <f t="array" ref="P1175">+SUM($G$2:$G$18*SIN(2*PI()*(N1175)*$B$1/$F$2:$F$18+$H$2:$H$18))</f>
        <v>0.22914397450810434</v>
      </c>
      <c r="Q1175">
        <f t="shared" si="147"/>
        <v>0</v>
      </c>
      <c r="R1175">
        <f t="shared" si="148"/>
        <v>5.1644461784015596E-3</v>
      </c>
      <c r="S1175">
        <f t="array" ref="S1175">+$B$2*SIN(R1175*$B$3+$B$4)+0*R1175+ SUM($J$2:$J$20*SIN(2*PI()*N1175*$I$2:$I$20+$K$2:$K$20))</f>
        <v>-0.57686606008873398</v>
      </c>
      <c r="U1175" s="3">
        <f t="shared" si="144"/>
        <v>1977.7499999999111</v>
      </c>
      <c r="V1175" s="3">
        <f t="shared" si="145"/>
        <v>0.16359400000000002</v>
      </c>
      <c r="Z1175" s="1">
        <v>1977.7917</v>
      </c>
      <c r="AA1175" s="2">
        <f t="shared" si="149"/>
        <v>-0.84737799999999996</v>
      </c>
      <c r="AB1175">
        <v>-42.368899999999996</v>
      </c>
      <c r="AE1175">
        <v>1977.7499999999111</v>
      </c>
      <c r="AF1175">
        <v>-0.57686606008873398</v>
      </c>
    </row>
    <row r="1176" spans="4:32" x14ac:dyDescent="0.35">
      <c r="D1176">
        <v>-0.85084400000000004</v>
      </c>
      <c r="M1176">
        <f t="shared" si="150"/>
        <v>1175</v>
      </c>
      <c r="N1176">
        <f t="shared" si="151"/>
        <v>1977.8333333332444</v>
      </c>
      <c r="O1176">
        <f t="shared" si="146"/>
        <v>0</v>
      </c>
      <c r="P1176">
        <f t="array" ref="P1176">+SUM($G$2:$G$18*SIN(2*PI()*(N1176)*$B$1/$F$2:$F$18+$H$2:$H$18))</f>
        <v>0.35401259517188011</v>
      </c>
      <c r="Q1176">
        <f t="shared" si="147"/>
        <v>0</v>
      </c>
      <c r="R1176">
        <f t="shared" si="148"/>
        <v>5.1565025323525027E-3</v>
      </c>
      <c r="S1176">
        <f t="array" ref="S1176">+$B$2*SIN(R1176*$B$3+$B$4)+0*R1176+ SUM($J$2:$J$20*SIN(2*PI()*N1176*$I$2:$I$20+$K$2:$K$20))</f>
        <v>-0.57758838186367234</v>
      </c>
      <c r="U1176" s="3">
        <f t="shared" si="144"/>
        <v>1977.8333333332444</v>
      </c>
      <c r="V1176" s="3">
        <f t="shared" si="145"/>
        <v>3.3264000000000002E-2</v>
      </c>
      <c r="Z1176" s="1">
        <v>1977.875</v>
      </c>
      <c r="AA1176" s="2">
        <f t="shared" si="149"/>
        <v>-1.0162179999999998</v>
      </c>
      <c r="AB1176">
        <v>-50.810899999999997</v>
      </c>
      <c r="AE1176">
        <v>1977.8333333332444</v>
      </c>
      <c r="AF1176">
        <v>-0.57758838186367234</v>
      </c>
    </row>
    <row r="1177" spans="4:32" x14ac:dyDescent="0.35">
      <c r="D1177">
        <v>-0.84737799999999996</v>
      </c>
      <c r="M1177">
        <f t="shared" si="150"/>
        <v>1176</v>
      </c>
      <c r="N1177">
        <f t="shared" si="151"/>
        <v>1977.9166666665776</v>
      </c>
      <c r="O1177">
        <f t="shared" si="146"/>
        <v>0</v>
      </c>
      <c r="P1177">
        <f t="array" ref="P1177">+SUM($G$2:$G$18*SIN(2*PI()*(N1177)*$B$1/$F$2:$F$18+$H$2:$H$18))</f>
        <v>0.41809594091799307</v>
      </c>
      <c r="Q1177">
        <f t="shared" si="147"/>
        <v>0</v>
      </c>
      <c r="R1177">
        <f t="shared" si="148"/>
        <v>5.1485711047505696E-3</v>
      </c>
      <c r="S1177">
        <f t="array" ref="S1177">+$B$2*SIN(R1177*$B$3+$B$4)+0*R1177+ SUM($J$2:$J$20*SIN(2*PI()*N1177*$I$2:$I$20+$K$2:$K$20))</f>
        <v>-0.57830830450530923</v>
      </c>
      <c r="U1177" s="3">
        <f t="shared" si="144"/>
        <v>1977.9166666665776</v>
      </c>
      <c r="V1177" s="3">
        <f t="shared" si="145"/>
        <v>0.19985399999999998</v>
      </c>
      <c r="Z1177" s="1">
        <v>1977.9583</v>
      </c>
      <c r="AA1177" s="2">
        <f t="shared" si="149"/>
        <v>-1.0727519999999999</v>
      </c>
      <c r="AB1177">
        <v>-53.637599999999999</v>
      </c>
      <c r="AE1177">
        <v>1977.9166666665776</v>
      </c>
      <c r="AF1177">
        <v>-0.57830830450530923</v>
      </c>
    </row>
    <row r="1178" spans="4:32" x14ac:dyDescent="0.35">
      <c r="D1178">
        <v>-1.0162179999999998</v>
      </c>
      <c r="M1178">
        <f t="shared" si="150"/>
        <v>1177</v>
      </c>
      <c r="N1178">
        <f t="shared" si="151"/>
        <v>1977.9999999999109</v>
      </c>
      <c r="O1178">
        <f t="shared" si="146"/>
        <v>36.637715116165623</v>
      </c>
      <c r="P1178">
        <f t="array" ref="P1178">+SUM($G$2:$G$18*SIN(2*PI()*(N1178)*$B$1/$F$2:$F$18+$H$2:$H$18))</f>
        <v>9.8135335984514807E-2</v>
      </c>
      <c r="Q1178">
        <f t="shared" si="147"/>
        <v>3.5954544826298505</v>
      </c>
      <c r="R1178">
        <f t="shared" si="148"/>
        <v>1.0670967579375041E-2</v>
      </c>
      <c r="S1178">
        <f t="array" ref="S1178">+$B$2*SIN(R1178*$B$3+$B$4)+0*R1178+ SUM($J$2:$J$20*SIN(2*PI()*N1178*$I$2:$I$20+$K$2:$K$20))</f>
        <v>0.12232572254260735</v>
      </c>
      <c r="U1178" s="3">
        <f t="shared" si="144"/>
        <v>1977.9999999999109</v>
      </c>
      <c r="V1178" s="3">
        <f t="shared" si="145"/>
        <v>0.25106200000000001</v>
      </c>
      <c r="Z1178" s="1">
        <v>1978.0417</v>
      </c>
      <c r="AA1178" s="2">
        <f t="shared" si="149"/>
        <v>-1.0046740000000001</v>
      </c>
      <c r="AB1178">
        <v>-50.233699999999999</v>
      </c>
      <c r="AE1178">
        <v>1977.9999999999109</v>
      </c>
      <c r="AF1178">
        <v>0.12232572254260735</v>
      </c>
    </row>
    <row r="1179" spans="4:32" x14ac:dyDescent="0.35">
      <c r="D1179">
        <v>-1.0727519999999999</v>
      </c>
      <c r="M1179">
        <f t="shared" si="150"/>
        <v>1178</v>
      </c>
      <c r="N1179">
        <f t="shared" si="151"/>
        <v>1978.0833333332441</v>
      </c>
      <c r="O1179">
        <f t="shared" si="146"/>
        <v>0</v>
      </c>
      <c r="P1179">
        <f t="array" ref="P1179">+SUM($G$2:$G$18*SIN(2*PI()*(N1179)*$B$1/$F$2:$F$18+$H$2:$H$18))</f>
        <v>-0.38350349730199457</v>
      </c>
      <c r="Q1179">
        <f t="shared" si="147"/>
        <v>0</v>
      </c>
      <c r="R1179">
        <f t="shared" si="148"/>
        <v>1.0654554127375865E-2</v>
      </c>
      <c r="S1179">
        <f t="array" ref="S1179">+$B$2*SIN(R1179*$B$3+$B$4)+0*R1179+ SUM($J$2:$J$20*SIN(2*PI()*N1179*$I$2:$I$20+$K$2:$K$20))</f>
        <v>0.12003070685436927</v>
      </c>
      <c r="U1179" s="3">
        <f t="shared" si="144"/>
        <v>1978.0833333332441</v>
      </c>
      <c r="V1179" s="3">
        <f t="shared" si="145"/>
        <v>0.41611400000000004</v>
      </c>
      <c r="Z1179" s="1">
        <v>1978.125</v>
      </c>
      <c r="AA1179" s="2">
        <f t="shared" si="149"/>
        <v>-1.095056</v>
      </c>
      <c r="AB1179">
        <v>-54.752800000000001</v>
      </c>
      <c r="AE1179">
        <v>1978.0833333332441</v>
      </c>
      <c r="AF1179">
        <v>0.12003070685436927</v>
      </c>
    </row>
    <row r="1180" spans="4:32" x14ac:dyDescent="0.35">
      <c r="D1180">
        <v>-1.0046740000000001</v>
      </c>
      <c r="M1180">
        <f t="shared" si="150"/>
        <v>1179</v>
      </c>
      <c r="N1180">
        <f t="shared" si="151"/>
        <v>1978.1666666665774</v>
      </c>
      <c r="O1180">
        <f t="shared" si="146"/>
        <v>0</v>
      </c>
      <c r="P1180">
        <f t="array" ref="P1180">+SUM($G$2:$G$18*SIN(2*PI()*(N1180)*$B$1/$F$2:$F$18+$H$2:$H$18))</f>
        <v>-0.67999595742845154</v>
      </c>
      <c r="Q1180">
        <f t="shared" si="147"/>
        <v>0</v>
      </c>
      <c r="R1180">
        <f t="shared" si="148"/>
        <v>1.0638165921579016E-2</v>
      </c>
      <c r="S1180">
        <f t="array" ref="S1180">+$B$2*SIN(R1180*$B$3+$B$4)+0*R1180+ SUM($J$2:$J$20*SIN(2*PI()*N1180*$I$2:$I$20+$K$2:$K$20))</f>
        <v>0.11773807837677176</v>
      </c>
      <c r="U1180" s="3">
        <f t="shared" si="144"/>
        <v>1978.1666666665774</v>
      </c>
      <c r="V1180" s="3">
        <f t="shared" si="145"/>
        <v>0.50424000000000002</v>
      </c>
      <c r="Z1180" s="1">
        <v>1978.2083</v>
      </c>
      <c r="AA1180" s="2">
        <f t="shared" si="149"/>
        <v>-0.75620799999999999</v>
      </c>
      <c r="AB1180">
        <v>-37.810400000000001</v>
      </c>
      <c r="AE1180">
        <v>1978.1666666665774</v>
      </c>
      <c r="AF1180">
        <v>0.11773807837677176</v>
      </c>
    </row>
    <row r="1181" spans="4:32" x14ac:dyDescent="0.35">
      <c r="D1181">
        <v>-1.095056</v>
      </c>
      <c r="M1181">
        <f t="shared" si="150"/>
        <v>1180</v>
      </c>
      <c r="N1181">
        <f t="shared" si="151"/>
        <v>1978.2499999999106</v>
      </c>
      <c r="O1181">
        <f t="shared" si="146"/>
        <v>0</v>
      </c>
      <c r="P1181">
        <f t="array" ref="P1181">+SUM($G$2:$G$18*SIN(2*PI()*(N1181)*$B$1/$F$2:$F$18+$H$2:$H$18))</f>
        <v>-0.47224555605495949</v>
      </c>
      <c r="Q1181">
        <f t="shared" si="147"/>
        <v>0</v>
      </c>
      <c r="R1181">
        <f t="shared" si="148"/>
        <v>1.0621802923152276E-2</v>
      </c>
      <c r="S1181">
        <f t="array" ref="S1181">+$B$2*SIN(R1181*$B$3+$B$4)+0*R1181+ SUM($J$2:$J$20*SIN(2*PI()*N1181*$I$2:$I$20+$K$2:$K$20))</f>
        <v>0.11544785871243521</v>
      </c>
      <c r="U1181" s="3">
        <f t="shared" si="144"/>
        <v>1978.2499999999106</v>
      </c>
      <c r="V1181" s="3">
        <f t="shared" si="145"/>
        <v>0.59390399999999999</v>
      </c>
      <c r="Z1181" s="1">
        <v>1978.2917</v>
      </c>
      <c r="AA1181" s="2">
        <f t="shared" si="149"/>
        <v>-0.57890399999999997</v>
      </c>
      <c r="AB1181">
        <v>-28.9452</v>
      </c>
      <c r="AE1181">
        <v>1978.2499999999106</v>
      </c>
      <c r="AF1181">
        <v>0.11544785871243521</v>
      </c>
    </row>
    <row r="1182" spans="4:32" x14ac:dyDescent="0.35">
      <c r="D1182">
        <v>-0.75620799999999999</v>
      </c>
      <c r="M1182">
        <f t="shared" si="150"/>
        <v>1181</v>
      </c>
      <c r="N1182">
        <f t="shared" si="151"/>
        <v>1978.3333333332439</v>
      </c>
      <c r="O1182">
        <f t="shared" si="146"/>
        <v>0</v>
      </c>
      <c r="P1182">
        <f t="array" ref="P1182">+SUM($G$2:$G$18*SIN(2*PI()*(N1182)*$B$1/$F$2:$F$18+$H$2:$H$18))</f>
        <v>6.4674459460971973E-2</v>
      </c>
      <c r="Q1182">
        <f t="shared" si="147"/>
        <v>0</v>
      </c>
      <c r="R1182">
        <f t="shared" si="148"/>
        <v>1.060546509332316E-2</v>
      </c>
      <c r="S1182">
        <f t="array" ref="S1182">+$B$2*SIN(R1182*$B$3+$B$4)+0*R1182+ SUM($J$2:$J$20*SIN(2*PI()*N1182*$I$2:$I$20+$K$2:$K$20))</f>
        <v>0.11316006926337446</v>
      </c>
      <c r="U1182" s="3">
        <f t="shared" si="144"/>
        <v>1978.3333333332439</v>
      </c>
      <c r="V1182" s="3">
        <f t="shared" si="145"/>
        <v>0.63895400000000002</v>
      </c>
      <c r="Z1182" s="1">
        <v>1978.375</v>
      </c>
      <c r="AA1182" s="2">
        <f t="shared" si="149"/>
        <v>-0.41082799999999997</v>
      </c>
      <c r="AB1182">
        <v>-20.541399999999999</v>
      </c>
      <c r="AE1182">
        <v>1978.3333333332439</v>
      </c>
      <c r="AF1182">
        <v>0.11316006926337446</v>
      </c>
    </row>
    <row r="1183" spans="4:32" x14ac:dyDescent="0.35">
      <c r="D1183">
        <v>-0.57890399999999997</v>
      </c>
      <c r="M1183">
        <f t="shared" si="150"/>
        <v>1182</v>
      </c>
      <c r="N1183">
        <f t="shared" si="151"/>
        <v>1978.4166666665772</v>
      </c>
      <c r="O1183">
        <f t="shared" si="146"/>
        <v>0</v>
      </c>
      <c r="P1183">
        <f t="array" ref="P1183">+SUM($G$2:$G$18*SIN(2*PI()*(N1183)*$B$1/$F$2:$F$18+$H$2:$H$18))</f>
        <v>0.29710870581882148</v>
      </c>
      <c r="Q1183">
        <f t="shared" si="147"/>
        <v>0</v>
      </c>
      <c r="R1183">
        <f t="shared" si="148"/>
        <v>1.0589152393378813E-2</v>
      </c>
      <c r="S1183">
        <f t="array" ref="S1183">+$B$2*SIN(R1183*$B$3+$B$4)+0*R1183+ SUM($J$2:$J$20*SIN(2*PI()*N1183*$I$2:$I$20+$K$2:$K$20))</f>
        <v>0.11087473123196406</v>
      </c>
      <c r="U1183" s="3">
        <f t="shared" si="144"/>
        <v>1978.4166666665772</v>
      </c>
      <c r="V1183" s="3">
        <f t="shared" si="145"/>
        <v>0.79938399999999998</v>
      </c>
      <c r="Z1183" s="1">
        <v>1978.4583</v>
      </c>
      <c r="AA1183" s="2">
        <f t="shared" si="149"/>
        <v>-0.25659799999999999</v>
      </c>
      <c r="AB1183">
        <v>-12.8299</v>
      </c>
      <c r="AE1183">
        <v>1978.4166666665772</v>
      </c>
      <c r="AF1183">
        <v>0.11087473123196406</v>
      </c>
    </row>
    <row r="1184" spans="4:32" x14ac:dyDescent="0.35">
      <c r="D1184">
        <v>-0.41082799999999997</v>
      </c>
      <c r="M1184">
        <f t="shared" si="150"/>
        <v>1183</v>
      </c>
      <c r="N1184">
        <f t="shared" si="151"/>
        <v>1978.4999999999104</v>
      </c>
      <c r="O1184">
        <f t="shared" si="146"/>
        <v>0</v>
      </c>
      <c r="P1184">
        <f t="array" ref="P1184">+SUM($G$2:$G$18*SIN(2*PI()*(N1184)*$B$1/$F$2:$F$18+$H$2:$H$18))</f>
        <v>0.30173778192260114</v>
      </c>
      <c r="Q1184">
        <f t="shared" si="147"/>
        <v>0</v>
      </c>
      <c r="R1184">
        <f t="shared" si="148"/>
        <v>1.0572864784665934E-2</v>
      </c>
      <c r="S1184">
        <f t="array" ref="S1184">+$B$2*SIN(R1184*$B$3+$B$4)+0*R1184+ SUM($J$2:$J$20*SIN(2*PI()*N1184*$I$2:$I$20+$K$2:$K$20))</f>
        <v>0.10859186562190601</v>
      </c>
      <c r="U1184" s="3">
        <f t="shared" si="144"/>
        <v>1978.4999999999104</v>
      </c>
      <c r="V1184" s="3">
        <f t="shared" si="145"/>
        <v>0.889046</v>
      </c>
      <c r="Z1184" s="1">
        <v>1978.5417</v>
      </c>
      <c r="AA1184" s="2">
        <f t="shared" si="149"/>
        <v>-0.31006600000000001</v>
      </c>
      <c r="AB1184">
        <v>-15.503299999999999</v>
      </c>
      <c r="AE1184">
        <v>1978.4999999999104</v>
      </c>
      <c r="AF1184">
        <v>0.10859186562190601</v>
      </c>
    </row>
    <row r="1185" spans="4:32" x14ac:dyDescent="0.35">
      <c r="D1185">
        <v>-0.25659799999999999</v>
      </c>
      <c r="M1185">
        <f t="shared" si="150"/>
        <v>1184</v>
      </c>
      <c r="N1185">
        <f t="shared" si="151"/>
        <v>1978.5833333332437</v>
      </c>
      <c r="O1185">
        <f t="shared" si="146"/>
        <v>0</v>
      </c>
      <c r="P1185">
        <f t="array" ref="P1185">+SUM($G$2:$G$18*SIN(2*PI()*(N1185)*$B$1/$F$2:$F$18+$H$2:$H$18))</f>
        <v>0.39993460017671528</v>
      </c>
      <c r="Q1185">
        <f t="shared" si="147"/>
        <v>0</v>
      </c>
      <c r="R1185">
        <f t="shared" si="148"/>
        <v>1.0556602228590672E-2</v>
      </c>
      <c r="S1185">
        <f t="array" ref="S1185">+$B$2*SIN(R1185*$B$3+$B$4)+0*R1185+ SUM($J$2:$J$20*SIN(2*PI()*N1185*$I$2:$I$20+$K$2:$K$20))</f>
        <v>0.10631149323919346</v>
      </c>
      <c r="U1185" s="3">
        <f t="shared" si="144"/>
        <v>1978.5833333332437</v>
      </c>
      <c r="V1185" s="3">
        <f t="shared" si="145"/>
        <v>1.0971680000000001</v>
      </c>
      <c r="Z1185" s="1">
        <v>1978.625</v>
      </c>
      <c r="AA1185" s="2">
        <f t="shared" si="149"/>
        <v>-0.26661000000000001</v>
      </c>
      <c r="AB1185">
        <v>-13.330500000000001</v>
      </c>
      <c r="AE1185">
        <v>1978.5833333332437</v>
      </c>
      <c r="AF1185">
        <v>0.10631149323919346</v>
      </c>
    </row>
    <row r="1186" spans="4:32" x14ac:dyDescent="0.35">
      <c r="D1186">
        <v>-0.31006600000000001</v>
      </c>
      <c r="M1186">
        <f t="shared" si="150"/>
        <v>1185</v>
      </c>
      <c r="N1186">
        <f t="shared" si="151"/>
        <v>1978.6666666665769</v>
      </c>
      <c r="O1186">
        <f t="shared" si="146"/>
        <v>0</v>
      </c>
      <c r="P1186">
        <f t="array" ref="P1186">+SUM($G$2:$G$18*SIN(2*PI()*(N1186)*$B$1/$F$2:$F$18+$H$2:$H$18))</f>
        <v>0.26651102156341466</v>
      </c>
      <c r="Q1186">
        <f t="shared" si="147"/>
        <v>0</v>
      </c>
      <c r="R1186">
        <f t="shared" si="148"/>
        <v>1.0540364686618542E-2</v>
      </c>
      <c r="S1186">
        <f t="array" ref="S1186">+$B$2*SIN(R1186*$B$3+$B$4)+0*R1186+ SUM($J$2:$J$20*SIN(2*PI()*N1186*$I$2:$I$20+$K$2:$K$20))</f>
        <v>0.10403363469307451</v>
      </c>
      <c r="U1186" s="3">
        <f t="shared" si="144"/>
        <v>1978.6666666665769</v>
      </c>
      <c r="V1186" s="3">
        <f t="shared" si="145"/>
        <v>1.0437479999999999</v>
      </c>
      <c r="Z1186" s="1">
        <v>1978.7083</v>
      </c>
      <c r="AA1186" s="2">
        <f t="shared" si="149"/>
        <v>-0.17238399999999998</v>
      </c>
      <c r="AB1186">
        <v>-8.6191999999999993</v>
      </c>
      <c r="AE1186">
        <v>1978.6666666665769</v>
      </c>
      <c r="AF1186">
        <v>0.10403363469307451</v>
      </c>
    </row>
    <row r="1187" spans="4:32" x14ac:dyDescent="0.35">
      <c r="D1187">
        <v>-0.26661000000000001</v>
      </c>
      <c r="M1187">
        <f t="shared" si="150"/>
        <v>1186</v>
      </c>
      <c r="N1187">
        <f t="shared" si="151"/>
        <v>1978.7499999999102</v>
      </c>
      <c r="O1187">
        <f t="shared" si="146"/>
        <v>0</v>
      </c>
      <c r="P1187">
        <f t="array" ref="P1187">+SUM($G$2:$G$18*SIN(2*PI()*(N1187)*$B$1/$F$2:$F$18+$H$2:$H$18))</f>
        <v>-0.17133973851994611</v>
      </c>
      <c r="Q1187">
        <f t="shared" si="147"/>
        <v>0</v>
      </c>
      <c r="R1187">
        <f t="shared" si="148"/>
        <v>1.0524152120274324E-2</v>
      </c>
      <c r="S1187">
        <f t="array" ref="S1187">+$B$2*SIN(R1187*$B$3+$B$4)+0*R1187+ SUM($J$2:$J$20*SIN(2*PI()*N1187*$I$2:$I$20+$K$2:$K$20))</f>
        <v>0.10175831039701441</v>
      </c>
      <c r="U1187" s="3">
        <f t="shared" si="144"/>
        <v>1978.7499999999102</v>
      </c>
      <c r="V1187" s="3">
        <f t="shared" si="145"/>
        <v>0.79956000000000005</v>
      </c>
      <c r="Z1187" s="1">
        <v>1978.7917</v>
      </c>
      <c r="AA1187" s="2">
        <f t="shared" si="149"/>
        <v>-0.26739400000000002</v>
      </c>
      <c r="AB1187">
        <v>-13.3697</v>
      </c>
      <c r="AE1187">
        <v>1978.7499999999102</v>
      </c>
      <c r="AF1187">
        <v>0.10175831039701441</v>
      </c>
    </row>
    <row r="1188" spans="4:32" x14ac:dyDescent="0.35">
      <c r="D1188">
        <v>-0.17238399999999998</v>
      </c>
      <c r="M1188">
        <f t="shared" si="150"/>
        <v>1187</v>
      </c>
      <c r="N1188">
        <f t="shared" si="151"/>
        <v>1978.8333333332434</v>
      </c>
      <c r="O1188">
        <f t="shared" si="146"/>
        <v>0</v>
      </c>
      <c r="P1188">
        <f t="array" ref="P1188">+SUM($G$2:$G$18*SIN(2*PI()*(N1188)*$B$1/$F$2:$F$18+$H$2:$H$18))</f>
        <v>-0.56252846574188542</v>
      </c>
      <c r="Q1188">
        <f t="shared" si="147"/>
        <v>0</v>
      </c>
      <c r="R1188">
        <f t="shared" si="148"/>
        <v>1.0507964491141985E-2</v>
      </c>
      <c r="S1188">
        <f t="array" ref="S1188">+$B$2*SIN(R1188*$B$3+$B$4)+0*R1188+ SUM($J$2:$J$20*SIN(2*PI()*N1188*$I$2:$I$20+$K$2:$K$20))</f>
        <v>9.9485540569657874E-2</v>
      </c>
      <c r="U1188" s="3">
        <f t="shared" si="144"/>
        <v>1978.8333333332434</v>
      </c>
      <c r="V1188" s="3">
        <f t="shared" si="145"/>
        <v>0.53075600000000001</v>
      </c>
      <c r="Z1188" s="1">
        <v>1978.875</v>
      </c>
      <c r="AA1188" s="2">
        <f t="shared" si="149"/>
        <v>-0.28701599999999999</v>
      </c>
      <c r="AB1188">
        <v>-14.3508</v>
      </c>
      <c r="AE1188">
        <v>1978.8333333332434</v>
      </c>
      <c r="AF1188">
        <v>9.9485540569657874E-2</v>
      </c>
    </row>
    <row r="1189" spans="4:32" x14ac:dyDescent="0.35">
      <c r="D1189">
        <v>-0.26739400000000002</v>
      </c>
      <c r="M1189">
        <f t="shared" si="150"/>
        <v>1188</v>
      </c>
      <c r="N1189">
        <f t="shared" si="151"/>
        <v>1978.9166666665767</v>
      </c>
      <c r="O1189">
        <f t="shared" si="146"/>
        <v>0</v>
      </c>
      <c r="P1189">
        <f t="array" ref="P1189">+SUM($G$2:$G$18*SIN(2*PI()*(N1189)*$B$1/$F$2:$F$18+$H$2:$H$18))</f>
        <v>-0.67084165956193564</v>
      </c>
      <c r="Q1189">
        <f t="shared" si="147"/>
        <v>0</v>
      </c>
      <c r="R1189">
        <f t="shared" si="148"/>
        <v>1.0491801760864578E-2</v>
      </c>
      <c r="S1189">
        <f t="array" ref="S1189">+$B$2*SIN(R1189*$B$3+$B$4)+0*R1189+ SUM($J$2:$J$20*SIN(2*PI()*N1189*$I$2:$I$20+$K$2:$K$20))</f>
        <v>9.7215345235787898E-2</v>
      </c>
      <c r="U1189" s="3">
        <f t="shared" si="144"/>
        <v>1978.9166666665767</v>
      </c>
      <c r="V1189" s="3">
        <f t="shared" si="145"/>
        <v>0.73887000000000003</v>
      </c>
      <c r="Z1189" s="1">
        <v>1978.9583</v>
      </c>
      <c r="AA1189" s="2">
        <f t="shared" si="149"/>
        <v>-0.132794</v>
      </c>
      <c r="AB1189">
        <v>-6.6397000000000004</v>
      </c>
      <c r="AE1189">
        <v>1978.9166666665767</v>
      </c>
      <c r="AF1189">
        <v>9.7215345235787898E-2</v>
      </c>
    </row>
    <row r="1190" spans="4:32" x14ac:dyDescent="0.35">
      <c r="D1190">
        <v>-0.28701599999999999</v>
      </c>
      <c r="M1190">
        <f t="shared" si="150"/>
        <v>1189</v>
      </c>
      <c r="N1190">
        <f t="shared" si="151"/>
        <v>1978.99999999991</v>
      </c>
      <c r="O1190">
        <f t="shared" si="146"/>
        <v>36.637715116165623</v>
      </c>
      <c r="P1190">
        <f t="array" ref="P1190">+SUM($G$2:$G$18*SIN(2*PI()*(N1190)*$B$1/$F$2:$F$18+$H$2:$H$18))</f>
        <v>-0.30037366572102508</v>
      </c>
      <c r="Q1190">
        <f t="shared" si="147"/>
        <v>-11.005004793085281</v>
      </c>
      <c r="R1190">
        <f t="shared" si="148"/>
        <v>-6.4515844186645785E-3</v>
      </c>
      <c r="S1190">
        <f t="array" ref="S1190">+$B$2*SIN(R1190*$B$3+$B$4)+0*R1190+ SUM($J$2:$J$20*SIN(2*PI()*N1190*$I$2:$I$20+$K$2:$K$20))</f>
        <v>-6.1771873174813488E-2</v>
      </c>
      <c r="U1190" s="3">
        <f t="shared" si="144"/>
        <v>1978.99999999991</v>
      </c>
      <c r="V1190" s="3">
        <f t="shared" si="145"/>
        <v>0.31468000000000002</v>
      </c>
      <c r="Z1190" s="1">
        <v>1979.0417</v>
      </c>
      <c r="AA1190" s="2">
        <f t="shared" si="149"/>
        <v>0.22450000000000001</v>
      </c>
      <c r="AB1190">
        <v>11.225</v>
      </c>
      <c r="AE1190">
        <v>1978.99999999991</v>
      </c>
      <c r="AF1190">
        <v>-6.1771873174813488E-2</v>
      </c>
    </row>
    <row r="1191" spans="4:32" x14ac:dyDescent="0.35">
      <c r="D1191">
        <v>-0.132794</v>
      </c>
      <c r="M1191">
        <f t="shared" si="150"/>
        <v>1190</v>
      </c>
      <c r="N1191">
        <f t="shared" si="151"/>
        <v>1979.0833333332432</v>
      </c>
      <c r="O1191">
        <f t="shared" si="146"/>
        <v>0</v>
      </c>
      <c r="P1191">
        <f t="array" ref="P1191">+SUM($G$2:$G$18*SIN(2*PI()*(N1191)*$B$1/$F$2:$F$18+$H$2:$H$18))</f>
        <v>0.21960177864444994</v>
      </c>
      <c r="Q1191">
        <f t="shared" si="147"/>
        <v>0</v>
      </c>
      <c r="R1191">
        <f t="shared" si="148"/>
        <v>-6.4416609726052872E-3</v>
      </c>
      <c r="S1191">
        <f t="array" ref="S1191">+$B$2*SIN(R1191*$B$3+$B$4)+0*R1191+ SUM($J$2:$J$20*SIN(2*PI()*N1191*$I$2:$I$20+$K$2:$K$20))</f>
        <v>-6.3172909096080226E-2</v>
      </c>
      <c r="U1191" s="3">
        <f t="shared" si="144"/>
        <v>1979.0833333332432</v>
      </c>
      <c r="V1191" s="3">
        <f t="shared" si="145"/>
        <v>0.205872</v>
      </c>
      <c r="Z1191" s="1">
        <v>1979.125</v>
      </c>
      <c r="AA1191" s="2">
        <f t="shared" si="149"/>
        <v>0.34333599999999997</v>
      </c>
      <c r="AB1191">
        <v>17.166799999999999</v>
      </c>
      <c r="AE1191">
        <v>1979.0833333332432</v>
      </c>
      <c r="AF1191">
        <v>-6.3172909096080226E-2</v>
      </c>
    </row>
    <row r="1192" spans="4:32" x14ac:dyDescent="0.35">
      <c r="D1192">
        <v>0.22450000000000001</v>
      </c>
      <c r="M1192">
        <f t="shared" si="150"/>
        <v>1191</v>
      </c>
      <c r="N1192">
        <f t="shared" si="151"/>
        <v>1979.1666666665765</v>
      </c>
      <c r="O1192">
        <f t="shared" si="146"/>
        <v>0</v>
      </c>
      <c r="P1192">
        <f t="array" ref="P1192">+SUM($G$2:$G$18*SIN(2*PI()*(N1192)*$B$1/$F$2:$F$18+$H$2:$H$18))</f>
        <v>0.33392557883475665</v>
      </c>
      <c r="Q1192">
        <f t="shared" si="147"/>
        <v>0</v>
      </c>
      <c r="R1192">
        <f t="shared" si="148"/>
        <v>-6.4317527902045483E-3</v>
      </c>
      <c r="S1192">
        <f t="array" ref="S1192">+$B$2*SIN(R1192*$B$3+$B$4)+0*R1192+ SUM($J$2:$J$20*SIN(2*PI()*N1192*$I$2:$I$20+$K$2:$K$20))</f>
        <v>-6.4571570168401704E-2</v>
      </c>
      <c r="U1192" s="3">
        <f t="shared" si="144"/>
        <v>1979.1666666665765</v>
      </c>
      <c r="V1192" s="3">
        <f t="shared" si="145"/>
        <v>0.32936799999999999</v>
      </c>
      <c r="Z1192" s="1">
        <v>1979.2083</v>
      </c>
      <c r="AA1192" s="2">
        <f t="shared" si="149"/>
        <v>0.46370800000000001</v>
      </c>
      <c r="AB1192">
        <v>23.185400000000001</v>
      </c>
      <c r="AE1192">
        <v>1979.1666666665765</v>
      </c>
      <c r="AF1192">
        <v>-6.4571570168401704E-2</v>
      </c>
    </row>
    <row r="1193" spans="4:32" x14ac:dyDescent="0.35">
      <c r="D1193">
        <v>0.34333599999999997</v>
      </c>
      <c r="M1193">
        <f t="shared" si="150"/>
        <v>1192</v>
      </c>
      <c r="N1193">
        <f t="shared" si="151"/>
        <v>1979.2499999999097</v>
      </c>
      <c r="O1193">
        <f t="shared" si="146"/>
        <v>0</v>
      </c>
      <c r="P1193">
        <f t="array" ref="P1193">+SUM($G$2:$G$18*SIN(2*PI()*(N1193)*$B$1/$F$2:$F$18+$H$2:$H$18))</f>
        <v>0.25854390102402847</v>
      </c>
      <c r="Q1193">
        <f t="shared" si="147"/>
        <v>0</v>
      </c>
      <c r="R1193">
        <f t="shared" si="148"/>
        <v>-6.4218598479847044E-3</v>
      </c>
      <c r="S1193">
        <f t="array" ref="S1193">+$B$2*SIN(R1193*$B$3+$B$4)+0*R1193+ SUM($J$2:$J$20*SIN(2*PI()*N1193*$I$2:$I$20+$K$2:$K$20))</f>
        <v>-6.5967855867652733E-2</v>
      </c>
      <c r="U1193" s="3">
        <f t="shared" si="144"/>
        <v>1979.2499999999097</v>
      </c>
      <c r="V1193" s="3">
        <f t="shared" si="145"/>
        <v>-0.18098</v>
      </c>
      <c r="Z1193" s="1">
        <v>1979.2917</v>
      </c>
      <c r="AA1193" s="2">
        <f t="shared" si="149"/>
        <v>0.174846</v>
      </c>
      <c r="AB1193">
        <v>8.7423000000000002</v>
      </c>
      <c r="AE1193">
        <v>1979.2499999999097</v>
      </c>
      <c r="AF1193">
        <v>-6.5967855867652733E-2</v>
      </c>
    </row>
    <row r="1194" spans="4:32" x14ac:dyDescent="0.35">
      <c r="D1194">
        <v>0.46370800000000001</v>
      </c>
      <c r="M1194">
        <f t="shared" si="150"/>
        <v>1193</v>
      </c>
      <c r="N1194">
        <f t="shared" si="151"/>
        <v>1979.333333333243</v>
      </c>
      <c r="O1194">
        <f t="shared" si="146"/>
        <v>0</v>
      </c>
      <c r="P1194">
        <f t="array" ref="P1194">+SUM($G$2:$G$18*SIN(2*PI()*(N1194)*$B$1/$F$2:$F$18+$H$2:$H$18))</f>
        <v>0.19255136375692578</v>
      </c>
      <c r="Q1194">
        <f t="shared" si="147"/>
        <v>0</v>
      </c>
      <c r="R1194">
        <f t="shared" si="148"/>
        <v>-6.41198212250421E-3</v>
      </c>
      <c r="S1194">
        <f t="array" ref="S1194">+$B$2*SIN(R1194*$B$3+$B$4)+0*R1194+ SUM($J$2:$J$20*SIN(2*PI()*N1194*$I$2:$I$20+$K$2:$K$20))</f>
        <v>-6.7361765706487275E-2</v>
      </c>
      <c r="U1194" s="3">
        <f t="shared" si="144"/>
        <v>1979.333333333243</v>
      </c>
      <c r="V1194" s="3">
        <f t="shared" si="145"/>
        <v>-0.42055999999999999</v>
      </c>
      <c r="Z1194" s="1">
        <v>1979.375</v>
      </c>
      <c r="AA1194" s="2">
        <f t="shared" si="149"/>
        <v>-0.24170800000000001</v>
      </c>
      <c r="AB1194">
        <v>-12.0854</v>
      </c>
      <c r="AE1194">
        <v>1979.333333333243</v>
      </c>
      <c r="AF1194">
        <v>-6.7361765706487275E-2</v>
      </c>
    </row>
    <row r="1195" spans="4:32" x14ac:dyDescent="0.35">
      <c r="D1195">
        <v>0.174846</v>
      </c>
      <c r="M1195">
        <f t="shared" si="150"/>
        <v>1194</v>
      </c>
      <c r="N1195">
        <f t="shared" si="151"/>
        <v>1979.4166666665762</v>
      </c>
      <c r="O1195">
        <f t="shared" si="146"/>
        <v>0</v>
      </c>
      <c r="P1195">
        <f t="array" ref="P1195">+SUM($G$2:$G$18*SIN(2*PI()*(N1195)*$B$1/$F$2:$F$18+$H$2:$H$18))</f>
        <v>-8.3443632012042399E-2</v>
      </c>
      <c r="Q1195">
        <f t="shared" si="147"/>
        <v>0</v>
      </c>
      <c r="R1195">
        <f t="shared" si="148"/>
        <v>-6.4021195903575748E-3</v>
      </c>
      <c r="S1195">
        <f t="array" ref="S1195">+$B$2*SIN(R1195*$B$3+$B$4)+0*R1195+ SUM($J$2:$J$20*SIN(2*PI()*N1195*$I$2:$I$20+$K$2:$K$20))</f>
        <v>-6.8753299234077789E-2</v>
      </c>
      <c r="U1195" s="3">
        <f t="shared" si="144"/>
        <v>1979.4166666665762</v>
      </c>
      <c r="V1195" s="3">
        <f t="shared" si="145"/>
        <v>-0.55091199999999996</v>
      </c>
      <c r="Z1195" s="1">
        <v>1979.4583</v>
      </c>
      <c r="AA1195" s="2">
        <f t="shared" si="149"/>
        <v>-0.25672200000000001</v>
      </c>
      <c r="AB1195">
        <v>-12.8361</v>
      </c>
      <c r="AE1195">
        <v>1979.4166666665762</v>
      </c>
      <c r="AF1195">
        <v>-6.8753299234077789E-2</v>
      </c>
    </row>
    <row r="1196" spans="4:32" x14ac:dyDescent="0.35">
      <c r="D1196">
        <v>-0.24170800000000001</v>
      </c>
      <c r="M1196">
        <f t="shared" si="150"/>
        <v>1195</v>
      </c>
      <c r="N1196">
        <f t="shared" si="151"/>
        <v>1979.4999999999095</v>
      </c>
      <c r="O1196">
        <f t="shared" si="146"/>
        <v>0</v>
      </c>
      <c r="P1196">
        <f t="array" ref="P1196">+SUM($G$2:$G$18*SIN(2*PI()*(N1196)*$B$1/$F$2:$F$18+$H$2:$H$18))</f>
        <v>-0.39567730549357505</v>
      </c>
      <c r="Q1196">
        <f t="shared" si="147"/>
        <v>0</v>
      </c>
      <c r="R1196">
        <f t="shared" si="148"/>
        <v>-6.3922722281753103E-3</v>
      </c>
      <c r="S1196">
        <f t="array" ref="S1196">+$B$2*SIN(R1196*$B$3+$B$4)+0*R1196+ SUM($J$2:$J$20*SIN(2*PI()*N1196*$I$2:$I$20+$K$2:$K$20))</f>
        <v>-7.0142456035851786E-2</v>
      </c>
      <c r="U1196" s="3">
        <f t="shared" si="144"/>
        <v>1979.4999999999095</v>
      </c>
      <c r="V1196" s="3">
        <f t="shared" si="145"/>
        <v>-0.53664800000000001</v>
      </c>
      <c r="Z1196" s="1">
        <v>1979.5417</v>
      </c>
      <c r="AA1196" s="2">
        <f t="shared" si="149"/>
        <v>-0.62712800000000002</v>
      </c>
      <c r="AB1196">
        <v>-31.356400000000001</v>
      </c>
      <c r="AE1196">
        <v>1979.4999999999095</v>
      </c>
      <c r="AF1196">
        <v>-7.0142456035851786E-2</v>
      </c>
    </row>
    <row r="1197" spans="4:32" x14ac:dyDescent="0.35">
      <c r="D1197">
        <v>-0.25672200000000001</v>
      </c>
      <c r="M1197">
        <f t="shared" si="150"/>
        <v>1196</v>
      </c>
      <c r="N1197">
        <f t="shared" si="151"/>
        <v>1979.5833333332428</v>
      </c>
      <c r="O1197">
        <f t="shared" si="146"/>
        <v>0</v>
      </c>
      <c r="P1197">
        <f t="array" ref="P1197">+SUM($G$2:$G$18*SIN(2*PI()*(N1197)*$B$1/$F$2:$F$18+$H$2:$H$18))</f>
        <v>-0.57584915593781338</v>
      </c>
      <c r="Q1197">
        <f t="shared" si="147"/>
        <v>0</v>
      </c>
      <c r="R1197">
        <f t="shared" si="148"/>
        <v>-6.3824400126238729E-3</v>
      </c>
      <c r="S1197">
        <f t="array" ref="S1197">+$B$2*SIN(R1197*$B$3+$B$4)+0*R1197+ SUM($J$2:$J$20*SIN(2*PI()*N1197*$I$2:$I$20+$K$2:$K$20))</f>
        <v>-7.1529235733235746E-2</v>
      </c>
      <c r="U1197" s="3">
        <f t="shared" si="144"/>
        <v>1979.5833333332428</v>
      </c>
      <c r="V1197" s="3">
        <f t="shared" si="145"/>
        <v>-0.47777000000000003</v>
      </c>
      <c r="Z1197" s="1">
        <v>1979.625</v>
      </c>
      <c r="AA1197" s="2">
        <f t="shared" si="149"/>
        <v>-0.76522199999999996</v>
      </c>
      <c r="AB1197">
        <v>-38.261099999999999</v>
      </c>
      <c r="AE1197">
        <v>1979.5833333332428</v>
      </c>
      <c r="AF1197">
        <v>-7.1529235733235746E-2</v>
      </c>
    </row>
    <row r="1198" spans="4:32" x14ac:dyDescent="0.35">
      <c r="D1198">
        <v>-0.62712800000000002</v>
      </c>
      <c r="M1198">
        <f t="shared" si="150"/>
        <v>1197</v>
      </c>
      <c r="N1198">
        <f t="shared" si="151"/>
        <v>1979.666666666576</v>
      </c>
      <c r="O1198">
        <f t="shared" si="146"/>
        <v>0</v>
      </c>
      <c r="P1198">
        <f t="array" ref="P1198">+SUM($G$2:$G$18*SIN(2*PI()*(N1198)*$B$1/$F$2:$F$18+$H$2:$H$18))</f>
        <v>-0.58563501629674231</v>
      </c>
      <c r="Q1198">
        <f t="shared" si="147"/>
        <v>0</v>
      </c>
      <c r="R1198">
        <f t="shared" si="148"/>
        <v>-6.3726229204056099E-3</v>
      </c>
      <c r="S1198">
        <f t="array" ref="S1198">+$B$2*SIN(R1198*$B$3+$B$4)+0*R1198+ SUM($J$2:$J$20*SIN(2*PI()*N1198*$I$2:$I$20+$K$2:$K$20))</f>
        <v>-7.2913637983395216E-2</v>
      </c>
      <c r="U1198" s="3">
        <f t="shared" si="144"/>
        <v>1979.666666666576</v>
      </c>
      <c r="V1198" s="3">
        <f t="shared" si="145"/>
        <v>-0.50197400000000003</v>
      </c>
      <c r="Z1198" s="1">
        <v>1979.7083</v>
      </c>
      <c r="AA1198" s="2">
        <f t="shared" si="149"/>
        <v>-1.0479340000000001</v>
      </c>
      <c r="AB1198">
        <v>-52.396700000000003</v>
      </c>
      <c r="AE1198">
        <v>1979.666666666576</v>
      </c>
      <c r="AF1198">
        <v>-7.2913637983395216E-2</v>
      </c>
    </row>
    <row r="1199" spans="4:32" x14ac:dyDescent="0.35">
      <c r="D1199">
        <v>-0.76522199999999996</v>
      </c>
      <c r="M1199">
        <f t="shared" si="150"/>
        <v>1198</v>
      </c>
      <c r="N1199">
        <f t="shared" si="151"/>
        <v>1979.7499999999093</v>
      </c>
      <c r="O1199">
        <f t="shared" si="146"/>
        <v>0</v>
      </c>
      <c r="P1199">
        <f t="array" ref="P1199">+SUM($G$2:$G$18*SIN(2*PI()*(N1199)*$B$1/$F$2:$F$18+$H$2:$H$18))</f>
        <v>-0.18035914405540338</v>
      </c>
      <c r="Q1199">
        <f t="shared" si="147"/>
        <v>0</v>
      </c>
      <c r="R1199">
        <f t="shared" si="148"/>
        <v>-6.3628209282587042E-3</v>
      </c>
      <c r="S1199">
        <f t="array" ref="S1199">+$B$2*SIN(R1199*$B$3+$B$4)+0*R1199+ SUM($J$2:$J$20*SIN(2*PI()*N1199*$I$2:$I$20+$K$2:$K$20))</f>
        <v>-7.4295662478978244E-2</v>
      </c>
      <c r="U1199" s="3">
        <f t="shared" si="144"/>
        <v>1979.7499999999093</v>
      </c>
      <c r="V1199" s="3">
        <f t="shared" si="145"/>
        <v>-0.48309800000000003</v>
      </c>
      <c r="Z1199" s="1">
        <v>1979.7917</v>
      </c>
      <c r="AA1199" s="2">
        <f t="shared" si="149"/>
        <v>-0.99987999999999999</v>
      </c>
      <c r="AB1199">
        <v>-49.994</v>
      </c>
      <c r="AE1199">
        <v>1979.7499999999093</v>
      </c>
      <c r="AF1199">
        <v>-7.4295662478978244E-2</v>
      </c>
    </row>
    <row r="1200" spans="4:32" x14ac:dyDescent="0.35">
      <c r="D1200">
        <v>-1.0479340000000001</v>
      </c>
      <c r="M1200">
        <f t="shared" si="150"/>
        <v>1199</v>
      </c>
      <c r="N1200">
        <f t="shared" si="151"/>
        <v>1979.8333333332425</v>
      </c>
      <c r="O1200">
        <f t="shared" si="146"/>
        <v>0</v>
      </c>
      <c r="P1200">
        <f t="array" ref="P1200">+SUM($G$2:$G$18*SIN(2*PI()*(N1200)*$B$1/$F$2:$F$18+$H$2:$H$18))</f>
        <v>0.31362066656519283</v>
      </c>
      <c r="Q1200">
        <f t="shared" si="147"/>
        <v>0</v>
      </c>
      <c r="R1200">
        <f t="shared" si="148"/>
        <v>-6.3530340129571176E-3</v>
      </c>
      <c r="S1200">
        <f t="array" ref="S1200">+$B$2*SIN(R1200*$B$3+$B$4)+0*R1200+ SUM($J$2:$J$20*SIN(2*PI()*N1200*$I$2:$I$20+$K$2:$K$20))</f>
        <v>-7.5675308947859746E-2</v>
      </c>
      <c r="U1200" s="3">
        <f t="shared" si="144"/>
        <v>1979.8333333332425</v>
      </c>
      <c r="V1200" s="3">
        <f t="shared" si="145"/>
        <v>-0.59037799999999996</v>
      </c>
      <c r="Z1200" s="1">
        <v>1979.875</v>
      </c>
      <c r="AA1200" s="2">
        <f t="shared" si="149"/>
        <v>-0.92413200000000006</v>
      </c>
      <c r="AB1200">
        <v>-46.206600000000002</v>
      </c>
      <c r="AE1200">
        <v>1979.8333333332425</v>
      </c>
      <c r="AF1200">
        <v>-7.5675308947859746E-2</v>
      </c>
    </row>
    <row r="1201" spans="4:32" x14ac:dyDescent="0.35">
      <c r="D1201">
        <v>-0.99987999999999999</v>
      </c>
      <c r="M1201">
        <f t="shared" si="150"/>
        <v>1200</v>
      </c>
      <c r="N1201">
        <f t="shared" si="151"/>
        <v>1979.9166666665758</v>
      </c>
      <c r="O1201">
        <f t="shared" si="146"/>
        <v>0</v>
      </c>
      <c r="P1201">
        <f t="array" ref="P1201">+SUM($G$2:$G$18*SIN(2*PI()*(N1201)*$B$1/$F$2:$F$18+$H$2:$H$18))</f>
        <v>0.36474469046277935</v>
      </c>
      <c r="Q1201">
        <f t="shared" si="147"/>
        <v>0</v>
      </c>
      <c r="R1201">
        <f t="shared" si="148"/>
        <v>-6.3432621513105376E-3</v>
      </c>
      <c r="S1201">
        <f t="array" ref="S1201">+$B$2*SIN(R1201*$B$3+$B$4)+0*R1201+ SUM($J$2:$J$20*SIN(2*PI()*N1201*$I$2:$I$20+$K$2:$K$20))</f>
        <v>-7.7052577152888047E-2</v>
      </c>
      <c r="U1201" s="3">
        <f t="shared" si="144"/>
        <v>1979.9166666665758</v>
      </c>
      <c r="V1201" s="3">
        <f t="shared" si="145"/>
        <v>-0.81458399999999997</v>
      </c>
      <c r="Z1201" s="1">
        <v>1979.9583</v>
      </c>
      <c r="AA1201" s="2">
        <f t="shared" si="149"/>
        <v>-0.79607600000000001</v>
      </c>
      <c r="AB1201">
        <v>-39.803800000000003</v>
      </c>
      <c r="AE1201">
        <v>1979.9166666665758</v>
      </c>
      <c r="AF1201">
        <v>-7.7052577152888047E-2</v>
      </c>
    </row>
    <row r="1202" spans="4:32" x14ac:dyDescent="0.35">
      <c r="D1202">
        <v>-0.92413200000000006</v>
      </c>
      <c r="M1202">
        <f t="shared" si="150"/>
        <v>1201</v>
      </c>
      <c r="N1202">
        <f t="shared" si="151"/>
        <v>1979.9999999999091</v>
      </c>
      <c r="O1202">
        <f t="shared" si="146"/>
        <v>36.637715116165623</v>
      </c>
      <c r="P1202">
        <f t="array" ref="P1202">+SUM($G$2:$G$18*SIN(2*PI()*(N1202)*$B$1/$F$2:$F$18+$H$2:$H$18))</f>
        <v>0.14809089881684426</v>
      </c>
      <c r="Q1202">
        <f t="shared" si="147"/>
        <v>5.4257121621484483</v>
      </c>
      <c r="R1202">
        <f t="shared" si="148"/>
        <v>2.0120046321750809E-3</v>
      </c>
      <c r="S1202">
        <f t="array" ref="S1202">+$B$2*SIN(R1202*$B$3+$B$4)+0*R1202+ SUM($J$2:$J$20*SIN(2*PI()*N1202*$I$2:$I$20+$K$2:$K$20))</f>
        <v>-0.74864082307656099</v>
      </c>
      <c r="U1202" s="3">
        <f t="shared" si="144"/>
        <v>1979.9999999999091</v>
      </c>
      <c r="V1202" s="3">
        <f t="shared" si="145"/>
        <v>-1.2034039999999999</v>
      </c>
      <c r="Z1202" s="1">
        <v>1980.0417</v>
      </c>
      <c r="AA1202" s="2">
        <f t="shared" si="149"/>
        <v>-0.63264200000000004</v>
      </c>
      <c r="AB1202">
        <v>-31.632100000000001</v>
      </c>
      <c r="AE1202">
        <v>1979.9999999999091</v>
      </c>
      <c r="AF1202">
        <v>-0.74864082307656099</v>
      </c>
    </row>
    <row r="1203" spans="4:32" x14ac:dyDescent="0.35">
      <c r="D1203">
        <v>-0.79607600000000001</v>
      </c>
      <c r="M1203">
        <f t="shared" si="150"/>
        <v>1202</v>
      </c>
      <c r="N1203">
        <f t="shared" si="151"/>
        <v>1980.0833333332423</v>
      </c>
      <c r="O1203">
        <f t="shared" si="146"/>
        <v>0</v>
      </c>
      <c r="P1203">
        <f t="array" ref="P1203">+SUM($G$2:$G$18*SIN(2*PI()*(N1203)*$B$1/$F$2:$F$18+$H$2:$H$18))</f>
        <v>-0.15550156211001084</v>
      </c>
      <c r="Q1203">
        <f t="shared" si="147"/>
        <v>0</v>
      </c>
      <c r="R1203">
        <f t="shared" si="148"/>
        <v>2.0089098854984859E-3</v>
      </c>
      <c r="S1203">
        <f t="array" ref="S1203">+$B$2*SIN(R1203*$B$3+$B$4)+0*R1203+ SUM($J$2:$J$20*SIN(2*PI()*N1203*$I$2:$I$20+$K$2:$K$20))</f>
        <v>-0.74868634652074806</v>
      </c>
      <c r="U1203" s="3">
        <f t="shared" si="144"/>
        <v>1980.0833333332423</v>
      </c>
      <c r="V1203" s="3">
        <f t="shared" si="145"/>
        <v>-0.91683999999999999</v>
      </c>
      <c r="Z1203" s="1">
        <v>1980.125</v>
      </c>
      <c r="AA1203" s="2">
        <f t="shared" si="149"/>
        <v>-0.87689800000000007</v>
      </c>
      <c r="AB1203">
        <v>-43.844900000000003</v>
      </c>
      <c r="AE1203">
        <v>1980.0833333332423</v>
      </c>
      <c r="AF1203">
        <v>-0.74868634652074806</v>
      </c>
    </row>
    <row r="1204" spans="4:32" x14ac:dyDescent="0.35">
      <c r="D1204">
        <v>-0.63264200000000004</v>
      </c>
      <c r="M1204">
        <f t="shared" si="150"/>
        <v>1203</v>
      </c>
      <c r="N1204">
        <f t="shared" si="151"/>
        <v>1980.1666666665756</v>
      </c>
      <c r="O1204">
        <f t="shared" si="146"/>
        <v>0</v>
      </c>
      <c r="P1204">
        <f t="array" ref="P1204">+SUM($G$2:$G$18*SIN(2*PI()*(N1204)*$B$1/$F$2:$F$18+$H$2:$H$18))</f>
        <v>-0.42234565777562366</v>
      </c>
      <c r="Q1204">
        <f t="shared" si="147"/>
        <v>0</v>
      </c>
      <c r="R1204">
        <f t="shared" si="148"/>
        <v>2.0058198989784228E-3</v>
      </c>
      <c r="S1204">
        <f t="array" ref="S1204">+$B$2*SIN(R1204*$B$3+$B$4)+0*R1204+ SUM($J$2:$J$20*SIN(2*PI()*N1204*$I$2:$I$20+$K$2:$K$20))</f>
        <v>-0.74873154652279772</v>
      </c>
      <c r="U1204" s="3">
        <f t="shared" si="144"/>
        <v>1980.1666666665756</v>
      </c>
      <c r="V1204" s="3">
        <f t="shared" si="145"/>
        <v>-1.033358</v>
      </c>
      <c r="Z1204" s="1">
        <v>1980.2083</v>
      </c>
      <c r="AA1204" s="2">
        <f t="shared" si="149"/>
        <v>-0.95961600000000002</v>
      </c>
      <c r="AB1204">
        <v>-47.980800000000002</v>
      </c>
      <c r="AE1204">
        <v>1980.1666666665756</v>
      </c>
      <c r="AF1204">
        <v>-0.74873154652279772</v>
      </c>
    </row>
    <row r="1205" spans="4:32" x14ac:dyDescent="0.35">
      <c r="D1205">
        <v>-0.87689800000000007</v>
      </c>
      <c r="M1205">
        <f t="shared" si="150"/>
        <v>1204</v>
      </c>
      <c r="N1205">
        <f t="shared" si="151"/>
        <v>1980.2499999999088</v>
      </c>
      <c r="O1205">
        <f t="shared" si="146"/>
        <v>0</v>
      </c>
      <c r="P1205">
        <f t="array" ref="P1205">+SUM($G$2:$G$18*SIN(2*PI()*(N1205)*$B$1/$F$2:$F$18+$H$2:$H$18))</f>
        <v>-0.38629452348844651</v>
      </c>
      <c r="Q1205">
        <f t="shared" si="147"/>
        <v>0</v>
      </c>
      <c r="R1205">
        <f t="shared" si="148"/>
        <v>2.0027346652931001E-3</v>
      </c>
      <c r="S1205">
        <f t="array" ref="S1205">+$B$2*SIN(R1205*$B$3+$B$4)+0*R1205+ SUM($J$2:$J$20*SIN(2*PI()*N1205*$I$2:$I$20+$K$2:$K$20))</f>
        <v>-0.74877642434395042</v>
      </c>
      <c r="U1205" s="3">
        <f t="shared" si="144"/>
        <v>1980.2499999999088</v>
      </c>
      <c r="V1205" s="3">
        <f t="shared" si="145"/>
        <v>-1.5883340000000001</v>
      </c>
      <c r="Z1205" s="1">
        <v>1980.2917</v>
      </c>
      <c r="AA1205" s="2">
        <f t="shared" si="149"/>
        <v>-0.94233800000000001</v>
      </c>
      <c r="AB1205">
        <v>-47.116900000000001</v>
      </c>
      <c r="AE1205">
        <v>1980.2499999999088</v>
      </c>
      <c r="AF1205">
        <v>-0.74877642434395042</v>
      </c>
    </row>
    <row r="1206" spans="4:32" x14ac:dyDescent="0.35">
      <c r="D1206">
        <v>-0.95961600000000002</v>
      </c>
      <c r="M1206">
        <f t="shared" si="150"/>
        <v>1205</v>
      </c>
      <c r="N1206">
        <f t="shared" si="151"/>
        <v>1980.3333333332421</v>
      </c>
      <c r="O1206">
        <f t="shared" si="146"/>
        <v>0</v>
      </c>
      <c r="P1206">
        <f t="array" ref="P1206">+SUM($G$2:$G$18*SIN(2*PI()*(N1206)*$B$1/$F$2:$F$18+$H$2:$H$18))</f>
        <v>-0.33399403023167595</v>
      </c>
      <c r="Q1206">
        <f t="shared" si="147"/>
        <v>0</v>
      </c>
      <c r="R1206">
        <f t="shared" si="148"/>
        <v>1.9996541771319883E-3</v>
      </c>
      <c r="S1206">
        <f t="array" ref="S1206">+$B$2*SIN(R1206*$B$3+$B$4)+0*R1206+ SUM($J$2:$J$20*SIN(2*PI()*N1206*$I$2:$I$20+$K$2:$K$20))</f>
        <v>-0.74882098124131458</v>
      </c>
      <c r="U1206" s="3">
        <f t="shared" si="144"/>
        <v>1980.3333333332421</v>
      </c>
      <c r="V1206" s="3">
        <f t="shared" si="145"/>
        <v>-1.5048500000000002</v>
      </c>
      <c r="Z1206" s="1">
        <v>1980.375</v>
      </c>
      <c r="AA1206" s="2">
        <f t="shared" si="149"/>
        <v>-0.87890400000000002</v>
      </c>
      <c r="AB1206">
        <v>-43.9452</v>
      </c>
      <c r="AE1206">
        <v>1980.3333333332421</v>
      </c>
      <c r="AF1206">
        <v>-0.74882098124131458</v>
      </c>
    </row>
    <row r="1207" spans="4:32" x14ac:dyDescent="0.35">
      <c r="D1207">
        <v>-0.94233800000000001</v>
      </c>
      <c r="M1207">
        <f t="shared" si="150"/>
        <v>1206</v>
      </c>
      <c r="N1207">
        <f t="shared" si="151"/>
        <v>1980.4166666665753</v>
      </c>
      <c r="O1207">
        <f t="shared" si="146"/>
        <v>0</v>
      </c>
      <c r="P1207">
        <f t="array" ref="P1207">+SUM($G$2:$G$18*SIN(2*PI()*(N1207)*$B$1/$F$2:$F$18+$H$2:$H$18))</f>
        <v>-0.37633663147398982</v>
      </c>
      <c r="Q1207">
        <f t="shared" si="147"/>
        <v>0</v>
      </c>
      <c r="R1207">
        <f t="shared" si="148"/>
        <v>1.9965784271958023E-3</v>
      </c>
      <c r="S1207">
        <f t="array" ref="S1207">+$B$2*SIN(R1207*$B$3+$B$4)+0*R1207+ SUM($J$2:$J$20*SIN(2*PI()*N1207*$I$2:$I$20+$K$2:$K$20))</f>
        <v>-0.74886521846787812</v>
      </c>
      <c r="U1207" s="3">
        <f t="shared" si="144"/>
        <v>1980.4166666665753</v>
      </c>
      <c r="V1207" s="3">
        <f t="shared" si="145"/>
        <v>-1.3952180000000001</v>
      </c>
      <c r="Z1207" s="1">
        <v>1980.4583</v>
      </c>
      <c r="AA1207" s="2">
        <f t="shared" si="149"/>
        <v>-0.54316399999999998</v>
      </c>
      <c r="AB1207">
        <v>-27.158200000000001</v>
      </c>
      <c r="AE1207">
        <v>1980.4166666665753</v>
      </c>
      <c r="AF1207">
        <v>-0.74886521846787812</v>
      </c>
    </row>
    <row r="1208" spans="4:32" x14ac:dyDescent="0.35">
      <c r="D1208">
        <v>-0.87890400000000002</v>
      </c>
      <c r="M1208">
        <f t="shared" si="150"/>
        <v>1207</v>
      </c>
      <c r="N1208">
        <f t="shared" si="151"/>
        <v>1980.4999999999086</v>
      </c>
      <c r="O1208">
        <f t="shared" si="146"/>
        <v>0</v>
      </c>
      <c r="P1208">
        <f t="array" ref="P1208">+SUM($G$2:$G$18*SIN(2*PI()*(N1208)*$B$1/$F$2:$F$18+$H$2:$H$18))</f>
        <v>-4.3383444626584361E-2</v>
      </c>
      <c r="Q1208">
        <f t="shared" si="147"/>
        <v>0</v>
      </c>
      <c r="R1208">
        <f t="shared" si="148"/>
        <v>1.9935074081964843E-3</v>
      </c>
      <c r="S1208">
        <f t="array" ref="S1208">+$B$2*SIN(R1208*$B$3+$B$4)+0*R1208+ SUM($J$2:$J$20*SIN(2*PI()*N1208*$I$2:$I$20+$K$2:$K$20))</f>
        <v>-0.74890913727252029</v>
      </c>
      <c r="U1208" s="3">
        <f t="shared" si="144"/>
        <v>1980.4999999999086</v>
      </c>
      <c r="V1208" s="3">
        <f t="shared" si="145"/>
        <v>-1.4055819999999999</v>
      </c>
      <c r="Z1208" s="1">
        <v>1980.5417</v>
      </c>
      <c r="AA1208" s="2">
        <f t="shared" si="149"/>
        <v>-0.43204399999999998</v>
      </c>
      <c r="AB1208">
        <v>-21.6022</v>
      </c>
      <c r="AE1208">
        <v>1980.4999999999086</v>
      </c>
      <c r="AF1208">
        <v>-0.74890913727252029</v>
      </c>
    </row>
    <row r="1209" spans="4:32" x14ac:dyDescent="0.35">
      <c r="D1209">
        <v>-0.54316399999999998</v>
      </c>
      <c r="M1209">
        <f t="shared" si="150"/>
        <v>1208</v>
      </c>
      <c r="N1209">
        <f t="shared" si="151"/>
        <v>1980.5833333332419</v>
      </c>
      <c r="O1209">
        <f t="shared" si="146"/>
        <v>0</v>
      </c>
      <c r="P1209">
        <f t="array" ref="P1209">+SUM($G$2:$G$18*SIN(2*PI()*(N1209)*$B$1/$F$2:$F$18+$H$2:$H$18))</f>
        <v>0.42049941922005307</v>
      </c>
      <c r="Q1209">
        <f t="shared" si="147"/>
        <v>0</v>
      </c>
      <c r="R1209">
        <f t="shared" si="148"/>
        <v>1.9904411128571866E-3</v>
      </c>
      <c r="S1209">
        <f t="array" ref="S1209">+$B$2*SIN(R1209*$B$3+$B$4)+0*R1209+ SUM($J$2:$J$20*SIN(2*PI()*N1209*$I$2:$I$20+$K$2:$K$20))</f>
        <v>-0.74895273890002334</v>
      </c>
      <c r="U1209" s="3">
        <f t="shared" si="144"/>
        <v>1980.5833333332419</v>
      </c>
      <c r="V1209" s="3">
        <f t="shared" si="145"/>
        <v>-1.3344100000000001</v>
      </c>
      <c r="Z1209" s="1">
        <v>1980.625</v>
      </c>
      <c r="AA1209" s="2">
        <f t="shared" si="149"/>
        <v>2.3694000000000003E-2</v>
      </c>
      <c r="AB1209">
        <v>1.1847000000000001</v>
      </c>
      <c r="AE1209">
        <v>1980.5833333332419</v>
      </c>
      <c r="AF1209">
        <v>-0.74895273890002334</v>
      </c>
    </row>
    <row r="1210" spans="4:32" x14ac:dyDescent="0.35">
      <c r="D1210">
        <v>-0.43204399999999998</v>
      </c>
      <c r="M1210">
        <f t="shared" si="150"/>
        <v>1209</v>
      </c>
      <c r="N1210">
        <f t="shared" si="151"/>
        <v>1980.6666666665751</v>
      </c>
      <c r="O1210">
        <f t="shared" si="146"/>
        <v>0</v>
      </c>
      <c r="P1210">
        <f t="array" ref="P1210">+SUM($G$2:$G$18*SIN(2*PI()*(N1210)*$B$1/$F$2:$F$18+$H$2:$H$18))</f>
        <v>0.43735910844483777</v>
      </c>
      <c r="Q1210">
        <f t="shared" si="147"/>
        <v>0</v>
      </c>
      <c r="R1210">
        <f t="shared" si="148"/>
        <v>1.9873795339122547E-3</v>
      </c>
      <c r="S1210">
        <f t="array" ref="S1210">+$B$2*SIN(R1210*$B$3+$B$4)+0*R1210+ SUM($J$2:$J$20*SIN(2*PI()*N1210*$I$2:$I$20+$K$2:$K$20))</f>
        <v>-0.74899602459108472</v>
      </c>
      <c r="U1210" s="3">
        <f t="shared" si="144"/>
        <v>1980.6666666665751</v>
      </c>
      <c r="V1210" s="3">
        <f t="shared" si="145"/>
        <v>-1.1755500000000001</v>
      </c>
      <c r="Z1210" s="1">
        <v>1980.7083</v>
      </c>
      <c r="AA1210" s="2">
        <f t="shared" si="149"/>
        <v>0.17943200000000001</v>
      </c>
      <c r="AB1210">
        <v>8.9716000000000005</v>
      </c>
      <c r="AE1210">
        <v>1980.6666666665751</v>
      </c>
      <c r="AF1210">
        <v>-0.74899602459108472</v>
      </c>
    </row>
    <row r="1211" spans="4:32" x14ac:dyDescent="0.35">
      <c r="D1211">
        <v>2.3694000000000003E-2</v>
      </c>
      <c r="M1211">
        <f t="shared" si="150"/>
        <v>1210</v>
      </c>
      <c r="N1211">
        <f t="shared" si="151"/>
        <v>1980.7499999999084</v>
      </c>
      <c r="O1211">
        <f t="shared" si="146"/>
        <v>0</v>
      </c>
      <c r="P1211">
        <f t="array" ref="P1211">+SUM($G$2:$G$18*SIN(2*PI()*(N1211)*$B$1/$F$2:$F$18+$H$2:$H$18))</f>
        <v>5.3778546791115239E-2</v>
      </c>
      <c r="Q1211">
        <f t="shared" si="147"/>
        <v>0</v>
      </c>
      <c r="R1211">
        <f t="shared" si="148"/>
        <v>1.9843226641072091E-3</v>
      </c>
      <c r="S1211">
        <f t="array" ref="S1211">+$B$2*SIN(R1211*$B$3+$B$4)+0*R1211+ SUM($J$2:$J$20*SIN(2*PI()*N1211*$I$2:$I$20+$K$2:$K$20))</f>
        <v>-0.74903899558232812</v>
      </c>
      <c r="U1211" s="3">
        <f t="shared" ref="U1211:U1274" si="152">+N1211</f>
        <v>1980.7499999999084</v>
      </c>
      <c r="V1211" s="3">
        <f t="shared" ref="V1211:V1274" si="153">+D1169</f>
        <v>-1.192072</v>
      </c>
      <c r="Z1211" s="1">
        <v>1980.7917</v>
      </c>
      <c r="AA1211" s="2">
        <f t="shared" si="149"/>
        <v>0.293626</v>
      </c>
      <c r="AB1211">
        <v>14.6813</v>
      </c>
      <c r="AE1211">
        <v>1980.7499999999084</v>
      </c>
      <c r="AF1211">
        <v>-0.74903899558232812</v>
      </c>
    </row>
    <row r="1212" spans="4:32" x14ac:dyDescent="0.35">
      <c r="D1212">
        <v>0.17943200000000001</v>
      </c>
      <c r="M1212">
        <f t="shared" si="150"/>
        <v>1211</v>
      </c>
      <c r="N1212">
        <f t="shared" si="151"/>
        <v>1980.8333333332416</v>
      </c>
      <c r="O1212">
        <f t="shared" si="146"/>
        <v>0</v>
      </c>
      <c r="P1212">
        <f t="array" ref="P1212">+SUM($G$2:$G$18*SIN(2*PI()*(N1212)*$B$1/$F$2:$F$18+$H$2:$H$18))</f>
        <v>-0.44712718717305994</v>
      </c>
      <c r="Q1212">
        <f t="shared" si="147"/>
        <v>0</v>
      </c>
      <c r="R1212">
        <f t="shared" si="148"/>
        <v>1.9812704961987291E-3</v>
      </c>
      <c r="S1212">
        <f t="array" ref="S1212">+$B$2*SIN(R1212*$B$3+$B$4)+0*R1212+ SUM($J$2:$J$20*SIN(2*PI()*N1212*$I$2:$I$20+$K$2:$K$20))</f>
        <v>-0.74908165310631614</v>
      </c>
      <c r="U1212" s="3">
        <f t="shared" si="152"/>
        <v>1980.8333333332416</v>
      </c>
      <c r="V1212" s="3">
        <f t="shared" si="153"/>
        <v>-1.2562880000000001</v>
      </c>
      <c r="Z1212" s="1">
        <v>1980.875</v>
      </c>
      <c r="AA1212" s="2">
        <f t="shared" si="149"/>
        <v>0.32782200000000006</v>
      </c>
      <c r="AB1212">
        <v>16.391100000000002</v>
      </c>
      <c r="AE1212">
        <v>1980.8333333332416</v>
      </c>
      <c r="AF1212">
        <v>-0.74908165310631614</v>
      </c>
    </row>
    <row r="1213" spans="4:32" x14ac:dyDescent="0.35">
      <c r="D1213">
        <v>0.293626</v>
      </c>
      <c r="M1213">
        <f t="shared" si="150"/>
        <v>1212</v>
      </c>
      <c r="N1213">
        <f t="shared" si="151"/>
        <v>1980.9166666665749</v>
      </c>
      <c r="O1213">
        <f t="shared" si="146"/>
        <v>0</v>
      </c>
      <c r="P1213">
        <f t="array" ref="P1213">+SUM($G$2:$G$18*SIN(2*PI()*(N1213)*$B$1/$F$2:$F$18+$H$2:$H$18))</f>
        <v>-0.54143095415494513</v>
      </c>
      <c r="Q1213">
        <f t="shared" si="147"/>
        <v>0</v>
      </c>
      <c r="R1213">
        <f t="shared" si="148"/>
        <v>1.978223022954635E-3</v>
      </c>
      <c r="S1213">
        <f t="array" ref="S1213">+$B$2*SIN(R1213*$B$3+$B$4)+0*R1213+ SUM($J$2:$J$20*SIN(2*PI()*N1213*$I$2:$I$20+$K$2:$K$20))</f>
        <v>-0.74912399839156107</v>
      </c>
      <c r="U1213" s="3">
        <f t="shared" si="152"/>
        <v>1980.9166666665749</v>
      </c>
      <c r="V1213" s="3">
        <f t="shared" si="153"/>
        <v>-1.2205079999999999</v>
      </c>
      <c r="Z1213" s="1">
        <v>1980.9583</v>
      </c>
      <c r="AA1213" s="2">
        <f t="shared" si="149"/>
        <v>0.56816999999999995</v>
      </c>
      <c r="AB1213">
        <v>28.4085</v>
      </c>
      <c r="AE1213">
        <v>1980.9166666665749</v>
      </c>
      <c r="AF1213">
        <v>-0.74912399839156107</v>
      </c>
    </row>
    <row r="1214" spans="4:32" x14ac:dyDescent="0.35">
      <c r="D1214">
        <v>0.32782200000000006</v>
      </c>
      <c r="M1214">
        <f t="shared" si="150"/>
        <v>1213</v>
      </c>
      <c r="N1214">
        <f t="shared" si="151"/>
        <v>1980.9999999999081</v>
      </c>
      <c r="O1214">
        <f t="shared" si="146"/>
        <v>36.637715116165623</v>
      </c>
      <c r="P1214">
        <f t="array" ref="P1214">+SUM($G$2:$G$18*SIN(2*PI()*(N1214)*$B$1/$F$2:$F$18+$H$2:$H$18))</f>
        <v>-8.7092548923214719E-2</v>
      </c>
      <c r="Q1214">
        <f t="shared" si="147"/>
        <v>-3.190871996189458</v>
      </c>
      <c r="R1214">
        <f t="shared" si="148"/>
        <v>-2.9328305833640389E-3</v>
      </c>
      <c r="S1214">
        <f t="array" ref="S1214">+$B$2*SIN(R1214*$B$3+$B$4)+0*R1214+ SUM($J$2:$J$20*SIN(2*PI()*N1214*$I$2:$I$20+$K$2:$K$20))</f>
        <v>-0.51001433178451672</v>
      </c>
      <c r="U1214" s="3">
        <f t="shared" si="152"/>
        <v>1980.9999999999081</v>
      </c>
      <c r="V1214" s="3">
        <f t="shared" si="153"/>
        <v>-0.84934200000000004</v>
      </c>
      <c r="Z1214" s="1">
        <v>1981.0417</v>
      </c>
      <c r="AA1214" s="2">
        <f t="shared" si="149"/>
        <v>0.71313000000000004</v>
      </c>
      <c r="AB1214">
        <v>35.656500000000001</v>
      </c>
      <c r="AE1214">
        <v>1980.9999999999081</v>
      </c>
      <c r="AF1214">
        <v>-0.51001433178451672</v>
      </c>
    </row>
    <row r="1215" spans="4:32" x14ac:dyDescent="0.35">
      <c r="D1215">
        <v>0.56816999999999995</v>
      </c>
      <c r="M1215">
        <f t="shared" si="150"/>
        <v>1214</v>
      </c>
      <c r="N1215">
        <f t="shared" si="151"/>
        <v>1981.0833333332414</v>
      </c>
      <c r="O1215">
        <f t="shared" si="146"/>
        <v>0</v>
      </c>
      <c r="P1215">
        <f t="array" ref="P1215">+SUM($G$2:$G$18*SIN(2*PI()*(N1215)*$B$1/$F$2:$F$18+$H$2:$H$18))</f>
        <v>0.10791977437077567</v>
      </c>
      <c r="Q1215">
        <f t="shared" si="147"/>
        <v>0</v>
      </c>
      <c r="R1215">
        <f t="shared" si="148"/>
        <v>-2.9283194766022867E-3</v>
      </c>
      <c r="S1215">
        <f t="array" ref="S1215">+$B$2*SIN(R1215*$B$3+$B$4)+0*R1215+ SUM($J$2:$J$20*SIN(2*PI()*N1215*$I$2:$I$20+$K$2:$K$20))</f>
        <v>-0.51048419267801315</v>
      </c>
      <c r="U1215" s="3">
        <f t="shared" si="152"/>
        <v>1981.0833333332414</v>
      </c>
      <c r="V1215" s="3">
        <f t="shared" si="153"/>
        <v>-0.65817599999999998</v>
      </c>
      <c r="Z1215" s="1">
        <v>1981.125</v>
      </c>
      <c r="AA1215" s="2">
        <f t="shared" si="149"/>
        <v>0.87193799999999999</v>
      </c>
      <c r="AB1215">
        <v>43.596899999999998</v>
      </c>
      <c r="AE1215">
        <v>1981.0833333332414</v>
      </c>
      <c r="AF1215">
        <v>-0.51048419267801315</v>
      </c>
    </row>
    <row r="1216" spans="4:32" x14ac:dyDescent="0.35">
      <c r="D1216">
        <v>0.71313000000000004</v>
      </c>
      <c r="M1216">
        <f t="shared" si="150"/>
        <v>1215</v>
      </c>
      <c r="N1216">
        <f t="shared" si="151"/>
        <v>1981.1666666665747</v>
      </c>
      <c r="O1216">
        <f t="shared" si="146"/>
        <v>0</v>
      </c>
      <c r="P1216">
        <f t="array" ref="P1216">+SUM($G$2:$G$18*SIN(2*PI()*(N1216)*$B$1/$F$2:$F$18+$H$2:$H$18))</f>
        <v>-6.3151132138175803E-2</v>
      </c>
      <c r="Q1216">
        <f t="shared" si="147"/>
        <v>0</v>
      </c>
      <c r="R1216">
        <f t="shared" si="148"/>
        <v>-2.9238153085584854E-3</v>
      </c>
      <c r="S1216">
        <f t="array" ref="S1216">+$B$2*SIN(R1216*$B$3+$B$4)+0*R1216+ SUM($J$2:$J$20*SIN(2*PI()*N1216*$I$2:$I$20+$K$2:$K$20))</f>
        <v>-0.51095296371204935</v>
      </c>
      <c r="U1216" s="3">
        <f t="shared" si="152"/>
        <v>1981.1666666665747</v>
      </c>
      <c r="V1216" s="3">
        <f t="shared" si="153"/>
        <v>-0.80547600000000008</v>
      </c>
      <c r="Z1216" s="1">
        <v>1981.2083</v>
      </c>
      <c r="AA1216" s="2">
        <f t="shared" si="149"/>
        <v>0.95074600000000009</v>
      </c>
      <c r="AB1216">
        <v>47.537300000000002</v>
      </c>
      <c r="AE1216">
        <v>1981.1666666665747</v>
      </c>
      <c r="AF1216">
        <v>-0.51095296371204935</v>
      </c>
    </row>
    <row r="1217" spans="4:32" x14ac:dyDescent="0.35">
      <c r="D1217">
        <v>0.87193799999999999</v>
      </c>
      <c r="M1217">
        <f t="shared" si="150"/>
        <v>1216</v>
      </c>
      <c r="N1217">
        <f t="shared" si="151"/>
        <v>1981.2499999999079</v>
      </c>
      <c r="O1217">
        <f t="shared" si="146"/>
        <v>0</v>
      </c>
      <c r="P1217">
        <f t="array" ref="P1217">+SUM($G$2:$G$18*SIN(2*PI()*(N1217)*$B$1/$F$2:$F$18+$H$2:$H$18))</f>
        <v>0.13542775536957208</v>
      </c>
      <c r="Q1217">
        <f t="shared" si="147"/>
        <v>0</v>
      </c>
      <c r="R1217">
        <f t="shared" si="148"/>
        <v>-2.9193180685599088E-3</v>
      </c>
      <c r="S1217">
        <f t="array" ref="S1217">+$B$2*SIN(R1217*$B$3+$B$4)+0*R1217+ SUM($J$2:$J$20*SIN(2*PI()*N1217*$I$2:$I$20+$K$2:$K$20))</f>
        <v>-0.51142064735545212</v>
      </c>
      <c r="U1217" s="3">
        <f t="shared" si="152"/>
        <v>1981.2499999999079</v>
      </c>
      <c r="V1217" s="3">
        <f t="shared" si="153"/>
        <v>-0.866622</v>
      </c>
      <c r="Z1217" s="1">
        <v>1981.2917</v>
      </c>
      <c r="AA1217" s="2">
        <f t="shared" si="149"/>
        <v>0.86031599999999997</v>
      </c>
      <c r="AB1217">
        <v>43.015799999999999</v>
      </c>
      <c r="AE1217">
        <v>1981.2499999999079</v>
      </c>
      <c r="AF1217">
        <v>-0.51142064735545212</v>
      </c>
    </row>
    <row r="1218" spans="4:32" x14ac:dyDescent="0.35">
      <c r="D1218">
        <v>0.95074600000000009</v>
      </c>
      <c r="M1218">
        <f t="shared" si="150"/>
        <v>1217</v>
      </c>
      <c r="N1218">
        <f t="shared" si="151"/>
        <v>1981.3333333332412</v>
      </c>
      <c r="O1218">
        <f t="shared" ref="O1218:O1281" si="154">+IF(MOD(M1218,$B$5)=1, $B$6, 0)</f>
        <v>0</v>
      </c>
      <c r="P1218">
        <f t="array" ref="P1218">+SUM($G$2:$G$18*SIN(2*PI()*(N1218)*$B$1/$F$2:$F$18+$H$2:$H$18))</f>
        <v>0.52183274202823249</v>
      </c>
      <c r="Q1218">
        <f t="shared" si="147"/>
        <v>0</v>
      </c>
      <c r="R1218">
        <f t="shared" si="148"/>
        <v>-2.9148277459502474E-3</v>
      </c>
      <c r="S1218">
        <f t="array" ref="S1218">+$B$2*SIN(R1218*$B$3+$B$4)+0*R1218+ SUM($J$2:$J$20*SIN(2*PI()*N1218*$I$2:$I$20+$K$2:$K$20))</f>
        <v>-0.51188724607262415</v>
      </c>
      <c r="U1218" s="3">
        <f t="shared" si="152"/>
        <v>1981.3333333332412</v>
      </c>
      <c r="V1218" s="3">
        <f t="shared" si="153"/>
        <v>-0.85084400000000004</v>
      </c>
      <c r="Z1218" s="1">
        <v>1981.375</v>
      </c>
      <c r="AA1218" s="2">
        <f t="shared" si="149"/>
        <v>0.90373599999999998</v>
      </c>
      <c r="AB1218">
        <v>45.186799999999998</v>
      </c>
      <c r="AE1218">
        <v>1981.3333333332412</v>
      </c>
      <c r="AF1218">
        <v>-0.51188724607262415</v>
      </c>
    </row>
    <row r="1219" spans="4:32" x14ac:dyDescent="0.35">
      <c r="D1219">
        <v>0.86031599999999997</v>
      </c>
      <c r="M1219">
        <f t="shared" si="150"/>
        <v>1218</v>
      </c>
      <c r="N1219">
        <f t="shared" si="151"/>
        <v>1981.4166666665744</v>
      </c>
      <c r="O1219">
        <f t="shared" si="154"/>
        <v>0</v>
      </c>
      <c r="P1219">
        <f t="array" ref="P1219">+SUM($G$2:$G$18*SIN(2*PI()*(N1219)*$B$1/$F$2:$F$18+$H$2:$H$18))</f>
        <v>0.48913167730916157</v>
      </c>
      <c r="Q1219">
        <f t="shared" ref="Q1219:Q1282" si="155">+O1219*P1219</f>
        <v>0</v>
      </c>
      <c r="R1219">
        <f t="shared" ref="R1219:R1282" si="156">+(1-$B$7)*R1218+($B$7)*Q1219</f>
        <v>-2.910344330089582E-3</v>
      </c>
      <c r="S1219">
        <f t="array" ref="S1219">+$B$2*SIN(R1219*$B$3+$B$4)+0*R1219+ SUM($J$2:$J$20*SIN(2*PI()*N1219*$I$2:$I$20+$K$2:$K$20))</f>
        <v>-0.51235276232354499</v>
      </c>
      <c r="U1219" s="3">
        <f t="shared" si="152"/>
        <v>1981.4166666665744</v>
      </c>
      <c r="V1219" s="3">
        <f t="shared" si="153"/>
        <v>-0.84737799999999996</v>
      </c>
      <c r="Z1219" s="1">
        <v>1981.4583</v>
      </c>
      <c r="AA1219" s="2">
        <f t="shared" ref="AA1219:AA1282" si="157">+AB1219/50</f>
        <v>1.264078</v>
      </c>
      <c r="AB1219">
        <v>63.203899999999997</v>
      </c>
      <c r="AE1219">
        <v>1981.4166666665744</v>
      </c>
      <c r="AF1219">
        <v>-0.51235276232354499</v>
      </c>
    </row>
    <row r="1220" spans="4:32" x14ac:dyDescent="0.35">
      <c r="D1220">
        <v>0.90373599999999998</v>
      </c>
      <c r="M1220">
        <f t="shared" ref="M1220:M1283" si="158">+M1219+1</f>
        <v>1219</v>
      </c>
      <c r="N1220">
        <f t="shared" ref="N1220:N1283" si="159">+N1219+1/12</f>
        <v>1981.4999999999077</v>
      </c>
      <c r="O1220">
        <f t="shared" si="154"/>
        <v>0</v>
      </c>
      <c r="P1220">
        <f t="array" ref="P1220">+SUM($G$2:$G$18*SIN(2*PI()*(N1220)*$B$1/$F$2:$F$18+$H$2:$H$18))</f>
        <v>-1.0857461799352916E-2</v>
      </c>
      <c r="Q1220">
        <f t="shared" si="155"/>
        <v>0</v>
      </c>
      <c r="R1220">
        <f t="shared" si="156"/>
        <v>-2.905867810354359E-3</v>
      </c>
      <c r="S1220">
        <f t="array" ref="S1220">+$B$2*SIN(R1220*$B$3+$B$4)+0*R1220+ SUM($J$2:$J$20*SIN(2*PI()*N1220*$I$2:$I$20+$K$2:$K$20))</f>
        <v>-0.51281719856376973</v>
      </c>
      <c r="U1220" s="3">
        <f t="shared" si="152"/>
        <v>1981.4999999999077</v>
      </c>
      <c r="V1220" s="3">
        <f t="shared" si="153"/>
        <v>-1.0162179999999998</v>
      </c>
      <c r="Z1220" s="1">
        <v>1981.5417</v>
      </c>
      <c r="AA1220" s="2">
        <f t="shared" si="157"/>
        <v>1.1982619999999999</v>
      </c>
      <c r="AB1220">
        <v>59.9131</v>
      </c>
      <c r="AE1220">
        <v>1981.4999999999077</v>
      </c>
      <c r="AF1220">
        <v>-0.51281719856376973</v>
      </c>
    </row>
    <row r="1221" spans="4:32" x14ac:dyDescent="0.35">
      <c r="D1221">
        <v>1.264078</v>
      </c>
      <c r="M1221">
        <f t="shared" si="158"/>
        <v>1220</v>
      </c>
      <c r="N1221">
        <f t="shared" si="159"/>
        <v>1981.5833333332409</v>
      </c>
      <c r="O1221">
        <f t="shared" si="154"/>
        <v>0</v>
      </c>
      <c r="P1221">
        <f t="array" ref="P1221">+SUM($G$2:$G$18*SIN(2*PI()*(N1221)*$B$1/$F$2:$F$18+$H$2:$H$18))</f>
        <v>-0.56703701992748046</v>
      </c>
      <c r="Q1221">
        <f t="shared" si="155"/>
        <v>0</v>
      </c>
      <c r="R1221">
        <f t="shared" si="156"/>
        <v>-2.9013981761373659E-3</v>
      </c>
      <c r="S1221">
        <f t="array" ref="S1221">+$B$2*SIN(R1221*$B$3+$B$4)+0*R1221+ SUM($J$2:$J$20*SIN(2*PI()*N1221*$I$2:$I$20+$K$2:$K$20))</f>
        <v>-0.51328055724442667</v>
      </c>
      <c r="U1221" s="3">
        <f t="shared" si="152"/>
        <v>1981.5833333332409</v>
      </c>
      <c r="V1221" s="3">
        <f t="shared" si="153"/>
        <v>-1.0727519999999999</v>
      </c>
      <c r="Z1221" s="1">
        <v>1981.625</v>
      </c>
      <c r="AA1221" s="2">
        <f t="shared" si="157"/>
        <v>0.90937200000000007</v>
      </c>
      <c r="AB1221">
        <v>45.468600000000002</v>
      </c>
      <c r="AE1221">
        <v>1981.5833333332409</v>
      </c>
      <c r="AF1221">
        <v>-0.51328055724442667</v>
      </c>
    </row>
    <row r="1222" spans="4:32" x14ac:dyDescent="0.35">
      <c r="D1222">
        <v>1.1982619999999999</v>
      </c>
      <c r="M1222">
        <f t="shared" si="158"/>
        <v>1221</v>
      </c>
      <c r="N1222">
        <f t="shared" si="159"/>
        <v>1981.6666666665742</v>
      </c>
      <c r="O1222">
        <f t="shared" si="154"/>
        <v>0</v>
      </c>
      <c r="P1222">
        <f t="array" ref="P1222">+SUM($G$2:$G$18*SIN(2*PI()*(N1222)*$B$1/$F$2:$F$18+$H$2:$H$18))</f>
        <v>-0.41035381593693299</v>
      </c>
      <c r="Q1222">
        <f t="shared" si="155"/>
        <v>0</v>
      </c>
      <c r="R1222">
        <f t="shared" si="156"/>
        <v>-2.896935416847705E-3</v>
      </c>
      <c r="S1222">
        <f t="array" ref="S1222">+$B$2*SIN(R1222*$B$3+$B$4)+0*R1222+ SUM($J$2:$J$20*SIN(2*PI()*N1222*$I$2:$I$20+$K$2:$K$20))</f>
        <v>-0.51374284081221866</v>
      </c>
      <c r="U1222" s="3">
        <f t="shared" si="152"/>
        <v>1981.6666666665742</v>
      </c>
      <c r="V1222" s="3">
        <f t="shared" si="153"/>
        <v>-1.0046740000000001</v>
      </c>
      <c r="Z1222" s="1">
        <v>1981.7083</v>
      </c>
      <c r="AA1222" s="2">
        <f t="shared" si="157"/>
        <v>0.43894</v>
      </c>
      <c r="AB1222">
        <v>21.946999999999999</v>
      </c>
      <c r="AE1222">
        <v>1981.6666666665742</v>
      </c>
      <c r="AF1222">
        <v>-0.51374284081221866</v>
      </c>
    </row>
    <row r="1223" spans="4:32" x14ac:dyDescent="0.35">
      <c r="D1223">
        <v>0.90937200000000007</v>
      </c>
      <c r="M1223">
        <f t="shared" si="158"/>
        <v>1222</v>
      </c>
      <c r="N1223">
        <f t="shared" si="159"/>
        <v>1981.7499999999075</v>
      </c>
      <c r="O1223">
        <f t="shared" si="154"/>
        <v>0</v>
      </c>
      <c r="P1223">
        <f t="array" ref="P1223">+SUM($G$2:$G$18*SIN(2*PI()*(N1223)*$B$1/$F$2:$F$18+$H$2:$H$18))</f>
        <v>0.33239955780821617</v>
      </c>
      <c r="Q1223">
        <f t="shared" si="155"/>
        <v>0</v>
      </c>
      <c r="R1223">
        <f t="shared" si="156"/>
        <v>-2.8924795219107697E-3</v>
      </c>
      <c r="S1223">
        <f t="array" ref="S1223">+$B$2*SIN(R1223*$B$3+$B$4)+0*R1223+ SUM($J$2:$J$20*SIN(2*PI()*N1223*$I$2:$I$20+$K$2:$K$20))</f>
        <v>-0.51420405170942074</v>
      </c>
      <c r="U1223" s="3">
        <f t="shared" si="152"/>
        <v>1981.7499999999075</v>
      </c>
      <c r="V1223" s="3">
        <f t="shared" si="153"/>
        <v>-1.095056</v>
      </c>
      <c r="Z1223" s="1">
        <v>1981.7917</v>
      </c>
      <c r="AA1223" s="2">
        <f t="shared" si="157"/>
        <v>0.559276</v>
      </c>
      <c r="AB1223">
        <v>27.963799999999999</v>
      </c>
      <c r="AE1223">
        <v>1981.7499999999075</v>
      </c>
      <c r="AF1223">
        <v>-0.51420405170942074</v>
      </c>
    </row>
    <row r="1224" spans="4:32" x14ac:dyDescent="0.35">
      <c r="D1224">
        <v>0.43894</v>
      </c>
      <c r="M1224">
        <f t="shared" si="158"/>
        <v>1223</v>
      </c>
      <c r="N1224">
        <f t="shared" si="159"/>
        <v>1981.8333333332407</v>
      </c>
      <c r="O1224">
        <f t="shared" si="154"/>
        <v>0</v>
      </c>
      <c r="P1224">
        <f t="array" ref="P1224">+SUM($G$2:$G$18*SIN(2*PI()*(N1224)*$B$1/$F$2:$F$18+$H$2:$H$18))</f>
        <v>0.52643165752876886</v>
      </c>
      <c r="Q1224">
        <f t="shared" si="155"/>
        <v>0</v>
      </c>
      <c r="R1224">
        <f t="shared" si="156"/>
        <v>-2.8880304807682175E-3</v>
      </c>
      <c r="S1224">
        <f t="array" ref="S1224">+$B$2*SIN(R1224*$B$3+$B$4)+0*R1224+ SUM($J$2:$J$20*SIN(2*PI()*N1224*$I$2:$I$20+$K$2:$K$20))</f>
        <v>-0.51466419237388084</v>
      </c>
      <c r="U1224" s="3">
        <f t="shared" si="152"/>
        <v>1981.8333333332407</v>
      </c>
      <c r="V1224" s="3">
        <f t="shared" si="153"/>
        <v>-0.75620799999999999</v>
      </c>
      <c r="Z1224" s="1">
        <v>1981.875</v>
      </c>
      <c r="AA1224" s="2">
        <f t="shared" si="157"/>
        <v>0.716534</v>
      </c>
      <c r="AB1224">
        <v>35.826700000000002</v>
      </c>
      <c r="AE1224">
        <v>1981.8333333332407</v>
      </c>
      <c r="AF1224">
        <v>-0.51466419237388084</v>
      </c>
    </row>
    <row r="1225" spans="4:32" x14ac:dyDescent="0.35">
      <c r="D1225">
        <v>0.559276</v>
      </c>
      <c r="M1225">
        <f t="shared" si="158"/>
        <v>1224</v>
      </c>
      <c r="N1225">
        <f t="shared" si="159"/>
        <v>1981.916666666574</v>
      </c>
      <c r="O1225">
        <f t="shared" si="154"/>
        <v>0</v>
      </c>
      <c r="P1225">
        <f t="array" ref="P1225">+SUM($G$2:$G$18*SIN(2*PI()*(N1225)*$B$1/$F$2:$F$18+$H$2:$H$18))</f>
        <v>0.22167817268471507</v>
      </c>
      <c r="Q1225">
        <f t="shared" si="155"/>
        <v>0</v>
      </c>
      <c r="R1225">
        <f t="shared" si="156"/>
        <v>-2.8835882828779471E-3</v>
      </c>
      <c r="S1225">
        <f t="array" ref="S1225">+$B$2*SIN(R1225*$B$3+$B$4)+0*R1225+ SUM($J$2:$J$20*SIN(2*PI()*N1225*$I$2:$I$20+$K$2:$K$20))</f>
        <v>-0.51512326523901841</v>
      </c>
      <c r="U1225" s="3">
        <f t="shared" si="152"/>
        <v>1981.916666666574</v>
      </c>
      <c r="V1225" s="3">
        <f t="shared" si="153"/>
        <v>-0.57890399999999997</v>
      </c>
      <c r="Z1225" s="1">
        <v>1981.9583</v>
      </c>
      <c r="AA1225" s="2">
        <f t="shared" si="157"/>
        <v>0.77994600000000003</v>
      </c>
      <c r="AB1225">
        <v>38.997300000000003</v>
      </c>
      <c r="AE1225">
        <v>1981.916666666574</v>
      </c>
      <c r="AF1225">
        <v>-0.51512326523901841</v>
      </c>
    </row>
    <row r="1226" spans="4:32" x14ac:dyDescent="0.35">
      <c r="D1226">
        <v>0.716534</v>
      </c>
      <c r="M1226">
        <f t="shared" si="158"/>
        <v>1225</v>
      </c>
      <c r="N1226">
        <f t="shared" si="159"/>
        <v>1981.9999999999072</v>
      </c>
      <c r="O1226">
        <f t="shared" si="154"/>
        <v>36.637715116165623</v>
      </c>
      <c r="P1226">
        <f t="array" ref="P1226">+SUM($G$2:$G$18*SIN(2*PI()*(N1226)*$B$1/$F$2:$F$18+$H$2:$H$18))</f>
        <v>0.26613584863198464</v>
      </c>
      <c r="Q1226">
        <f t="shared" si="155"/>
        <v>9.750609404377629</v>
      </c>
      <c r="R1226">
        <f t="shared" si="156"/>
        <v>1.2118658502010346E-2</v>
      </c>
      <c r="S1226">
        <f t="array" ref="S1226">+$B$2*SIN(R1226*$B$3+$B$4)+0*R1226+ SUM($J$2:$J$20*SIN(2*PI()*N1226*$I$2:$I$20+$K$2:$K$20))</f>
        <v>0.31769077802527784</v>
      </c>
      <c r="U1226" s="3">
        <f t="shared" si="152"/>
        <v>1981.9999999999072</v>
      </c>
      <c r="V1226" s="3">
        <f t="shared" si="153"/>
        <v>-0.41082799999999997</v>
      </c>
      <c r="Z1226" s="1">
        <v>1982.0417</v>
      </c>
      <c r="AA1226" s="2">
        <f t="shared" si="157"/>
        <v>0.69412400000000007</v>
      </c>
      <c r="AB1226">
        <v>34.706200000000003</v>
      </c>
      <c r="AE1226">
        <v>1981.9999999999072</v>
      </c>
      <c r="AF1226">
        <v>0.31769077802527784</v>
      </c>
    </row>
    <row r="1227" spans="4:32" x14ac:dyDescent="0.35">
      <c r="D1227">
        <v>0.77994600000000003</v>
      </c>
      <c r="M1227">
        <f t="shared" si="158"/>
        <v>1226</v>
      </c>
      <c r="N1227">
        <f t="shared" si="159"/>
        <v>1982.0833333332405</v>
      </c>
      <c r="O1227">
        <f t="shared" si="154"/>
        <v>0</v>
      </c>
      <c r="P1227">
        <f t="array" ref="P1227">+SUM($G$2:$G$18*SIN(2*PI()*(N1227)*$B$1/$F$2:$F$18+$H$2:$H$18))</f>
        <v>0.48153587827456323</v>
      </c>
      <c r="Q1227">
        <f t="shared" si="155"/>
        <v>0</v>
      </c>
      <c r="R1227">
        <f t="shared" si="156"/>
        <v>1.2100018297348719E-2</v>
      </c>
      <c r="S1227">
        <f t="array" ref="S1227">+$B$2*SIN(R1227*$B$3+$B$4)+0*R1227+ SUM($J$2:$J$20*SIN(2*PI()*N1227*$I$2:$I$20+$K$2:$K$20))</f>
        <v>0.31529473548765424</v>
      </c>
      <c r="U1227" s="3">
        <f t="shared" si="152"/>
        <v>1982.0833333332405</v>
      </c>
      <c r="V1227" s="3">
        <f t="shared" si="153"/>
        <v>-0.25659799999999999</v>
      </c>
      <c r="Z1227" s="1">
        <v>1982.125</v>
      </c>
      <c r="AA1227" s="2">
        <f t="shared" si="157"/>
        <v>0.53599600000000003</v>
      </c>
      <c r="AB1227">
        <v>26.799800000000001</v>
      </c>
      <c r="AE1227">
        <v>1982.0833333332405</v>
      </c>
      <c r="AF1227">
        <v>0.31529473548765424</v>
      </c>
    </row>
    <row r="1228" spans="4:32" x14ac:dyDescent="0.35">
      <c r="D1228">
        <v>0.69412400000000007</v>
      </c>
      <c r="M1228">
        <f t="shared" si="158"/>
        <v>1227</v>
      </c>
      <c r="N1228">
        <f t="shared" si="159"/>
        <v>1982.1666666665737</v>
      </c>
      <c r="O1228">
        <f t="shared" si="154"/>
        <v>0</v>
      </c>
      <c r="P1228">
        <f t="array" ref="P1228">+SUM($G$2:$G$18*SIN(2*PI()*(N1228)*$B$1/$F$2:$F$18+$H$2:$H$18))</f>
        <v>0.37527034329277109</v>
      </c>
      <c r="Q1228">
        <f t="shared" si="155"/>
        <v>0</v>
      </c>
      <c r="R1228">
        <f t="shared" si="156"/>
        <v>1.2081406763948831E-2</v>
      </c>
      <c r="S1228">
        <f t="array" ref="S1228">+$B$2*SIN(R1228*$B$3+$B$4)+0*R1228+ SUM($J$2:$J$20*SIN(2*PI()*N1228*$I$2:$I$20+$K$2:$K$20))</f>
        <v>0.31289850661598556</v>
      </c>
      <c r="U1228" s="3">
        <f t="shared" si="152"/>
        <v>1982.1666666665737</v>
      </c>
      <c r="V1228" s="3">
        <f t="shared" si="153"/>
        <v>-0.31006600000000001</v>
      </c>
      <c r="Z1228" s="1">
        <v>1982.2083</v>
      </c>
      <c r="AA1228" s="2">
        <f t="shared" si="157"/>
        <v>0.43632599999999999</v>
      </c>
      <c r="AB1228">
        <v>21.816299999999998</v>
      </c>
      <c r="AE1228">
        <v>1982.1666666665737</v>
      </c>
      <c r="AF1228">
        <v>0.31289850661598556</v>
      </c>
    </row>
    <row r="1229" spans="4:32" x14ac:dyDescent="0.35">
      <c r="D1229">
        <v>0.53599600000000003</v>
      </c>
      <c r="M1229">
        <f t="shared" si="158"/>
        <v>1228</v>
      </c>
      <c r="N1229">
        <f t="shared" si="159"/>
        <v>1982.249999999907</v>
      </c>
      <c r="O1229">
        <f t="shared" si="154"/>
        <v>0</v>
      </c>
      <c r="P1229">
        <f t="array" ref="P1229">+SUM($G$2:$G$18*SIN(2*PI()*(N1229)*$B$1/$F$2:$F$18+$H$2:$H$18))</f>
        <v>-0.10407743064392415</v>
      </c>
      <c r="Q1229">
        <f t="shared" si="155"/>
        <v>0</v>
      </c>
      <c r="R1229">
        <f t="shared" si="156"/>
        <v>1.2062823857710238E-2</v>
      </c>
      <c r="S1229">
        <f t="array" ref="S1229">+$B$2*SIN(R1229*$B$3+$B$4)+0*R1229+ SUM($J$2:$J$20*SIN(2*PI()*N1229*$I$2:$I$20+$K$2:$K$20))</f>
        <v>0.31050213293327311</v>
      </c>
      <c r="U1229" s="3">
        <f t="shared" si="152"/>
        <v>1982.249999999907</v>
      </c>
      <c r="V1229" s="3">
        <f t="shared" si="153"/>
        <v>-0.26661000000000001</v>
      </c>
      <c r="Z1229" s="1">
        <v>1982.2917</v>
      </c>
      <c r="AA1229" s="2">
        <f t="shared" si="157"/>
        <v>0.267424</v>
      </c>
      <c r="AB1229">
        <v>13.3712</v>
      </c>
      <c r="AE1229">
        <v>1982.249999999907</v>
      </c>
      <c r="AF1229">
        <v>0.31050213293327311</v>
      </c>
    </row>
    <row r="1230" spans="4:32" x14ac:dyDescent="0.35">
      <c r="D1230">
        <v>0.43632599999999999</v>
      </c>
      <c r="M1230">
        <f t="shared" si="158"/>
        <v>1229</v>
      </c>
      <c r="N1230">
        <f t="shared" si="159"/>
        <v>1982.3333333332403</v>
      </c>
      <c r="O1230">
        <f t="shared" si="154"/>
        <v>0</v>
      </c>
      <c r="P1230">
        <f t="array" ref="P1230">+SUM($G$2:$G$18*SIN(2*PI()*(N1230)*$B$1/$F$2:$F$18+$H$2:$H$18))</f>
        <v>-0.53813586418417647</v>
      </c>
      <c r="Q1230">
        <f t="shared" si="155"/>
        <v>0</v>
      </c>
      <c r="R1230">
        <f t="shared" si="156"/>
        <v>1.2044269534600334E-2</v>
      </c>
      <c r="S1230">
        <f t="array" ref="S1230">+$B$2*SIN(R1230*$B$3+$B$4)+0*R1230+ SUM($J$2:$J$20*SIN(2*PI()*N1230*$I$2:$I$20+$K$2:$K$20))</f>
        <v>0.30810565568348869</v>
      </c>
      <c r="U1230" s="3">
        <f t="shared" si="152"/>
        <v>1982.3333333332403</v>
      </c>
      <c r="V1230" s="3">
        <f t="shared" si="153"/>
        <v>-0.17238399999999998</v>
      </c>
      <c r="Z1230" s="1">
        <v>1982.375</v>
      </c>
      <c r="AA1230" s="2">
        <f t="shared" si="157"/>
        <v>9.5446000000000003E-2</v>
      </c>
      <c r="AB1230">
        <v>4.7723000000000004</v>
      </c>
      <c r="AE1230">
        <v>1982.3333333332403</v>
      </c>
      <c r="AF1230">
        <v>0.30810565568348869</v>
      </c>
    </row>
    <row r="1231" spans="4:32" x14ac:dyDescent="0.35">
      <c r="D1231">
        <v>0.267424</v>
      </c>
      <c r="M1231">
        <f t="shared" si="158"/>
        <v>1230</v>
      </c>
      <c r="N1231">
        <f t="shared" si="159"/>
        <v>1982.4166666665735</v>
      </c>
      <c r="O1231">
        <f t="shared" si="154"/>
        <v>0</v>
      </c>
      <c r="P1231">
        <f t="array" ref="P1231">+SUM($G$2:$G$18*SIN(2*PI()*(N1231)*$B$1/$F$2:$F$18+$H$2:$H$18))</f>
        <v>-0.18420834433618646</v>
      </c>
      <c r="Q1231">
        <f t="shared" si="155"/>
        <v>0</v>
      </c>
      <c r="R1231">
        <f t="shared" si="156"/>
        <v>1.2025743750654239E-2</v>
      </c>
      <c r="S1231">
        <f t="array" ref="S1231">+$B$2*SIN(R1231*$B$3+$B$4)+0*R1231+ SUM($J$2:$J$20*SIN(2*PI()*N1231*$I$2:$I$20+$K$2:$K$20))</f>
        <v>0.30570911583242905</v>
      </c>
      <c r="U1231" s="3">
        <f t="shared" si="152"/>
        <v>1982.4166666665735</v>
      </c>
      <c r="V1231" s="3">
        <f t="shared" si="153"/>
        <v>-0.26739400000000002</v>
      </c>
      <c r="Z1231" s="1">
        <v>1982.4583</v>
      </c>
      <c r="AA1231" s="2">
        <f t="shared" si="157"/>
        <v>-0.14730399999999999</v>
      </c>
      <c r="AB1231">
        <v>-7.3651999999999997</v>
      </c>
      <c r="AE1231">
        <v>1982.4166666665735</v>
      </c>
      <c r="AF1231">
        <v>0.30570911583242905</v>
      </c>
    </row>
    <row r="1232" spans="4:32" x14ac:dyDescent="0.35">
      <c r="D1232">
        <v>9.5446000000000003E-2</v>
      </c>
      <c r="M1232">
        <f t="shared" si="158"/>
        <v>1231</v>
      </c>
      <c r="N1232">
        <f t="shared" si="159"/>
        <v>1982.4999999999068</v>
      </c>
      <c r="O1232">
        <f t="shared" si="154"/>
        <v>0</v>
      </c>
      <c r="P1232">
        <f t="array" ref="P1232">+SUM($G$2:$G$18*SIN(2*PI()*(N1232)*$B$1/$F$2:$F$18+$H$2:$H$18))</f>
        <v>0.58662166422879447</v>
      </c>
      <c r="Q1232">
        <f t="shared" si="155"/>
        <v>0</v>
      </c>
      <c r="R1232">
        <f t="shared" si="156"/>
        <v>1.2007246461974696E-2</v>
      </c>
      <c r="S1232">
        <f t="array" ref="S1232">+$B$2*SIN(R1232*$B$3+$B$4)+0*R1232+ SUM($J$2:$J$20*SIN(2*PI()*N1232*$I$2:$I$20+$K$2:$K$20))</f>
        <v>0.30331255406857366</v>
      </c>
      <c r="U1232" s="3">
        <f t="shared" si="152"/>
        <v>1982.4999999999068</v>
      </c>
      <c r="V1232" s="3">
        <f t="shared" si="153"/>
        <v>-0.28701599999999999</v>
      </c>
      <c r="Z1232" s="1">
        <v>1982.5417</v>
      </c>
      <c r="AA1232" s="2">
        <f t="shared" si="157"/>
        <v>-0.41621000000000002</v>
      </c>
      <c r="AB1232">
        <v>-20.810500000000001</v>
      </c>
      <c r="AE1232">
        <v>1982.4999999999068</v>
      </c>
      <c r="AF1232">
        <v>0.30331255406857366</v>
      </c>
    </row>
    <row r="1233" spans="4:32" x14ac:dyDescent="0.35">
      <c r="D1233">
        <v>-0.14730399999999999</v>
      </c>
      <c r="M1233">
        <f t="shared" si="158"/>
        <v>1232</v>
      </c>
      <c r="N1233">
        <f t="shared" si="159"/>
        <v>1982.58333333324</v>
      </c>
      <c r="O1233">
        <f t="shared" si="154"/>
        <v>0</v>
      </c>
      <c r="P1233">
        <f t="array" ref="P1233">+SUM($G$2:$G$18*SIN(2*PI()*(N1233)*$B$1/$F$2:$F$18+$H$2:$H$18))</f>
        <v>0.67481578778960072</v>
      </c>
      <c r="Q1233">
        <f t="shared" si="155"/>
        <v>0</v>
      </c>
      <c r="R1233">
        <f t="shared" si="156"/>
        <v>1.198877762473197E-2</v>
      </c>
      <c r="S1233">
        <f t="array" ref="S1233">+$B$2*SIN(R1233*$B$3+$B$4)+0*R1233+ SUM($J$2:$J$20*SIN(2*PI()*N1233*$I$2:$I$20+$K$2:$K$20))</f>
        <v>0.30091601080395175</v>
      </c>
      <c r="U1233" s="3">
        <f t="shared" si="152"/>
        <v>1982.58333333324</v>
      </c>
      <c r="V1233" s="3">
        <f t="shared" si="153"/>
        <v>-0.132794</v>
      </c>
      <c r="Z1233" s="1">
        <v>1982.625</v>
      </c>
      <c r="AA1233" s="2">
        <f t="shared" si="157"/>
        <v>-0.12357599999999999</v>
      </c>
      <c r="AB1233">
        <v>-6.1787999999999998</v>
      </c>
      <c r="AE1233">
        <v>1982.58333333324</v>
      </c>
      <c r="AF1233">
        <v>0.30091601080395175</v>
      </c>
    </row>
    <row r="1234" spans="4:32" x14ac:dyDescent="0.35">
      <c r="D1234">
        <v>-0.41621000000000002</v>
      </c>
      <c r="M1234">
        <f t="shared" si="158"/>
        <v>1233</v>
      </c>
      <c r="N1234">
        <f t="shared" si="159"/>
        <v>1982.6666666665733</v>
      </c>
      <c r="O1234">
        <f t="shared" si="154"/>
        <v>0</v>
      </c>
      <c r="P1234">
        <f t="array" ref="P1234">+SUM($G$2:$G$18*SIN(2*PI()*(N1234)*$B$1/$F$2:$F$18+$H$2:$H$18))</f>
        <v>0.32719883497485619</v>
      </c>
      <c r="Q1234">
        <f t="shared" si="155"/>
        <v>0</v>
      </c>
      <c r="R1234">
        <f t="shared" si="156"/>
        <v>1.197033719516374E-2</v>
      </c>
      <c r="S1234">
        <f t="array" ref="S1234">+$B$2*SIN(R1234*$B$3+$B$4)+0*R1234+ SUM($J$2:$J$20*SIN(2*PI()*N1234*$I$2:$I$20+$K$2:$K$20))</f>
        <v>0.2985195261750086</v>
      </c>
      <c r="U1234" s="3">
        <f t="shared" si="152"/>
        <v>1982.6666666665733</v>
      </c>
      <c r="V1234" s="3">
        <f t="shared" si="153"/>
        <v>0.22450000000000001</v>
      </c>
      <c r="Z1234" s="1">
        <v>1982.7083</v>
      </c>
      <c r="AA1234" s="2">
        <f t="shared" si="157"/>
        <v>-0.19555800000000001</v>
      </c>
      <c r="AB1234">
        <v>-9.7779000000000007</v>
      </c>
      <c r="AE1234">
        <v>1982.6666666665733</v>
      </c>
      <c r="AF1234">
        <v>0.2985195261750086</v>
      </c>
    </row>
    <row r="1235" spans="4:32" x14ac:dyDescent="0.35">
      <c r="D1235">
        <v>-0.12357599999999999</v>
      </c>
      <c r="M1235">
        <f t="shared" si="158"/>
        <v>1234</v>
      </c>
      <c r="N1235">
        <f t="shared" si="159"/>
        <v>1982.7499999999065</v>
      </c>
      <c r="O1235">
        <f t="shared" si="154"/>
        <v>0</v>
      </c>
      <c r="P1235">
        <f t="array" ref="P1235">+SUM($G$2:$G$18*SIN(2*PI()*(N1235)*$B$1/$F$2:$F$18+$H$2:$H$18))</f>
        <v>0.22382000080928707</v>
      </c>
      <c r="Q1235">
        <f t="shared" si="155"/>
        <v>0</v>
      </c>
      <c r="R1235">
        <f t="shared" si="156"/>
        <v>1.1951925129575002E-2</v>
      </c>
      <c r="S1235">
        <f t="array" ref="S1235">+$B$2*SIN(R1235*$B$3+$B$4)+0*R1235+ SUM($J$2:$J$20*SIN(2*PI()*N1235*$I$2:$I$20+$K$2:$K$20))</f>
        <v>0.29612314004348023</v>
      </c>
      <c r="U1235" s="3">
        <f t="shared" si="152"/>
        <v>1982.7499999999065</v>
      </c>
      <c r="V1235" s="3">
        <f t="shared" si="153"/>
        <v>0.34333599999999997</v>
      </c>
      <c r="Z1235" s="1">
        <v>1982.7917</v>
      </c>
      <c r="AA1235" s="2">
        <f t="shared" si="157"/>
        <v>-3.8314000000000001E-2</v>
      </c>
      <c r="AB1235">
        <v>-1.9157</v>
      </c>
      <c r="AE1235">
        <v>1982.7499999999065</v>
      </c>
      <c r="AF1235">
        <v>0.29612314004348023</v>
      </c>
    </row>
    <row r="1236" spans="4:32" x14ac:dyDescent="0.35">
      <c r="D1236">
        <v>-0.19555800000000001</v>
      </c>
      <c r="M1236">
        <f t="shared" si="158"/>
        <v>1235</v>
      </c>
      <c r="N1236">
        <f t="shared" si="159"/>
        <v>1982.8333333332398</v>
      </c>
      <c r="O1236">
        <f t="shared" si="154"/>
        <v>0</v>
      </c>
      <c r="P1236">
        <f t="array" ref="P1236">+SUM($G$2:$G$18*SIN(2*PI()*(N1236)*$B$1/$F$2:$F$18+$H$2:$H$18))</f>
        <v>0.18107505969909876</v>
      </c>
      <c r="Q1236">
        <f t="shared" si="155"/>
        <v>0</v>
      </c>
      <c r="R1236">
        <f t="shared" si="156"/>
        <v>1.1933541384337956E-2</v>
      </c>
      <c r="S1236">
        <f t="array" ref="S1236">+$B$2*SIN(R1236*$B$3+$B$4)+0*R1236+ SUM($J$2:$J$20*SIN(2*PI()*N1236*$I$2:$I$20+$K$2:$K$20))</f>
        <v>0.29372689199726748</v>
      </c>
      <c r="U1236" s="3">
        <f t="shared" si="152"/>
        <v>1982.8333333332398</v>
      </c>
      <c r="V1236" s="3">
        <f t="shared" si="153"/>
        <v>0.46370800000000001</v>
      </c>
      <c r="Z1236" s="1">
        <v>1982.875</v>
      </c>
      <c r="AA1236" s="2">
        <f t="shared" si="157"/>
        <v>-0.13183800000000001</v>
      </c>
      <c r="AB1236">
        <v>-6.5918999999999999</v>
      </c>
      <c r="AE1236">
        <v>1982.8333333332398</v>
      </c>
      <c r="AF1236">
        <v>0.29372689199726748</v>
      </c>
    </row>
    <row r="1237" spans="4:32" x14ac:dyDescent="0.35">
      <c r="D1237">
        <v>-3.8314000000000001E-2</v>
      </c>
      <c r="M1237">
        <f t="shared" si="158"/>
        <v>1236</v>
      </c>
      <c r="N1237">
        <f t="shared" si="159"/>
        <v>1982.9166666665731</v>
      </c>
      <c r="O1237">
        <f t="shared" si="154"/>
        <v>0</v>
      </c>
      <c r="P1237">
        <f t="array" ref="P1237">+SUM($G$2:$G$18*SIN(2*PI()*(N1237)*$B$1/$F$2:$F$18+$H$2:$H$18))</f>
        <v>2.7810650557499095E-2</v>
      </c>
      <c r="Q1237">
        <f t="shared" si="155"/>
        <v>0</v>
      </c>
      <c r="R1237">
        <f t="shared" si="156"/>
        <v>1.1915185915891909E-2</v>
      </c>
      <c r="S1237">
        <f t="array" ref="S1237">+$B$2*SIN(R1237*$B$3+$B$4)+0*R1237+ SUM($J$2:$J$20*SIN(2*PI()*N1237*$I$2:$I$20+$K$2:$K$20))</f>
        <v>0.29133082135132043</v>
      </c>
      <c r="U1237" s="3">
        <f t="shared" si="152"/>
        <v>1982.9166666665731</v>
      </c>
      <c r="V1237" s="3">
        <f t="shared" si="153"/>
        <v>0.174846</v>
      </c>
      <c r="Z1237" s="1">
        <v>1982.9583</v>
      </c>
      <c r="AA1237" s="2">
        <f t="shared" si="157"/>
        <v>-0.174594</v>
      </c>
      <c r="AB1237">
        <v>-8.7296999999999993</v>
      </c>
      <c r="AE1237">
        <v>1982.9166666665731</v>
      </c>
      <c r="AF1237">
        <v>0.29133082135132043</v>
      </c>
    </row>
    <row r="1238" spans="4:32" x14ac:dyDescent="0.35">
      <c r="D1238">
        <v>-0.13183800000000001</v>
      </c>
      <c r="M1238">
        <f t="shared" si="158"/>
        <v>1237</v>
      </c>
      <c r="N1238">
        <f t="shared" si="159"/>
        <v>1982.9999999999063</v>
      </c>
      <c r="O1238">
        <f t="shared" si="154"/>
        <v>36.637715116165623</v>
      </c>
      <c r="P1238">
        <f t="array" ref="P1238">+SUM($G$2:$G$18*SIN(2*PI()*(N1238)*$B$1/$F$2:$F$18+$H$2:$H$18))</f>
        <v>-0.24728926724001954</v>
      </c>
      <c r="Q1238">
        <f t="shared" si="155"/>
        <v>-9.0601137244251841</v>
      </c>
      <c r="R1238">
        <f t="shared" si="156"/>
        <v>-2.0388730714876648E-3</v>
      </c>
      <c r="S1238">
        <f t="array" ref="S1238">+$B$2*SIN(R1238*$B$3+$B$4)+0*R1238+ SUM($J$2:$J$20*SIN(2*PI()*N1238*$I$2:$I$20+$K$2:$K$20))</f>
        <v>-0.59552130216686183</v>
      </c>
      <c r="U1238" s="3">
        <f t="shared" si="152"/>
        <v>1982.9999999999063</v>
      </c>
      <c r="V1238" s="3">
        <f t="shared" si="153"/>
        <v>-0.24170800000000001</v>
      </c>
      <c r="Z1238" s="1">
        <v>1983.0417</v>
      </c>
      <c r="AA1238" s="2">
        <f t="shared" si="157"/>
        <v>-6.6584000000000004E-2</v>
      </c>
      <c r="AB1238">
        <v>-3.3292000000000002</v>
      </c>
      <c r="AE1238">
        <v>1982.9999999999063</v>
      </c>
      <c r="AF1238">
        <v>-0.59552130216686183</v>
      </c>
    </row>
    <row r="1239" spans="4:32" x14ac:dyDescent="0.35">
      <c r="D1239">
        <v>-0.174594</v>
      </c>
      <c r="M1239">
        <f t="shared" si="158"/>
        <v>1238</v>
      </c>
      <c r="N1239">
        <f t="shared" si="159"/>
        <v>1983.0833333332396</v>
      </c>
      <c r="O1239">
        <f t="shared" si="154"/>
        <v>0</v>
      </c>
      <c r="P1239">
        <f t="array" ref="P1239">+SUM($G$2:$G$18*SIN(2*PI()*(N1239)*$B$1/$F$2:$F$18+$H$2:$H$18))</f>
        <v>-0.43522032222340779</v>
      </c>
      <c r="Q1239">
        <f t="shared" si="155"/>
        <v>0</v>
      </c>
      <c r="R1239">
        <f t="shared" si="156"/>
        <v>-2.0357369973648311E-3</v>
      </c>
      <c r="S1239">
        <f t="array" ref="S1239">+$B$2*SIN(R1239*$B$3+$B$4)+0*R1239+ SUM($J$2:$J$20*SIN(2*PI()*N1239*$I$2:$I$20+$K$2:$K$20))</f>
        <v>-0.59579294276463779</v>
      </c>
      <c r="U1239" s="3">
        <f t="shared" si="152"/>
        <v>1983.0833333332396</v>
      </c>
      <c r="V1239" s="3">
        <f t="shared" si="153"/>
        <v>-0.25672200000000001</v>
      </c>
      <c r="Z1239" s="1">
        <v>1983.125</v>
      </c>
      <c r="AA1239" s="2">
        <f t="shared" si="157"/>
        <v>4.6044000000000002E-2</v>
      </c>
      <c r="AB1239">
        <v>2.3022</v>
      </c>
      <c r="AE1239">
        <v>1983.0833333332396</v>
      </c>
      <c r="AF1239">
        <v>-0.59579294276463779</v>
      </c>
    </row>
    <row r="1240" spans="4:32" x14ac:dyDescent="0.35">
      <c r="D1240">
        <v>-6.6584000000000004E-2</v>
      </c>
      <c r="M1240">
        <f t="shared" si="158"/>
        <v>1239</v>
      </c>
      <c r="N1240">
        <f t="shared" si="159"/>
        <v>1983.1666666665728</v>
      </c>
      <c r="O1240">
        <f t="shared" si="154"/>
        <v>0</v>
      </c>
      <c r="P1240">
        <f t="array" ref="P1240">+SUM($G$2:$G$18*SIN(2*PI()*(N1240)*$B$1/$F$2:$F$18+$H$2:$H$18))</f>
        <v>-4.2577826004268224E-2</v>
      </c>
      <c r="Q1240">
        <f t="shared" si="155"/>
        <v>0</v>
      </c>
      <c r="R1240">
        <f t="shared" si="156"/>
        <v>-2.0326057469659663E-3</v>
      </c>
      <c r="S1240">
        <f t="array" ref="S1240">+$B$2*SIN(R1240*$B$3+$B$4)+0*R1240+ SUM($J$2:$J$20*SIN(2*PI()*N1240*$I$2:$I$20+$K$2:$K$20))</f>
        <v>-0.59606395845056837</v>
      </c>
      <c r="U1240" s="3">
        <f t="shared" si="152"/>
        <v>1983.1666666665728</v>
      </c>
      <c r="V1240" s="3">
        <f t="shared" si="153"/>
        <v>-0.62712800000000002</v>
      </c>
      <c r="Z1240" s="1">
        <v>1983.2083</v>
      </c>
      <c r="AA1240" s="2">
        <f t="shared" si="157"/>
        <v>0.120208</v>
      </c>
      <c r="AB1240">
        <v>6.0103999999999997</v>
      </c>
      <c r="AE1240">
        <v>1983.1666666665728</v>
      </c>
      <c r="AF1240">
        <v>-0.59606395845056837</v>
      </c>
    </row>
    <row r="1241" spans="4:32" x14ac:dyDescent="0.35">
      <c r="D1241">
        <v>4.6044000000000002E-2</v>
      </c>
      <c r="M1241">
        <f t="shared" si="158"/>
        <v>1240</v>
      </c>
      <c r="N1241">
        <f t="shared" si="159"/>
        <v>1983.2499999999061</v>
      </c>
      <c r="O1241">
        <f t="shared" si="154"/>
        <v>0</v>
      </c>
      <c r="P1241">
        <f t="array" ref="P1241">+SUM($G$2:$G$18*SIN(2*PI()*(N1241)*$B$1/$F$2:$F$18+$H$2:$H$18))</f>
        <v>0.50697717274101683</v>
      </c>
      <c r="Q1241">
        <f t="shared" si="155"/>
        <v>0</v>
      </c>
      <c r="R1241">
        <f t="shared" si="156"/>
        <v>-2.0294793128715028E-3</v>
      </c>
      <c r="S1241">
        <f t="array" ref="S1241">+$B$2*SIN(R1241*$B$3+$B$4)+0*R1241+ SUM($J$2:$J$20*SIN(2*PI()*N1241*$I$2:$I$20+$K$2:$K$20))</f>
        <v>-0.59633435072852237</v>
      </c>
      <c r="U1241" s="3">
        <f t="shared" si="152"/>
        <v>1983.2499999999061</v>
      </c>
      <c r="V1241" s="3">
        <f t="shared" si="153"/>
        <v>-0.76522199999999996</v>
      </c>
      <c r="Z1241" s="1">
        <v>1983.2917</v>
      </c>
      <c r="AA1241" s="2">
        <f t="shared" si="157"/>
        <v>6.3598000000000002E-2</v>
      </c>
      <c r="AB1241">
        <v>3.1798999999999999</v>
      </c>
      <c r="AE1241">
        <v>1983.2499999999061</v>
      </c>
      <c r="AF1241">
        <v>-0.59633435072852237</v>
      </c>
    </row>
    <row r="1242" spans="4:32" x14ac:dyDescent="0.35">
      <c r="D1242">
        <v>0.120208</v>
      </c>
      <c r="M1242">
        <f t="shared" si="158"/>
        <v>1241</v>
      </c>
      <c r="N1242">
        <f t="shared" si="159"/>
        <v>1983.3333333332394</v>
      </c>
      <c r="O1242">
        <f t="shared" si="154"/>
        <v>0</v>
      </c>
      <c r="P1242">
        <f t="array" ref="P1242">+SUM($G$2:$G$18*SIN(2*PI()*(N1242)*$B$1/$F$2:$F$18+$H$2:$H$18))</f>
        <v>0.48915739067550662</v>
      </c>
      <c r="Q1242">
        <f t="shared" si="155"/>
        <v>0</v>
      </c>
      <c r="R1242">
        <f t="shared" si="156"/>
        <v>-2.0263576876732858E-3</v>
      </c>
      <c r="S1242">
        <f t="array" ref="S1242">+$B$2*SIN(R1242*$B$3+$B$4)+0*R1242+ SUM($J$2:$J$20*SIN(2*PI()*N1242*$I$2:$I$20+$K$2:$K$20))</f>
        <v>-0.59660412109889061</v>
      </c>
      <c r="U1242" s="3">
        <f t="shared" si="152"/>
        <v>1983.3333333332394</v>
      </c>
      <c r="V1242" s="3">
        <f t="shared" si="153"/>
        <v>-1.0479340000000001</v>
      </c>
      <c r="Z1242" s="1">
        <v>1983.375</v>
      </c>
      <c r="AA1242" s="2">
        <f t="shared" si="157"/>
        <v>0.55622199999999999</v>
      </c>
      <c r="AB1242">
        <v>27.8111</v>
      </c>
      <c r="AE1242">
        <v>1983.3333333332394</v>
      </c>
      <c r="AF1242">
        <v>-0.59660412109889061</v>
      </c>
    </row>
    <row r="1243" spans="4:32" x14ac:dyDescent="0.35">
      <c r="D1243">
        <v>6.3598000000000002E-2</v>
      </c>
      <c r="M1243">
        <f t="shared" si="158"/>
        <v>1242</v>
      </c>
      <c r="N1243">
        <f t="shared" si="159"/>
        <v>1983.4166666665726</v>
      </c>
      <c r="O1243">
        <f t="shared" si="154"/>
        <v>0</v>
      </c>
      <c r="P1243">
        <f t="array" ref="P1243">+SUM($G$2:$G$18*SIN(2*PI()*(N1243)*$B$1/$F$2:$F$18+$H$2:$H$18))</f>
        <v>0.23126713809163718</v>
      </c>
      <c r="Q1243">
        <f t="shared" si="155"/>
        <v>0</v>
      </c>
      <c r="R1243">
        <f t="shared" si="156"/>
        <v>-2.023240863974555E-3</v>
      </c>
      <c r="S1243">
        <f t="array" ref="S1243">+$B$2*SIN(R1243*$B$3+$B$4)+0*R1243+ SUM($J$2:$J$20*SIN(2*PI()*N1243*$I$2:$I$20+$K$2:$K$20))</f>
        <v>-0.59687327105859334</v>
      </c>
      <c r="U1243" s="3">
        <f t="shared" si="152"/>
        <v>1983.4166666665726</v>
      </c>
      <c r="V1243" s="3">
        <f t="shared" si="153"/>
        <v>-0.99987999999999999</v>
      </c>
      <c r="Z1243" s="1">
        <v>1983.4583</v>
      </c>
      <c r="AA1243" s="2">
        <f t="shared" si="157"/>
        <v>0.73192199999999996</v>
      </c>
      <c r="AB1243">
        <v>36.5961</v>
      </c>
      <c r="AE1243">
        <v>1983.4166666665726</v>
      </c>
      <c r="AF1243">
        <v>-0.59687327105859334</v>
      </c>
    </row>
    <row r="1244" spans="4:32" x14ac:dyDescent="0.35">
      <c r="D1244">
        <v>0.55622199999999999</v>
      </c>
      <c r="M1244">
        <f t="shared" si="158"/>
        <v>1243</v>
      </c>
      <c r="N1244">
        <f t="shared" si="159"/>
        <v>1983.4999999999059</v>
      </c>
      <c r="O1244">
        <f t="shared" si="154"/>
        <v>0</v>
      </c>
      <c r="P1244">
        <f t="array" ref="P1244">+SUM($G$2:$G$18*SIN(2*PI()*(N1244)*$B$1/$F$2:$F$18+$H$2:$H$18))</f>
        <v>-5.1119077708555588E-3</v>
      </c>
      <c r="Q1244">
        <f t="shared" si="155"/>
        <v>0</v>
      </c>
      <c r="R1244">
        <f t="shared" si="156"/>
        <v>-2.0201288343899278E-3</v>
      </c>
      <c r="S1244">
        <f t="array" ref="S1244">+$B$2*SIN(R1244*$B$3+$B$4)+0*R1244+ SUM($J$2:$J$20*SIN(2*PI()*N1244*$I$2:$I$20+$K$2:$K$20))</f>
        <v>-0.59714180210108592</v>
      </c>
      <c r="U1244" s="3">
        <f t="shared" si="152"/>
        <v>1983.4999999999059</v>
      </c>
      <c r="V1244" s="3">
        <f t="shared" si="153"/>
        <v>-0.92413200000000006</v>
      </c>
      <c r="Z1244" s="1">
        <v>1983.5417</v>
      </c>
      <c r="AA1244" s="2">
        <f t="shared" si="157"/>
        <v>0.89684799999999998</v>
      </c>
      <c r="AB1244">
        <v>44.842399999999998</v>
      </c>
      <c r="AE1244">
        <v>1983.4999999999059</v>
      </c>
      <c r="AF1244">
        <v>-0.59714180210108592</v>
      </c>
    </row>
    <row r="1245" spans="4:32" x14ac:dyDescent="0.35">
      <c r="D1245">
        <v>0.73192199999999996</v>
      </c>
      <c r="M1245">
        <f t="shared" si="158"/>
        <v>1244</v>
      </c>
      <c r="N1245">
        <f t="shared" si="159"/>
        <v>1983.5833333332391</v>
      </c>
      <c r="O1245">
        <f t="shared" si="154"/>
        <v>0</v>
      </c>
      <c r="P1245">
        <f t="array" ref="P1245">+SUM($G$2:$G$18*SIN(2*PI()*(N1245)*$B$1/$F$2:$F$18+$H$2:$H$18))</f>
        <v>-0.31637419435495356</v>
      </c>
      <c r="Q1245">
        <f t="shared" si="155"/>
        <v>0</v>
      </c>
      <c r="R1245">
        <f t="shared" si="156"/>
        <v>-2.0170215915453807E-3</v>
      </c>
      <c r="S1245">
        <f t="array" ref="S1245">+$B$2*SIN(R1245*$B$3+$B$4)+0*R1245+ SUM($J$2:$J$20*SIN(2*PI()*N1245*$I$2:$I$20+$K$2:$K$20))</f>
        <v>-0.59740971571636514</v>
      </c>
      <c r="U1245" s="3">
        <f t="shared" si="152"/>
        <v>1983.5833333332391</v>
      </c>
      <c r="V1245" s="3">
        <f t="shared" si="153"/>
        <v>-0.79607600000000001</v>
      </c>
      <c r="Z1245" s="1">
        <v>1983.625</v>
      </c>
      <c r="AA1245" s="2">
        <f t="shared" si="157"/>
        <v>0.51562200000000002</v>
      </c>
      <c r="AB1245">
        <v>25.781099999999999</v>
      </c>
      <c r="AE1245">
        <v>1983.5833333332391</v>
      </c>
      <c r="AF1245">
        <v>-0.59740971571636514</v>
      </c>
    </row>
    <row r="1246" spans="4:32" x14ac:dyDescent="0.35">
      <c r="D1246">
        <v>0.89684799999999998</v>
      </c>
      <c r="M1246">
        <f t="shared" si="158"/>
        <v>1245</v>
      </c>
      <c r="N1246">
        <f t="shared" si="159"/>
        <v>1983.6666666665724</v>
      </c>
      <c r="O1246">
        <f t="shared" si="154"/>
        <v>0</v>
      </c>
      <c r="P1246">
        <f t="array" ref="P1246">+SUM($G$2:$G$18*SIN(2*PI()*(N1246)*$B$1/$F$2:$F$18+$H$2:$H$18))</f>
        <v>-0.41151689304355471</v>
      </c>
      <c r="Q1246">
        <f t="shared" si="155"/>
        <v>0</v>
      </c>
      <c r="R1246">
        <f t="shared" si="156"/>
        <v>-2.0139191280782328E-3</v>
      </c>
      <c r="S1246">
        <f t="array" ref="S1246">+$B$2*SIN(R1246*$B$3+$B$4)+0*R1246+ SUM($J$2:$J$20*SIN(2*PI()*N1246*$I$2:$I$20+$K$2:$K$20))</f>
        <v>-0.59767701339097523</v>
      </c>
      <c r="U1246" s="3">
        <f t="shared" si="152"/>
        <v>1983.6666666665724</v>
      </c>
      <c r="V1246" s="3">
        <f t="shared" si="153"/>
        <v>-0.63264200000000004</v>
      </c>
      <c r="Z1246" s="1">
        <v>1983.7083</v>
      </c>
      <c r="AA1246" s="2">
        <f t="shared" si="157"/>
        <v>-0.12714400000000001</v>
      </c>
      <c r="AB1246">
        <v>-6.3571999999999997</v>
      </c>
      <c r="AE1246">
        <v>1983.6666666665724</v>
      </c>
      <c r="AF1246">
        <v>-0.59767701339097523</v>
      </c>
    </row>
    <row r="1247" spans="4:32" x14ac:dyDescent="0.35">
      <c r="D1247">
        <v>0.51562200000000002</v>
      </c>
      <c r="M1247">
        <f t="shared" si="158"/>
        <v>1246</v>
      </c>
      <c r="N1247">
        <f t="shared" si="159"/>
        <v>1983.7499999999056</v>
      </c>
      <c r="O1247">
        <f t="shared" si="154"/>
        <v>0</v>
      </c>
      <c r="P1247">
        <f t="array" ref="P1247">+SUM($G$2:$G$18*SIN(2*PI()*(N1247)*$B$1/$F$2:$F$18+$H$2:$H$18))</f>
        <v>-0.33657986298720982</v>
      </c>
      <c r="Q1247">
        <f t="shared" si="155"/>
        <v>0</v>
      </c>
      <c r="R1247">
        <f t="shared" si="156"/>
        <v>-2.0108214366371282E-3</v>
      </c>
      <c r="S1247">
        <f t="array" ref="S1247">+$B$2*SIN(R1247*$B$3+$B$4)+0*R1247+ SUM($J$2:$J$20*SIN(2*PI()*N1247*$I$2:$I$20+$K$2:$K$20))</f>
        <v>-0.59794369660801416</v>
      </c>
      <c r="U1247" s="3">
        <f t="shared" si="152"/>
        <v>1983.7499999999056</v>
      </c>
      <c r="V1247" s="3">
        <f t="shared" si="153"/>
        <v>-0.87689800000000007</v>
      </c>
      <c r="Z1247" s="1">
        <v>1983.7917</v>
      </c>
      <c r="AA1247" s="2">
        <f t="shared" si="157"/>
        <v>-0.17760600000000001</v>
      </c>
      <c r="AB1247">
        <v>-8.8803000000000001</v>
      </c>
      <c r="AE1247">
        <v>1983.7499999999056</v>
      </c>
      <c r="AF1247">
        <v>-0.59794369660801416</v>
      </c>
    </row>
    <row r="1248" spans="4:32" x14ac:dyDescent="0.35">
      <c r="D1248">
        <v>-0.12714400000000001</v>
      </c>
      <c r="M1248">
        <f t="shared" si="158"/>
        <v>1247</v>
      </c>
      <c r="N1248">
        <f t="shared" si="159"/>
        <v>1983.8333333332389</v>
      </c>
      <c r="O1248">
        <f t="shared" si="154"/>
        <v>0</v>
      </c>
      <c r="P1248">
        <f t="array" ref="P1248">+SUM($G$2:$G$18*SIN(2*PI()*(N1248)*$B$1/$F$2:$F$18+$H$2:$H$18))</f>
        <v>-0.27635485066720555</v>
      </c>
      <c r="Q1248">
        <f t="shared" si="155"/>
        <v>0</v>
      </c>
      <c r="R1248">
        <f t="shared" si="156"/>
        <v>-2.0077285098820188E-3</v>
      </c>
      <c r="S1248">
        <f t="array" ref="S1248">+$B$2*SIN(R1248*$B$3+$B$4)+0*R1248+ SUM($J$2:$J$20*SIN(2*PI()*N1248*$I$2:$I$20+$K$2:$K$20))</f>
        <v>-0.59820976684714</v>
      </c>
      <c r="U1248" s="3">
        <f t="shared" si="152"/>
        <v>1983.8333333332389</v>
      </c>
      <c r="V1248" s="3">
        <f t="shared" si="153"/>
        <v>-0.95961600000000002</v>
      </c>
      <c r="Z1248" s="1">
        <v>1983.875</v>
      </c>
      <c r="AA1248" s="2">
        <f t="shared" si="157"/>
        <v>-0.24191199999999999</v>
      </c>
      <c r="AB1248">
        <v>-12.095599999999999</v>
      </c>
      <c r="AE1248">
        <v>1983.8333333332389</v>
      </c>
      <c r="AF1248">
        <v>-0.59820976684714</v>
      </c>
    </row>
    <row r="1249" spans="4:32" x14ac:dyDescent="0.35">
      <c r="D1249">
        <v>-0.17760600000000001</v>
      </c>
      <c r="M1249">
        <f t="shared" si="158"/>
        <v>1248</v>
      </c>
      <c r="N1249">
        <f t="shared" si="159"/>
        <v>1983.9166666665722</v>
      </c>
      <c r="O1249">
        <f t="shared" si="154"/>
        <v>0</v>
      </c>
      <c r="P1249">
        <f t="array" ref="P1249">+SUM($G$2:$G$18*SIN(2*PI()*(N1249)*$B$1/$F$2:$F$18+$H$2:$H$18))</f>
        <v>-2.8683071299389906E-2</v>
      </c>
      <c r="Q1249">
        <f t="shared" si="155"/>
        <v>0</v>
      </c>
      <c r="R1249">
        <f t="shared" si="156"/>
        <v>-2.0046403404841455E-3</v>
      </c>
      <c r="S1249">
        <f t="array" ref="S1249">+$B$2*SIN(R1249*$B$3+$B$4)+0*R1249+ SUM($J$2:$J$20*SIN(2*PI()*N1249*$I$2:$I$20+$K$2:$K$20))</f>
        <v>-0.598475225584577</v>
      </c>
      <c r="U1249" s="3">
        <f t="shared" si="152"/>
        <v>1983.9166666665722</v>
      </c>
      <c r="V1249" s="3">
        <f t="shared" si="153"/>
        <v>-0.94233800000000001</v>
      </c>
      <c r="Z1249" s="1">
        <v>1983.9583</v>
      </c>
      <c r="AA1249" s="2">
        <f t="shared" si="157"/>
        <v>-0.22775800000000002</v>
      </c>
      <c r="AB1249">
        <v>-11.3879</v>
      </c>
      <c r="AE1249">
        <v>1983.9166666665722</v>
      </c>
      <c r="AF1249">
        <v>-0.598475225584577</v>
      </c>
    </row>
    <row r="1250" spans="4:32" x14ac:dyDescent="0.35">
      <c r="D1250">
        <v>-0.24191199999999999</v>
      </c>
      <c r="M1250">
        <f t="shared" si="158"/>
        <v>1249</v>
      </c>
      <c r="N1250">
        <f t="shared" si="159"/>
        <v>1983.9999999999054</v>
      </c>
      <c r="O1250">
        <f t="shared" si="154"/>
        <v>36.637715116165623</v>
      </c>
      <c r="P1250">
        <f t="array" ref="P1250">+SUM($G$2:$G$18*SIN(2*PI()*(N1250)*$B$1/$F$2:$F$18+$H$2:$H$18))</f>
        <v>0.18591673350645568</v>
      </c>
      <c r="Q1250">
        <f t="shared" si="155"/>
        <v>6.8115643175376075</v>
      </c>
      <c r="R1250">
        <f t="shared" si="156"/>
        <v>8.4755889546884507E-3</v>
      </c>
      <c r="S1250">
        <f t="array" ref="S1250">+$B$2*SIN(R1250*$B$3+$B$4)+0*R1250+ SUM($J$2:$J$20*SIN(2*PI()*N1250*$I$2:$I$20+$K$2:$K$20))</f>
        <v>-0.186202405794024</v>
      </c>
      <c r="U1250" s="3">
        <f t="shared" si="152"/>
        <v>1983.9999999999054</v>
      </c>
      <c r="V1250" s="3">
        <f t="shared" si="153"/>
        <v>-0.87890400000000002</v>
      </c>
      <c r="Z1250" s="1">
        <v>1984.0417</v>
      </c>
      <c r="AA1250" s="2">
        <f t="shared" si="157"/>
        <v>-7.9762E-2</v>
      </c>
      <c r="AB1250">
        <v>-3.9881000000000002</v>
      </c>
      <c r="AE1250">
        <v>1983.9999999999054</v>
      </c>
      <c r="AF1250">
        <v>-0.186202405794024</v>
      </c>
    </row>
    <row r="1251" spans="4:32" x14ac:dyDescent="0.35">
      <c r="D1251">
        <v>-0.22775800000000002</v>
      </c>
      <c r="M1251">
        <f t="shared" si="158"/>
        <v>1250</v>
      </c>
      <c r="N1251">
        <f t="shared" si="159"/>
        <v>1984.0833333332387</v>
      </c>
      <c r="O1251">
        <f t="shared" si="154"/>
        <v>0</v>
      </c>
      <c r="P1251">
        <f t="array" ref="P1251">+SUM($G$2:$G$18*SIN(2*PI()*(N1251)*$B$1/$F$2:$F$18+$H$2:$H$18))</f>
        <v>0.16009695535666357</v>
      </c>
      <c r="Q1251">
        <f t="shared" si="155"/>
        <v>0</v>
      </c>
      <c r="R1251">
        <f t="shared" si="156"/>
        <v>8.4625523044092946E-3</v>
      </c>
      <c r="S1251">
        <f t="array" ref="S1251">+$B$2*SIN(R1251*$B$3+$B$4)+0*R1251+ SUM($J$2:$J$20*SIN(2*PI()*N1251*$I$2:$I$20+$K$2:$K$20))</f>
        <v>-0.18799138707888771</v>
      </c>
      <c r="U1251" s="3">
        <f t="shared" si="152"/>
        <v>1984.0833333332387</v>
      </c>
      <c r="V1251" s="3">
        <f t="shared" si="153"/>
        <v>-0.54316399999999998</v>
      </c>
      <c r="Z1251" s="1">
        <v>1984.125</v>
      </c>
      <c r="AA1251" s="2">
        <f t="shared" si="157"/>
        <v>-0.17330200000000001</v>
      </c>
      <c r="AB1251">
        <v>-8.6651000000000007</v>
      </c>
      <c r="AE1251">
        <v>1984.0833333332387</v>
      </c>
      <c r="AF1251">
        <v>-0.18799138707888771</v>
      </c>
    </row>
    <row r="1252" spans="4:32" x14ac:dyDescent="0.35">
      <c r="D1252">
        <v>-7.9762E-2</v>
      </c>
      <c r="M1252">
        <f t="shared" si="158"/>
        <v>1251</v>
      </c>
      <c r="N1252">
        <f t="shared" si="159"/>
        <v>1984.1666666665719</v>
      </c>
      <c r="O1252">
        <f t="shared" si="154"/>
        <v>0</v>
      </c>
      <c r="P1252">
        <f t="array" ref="P1252">+SUM($G$2:$G$18*SIN(2*PI()*(N1252)*$B$1/$F$2:$F$18+$H$2:$H$18))</f>
        <v>8.1712641796918783E-2</v>
      </c>
      <c r="Q1252">
        <f t="shared" si="155"/>
        <v>0</v>
      </c>
      <c r="R1252">
        <f t="shared" si="156"/>
        <v>8.4495357063355276E-3</v>
      </c>
      <c r="S1252">
        <f t="array" ref="S1252">+$B$2*SIN(R1252*$B$3+$B$4)+0*R1252+ SUM($J$2:$J$20*SIN(2*PI()*N1252*$I$2:$I$20+$K$2:$K$20))</f>
        <v>-0.18977648748777914</v>
      </c>
      <c r="U1252" s="3">
        <f t="shared" si="152"/>
        <v>1984.1666666665719</v>
      </c>
      <c r="V1252" s="3">
        <f t="shared" si="153"/>
        <v>-0.43204399999999998</v>
      </c>
      <c r="Z1252" s="1">
        <v>1984.2083</v>
      </c>
      <c r="AA1252" s="2">
        <f t="shared" si="157"/>
        <v>-0.14069000000000001</v>
      </c>
      <c r="AB1252">
        <v>-7.0345000000000004</v>
      </c>
      <c r="AE1252">
        <v>1984.1666666665719</v>
      </c>
      <c r="AF1252">
        <v>-0.18977648748777914</v>
      </c>
    </row>
    <row r="1253" spans="4:32" x14ac:dyDescent="0.35">
      <c r="D1253">
        <v>-0.17330200000000001</v>
      </c>
      <c r="M1253">
        <f t="shared" si="158"/>
        <v>1252</v>
      </c>
      <c r="N1253">
        <f t="shared" si="159"/>
        <v>1984.2499999999052</v>
      </c>
      <c r="O1253">
        <f t="shared" si="154"/>
        <v>0</v>
      </c>
      <c r="P1253">
        <f t="array" ref="P1253">+SUM($G$2:$G$18*SIN(2*PI()*(N1253)*$B$1/$F$2:$F$18+$H$2:$H$18))</f>
        <v>-0.27598255925392767</v>
      </c>
      <c r="Q1253">
        <f t="shared" si="155"/>
        <v>0</v>
      </c>
      <c r="R1253">
        <f t="shared" si="156"/>
        <v>8.4365391296240301E-3</v>
      </c>
      <c r="S1253">
        <f t="array" ref="S1253">+$B$2*SIN(R1253*$B$3+$B$4)+0*R1253+ SUM($J$2:$J$20*SIN(2*PI()*N1253*$I$2:$I$20+$K$2:$K$20))</f>
        <v>-0.19155770577169282</v>
      </c>
      <c r="U1253" s="3">
        <f t="shared" si="152"/>
        <v>1984.2499999999052</v>
      </c>
      <c r="V1253" s="3">
        <f t="shared" si="153"/>
        <v>2.3694000000000003E-2</v>
      </c>
      <c r="Z1253" s="1">
        <v>1984.2917</v>
      </c>
      <c r="AA1253" s="2">
        <f t="shared" si="157"/>
        <v>-0.195774</v>
      </c>
      <c r="AB1253">
        <v>-9.7887000000000004</v>
      </c>
      <c r="AE1253">
        <v>1984.2499999999052</v>
      </c>
      <c r="AF1253">
        <v>-0.19155770577169282</v>
      </c>
    </row>
    <row r="1254" spans="4:32" x14ac:dyDescent="0.35">
      <c r="D1254">
        <v>-0.14069000000000001</v>
      </c>
      <c r="M1254">
        <f t="shared" si="158"/>
        <v>1253</v>
      </c>
      <c r="N1254">
        <f t="shared" si="159"/>
        <v>1984.3333333332384</v>
      </c>
      <c r="O1254">
        <f t="shared" si="154"/>
        <v>0</v>
      </c>
      <c r="P1254">
        <f t="array" ref="P1254">+SUM($G$2:$G$18*SIN(2*PI()*(N1254)*$B$1/$F$2:$F$18+$H$2:$H$18))</f>
        <v>-0.75590265634335196</v>
      </c>
      <c r="Q1254">
        <f t="shared" si="155"/>
        <v>0</v>
      </c>
      <c r="R1254">
        <f t="shared" si="156"/>
        <v>8.4235625434791253E-3</v>
      </c>
      <c r="S1254">
        <f t="array" ref="S1254">+$B$2*SIN(R1254*$B$3+$B$4)+0*R1254+ SUM($J$2:$J$20*SIN(2*PI()*N1254*$I$2:$I$20+$K$2:$K$20))</f>
        <v>-0.19333504076176541</v>
      </c>
      <c r="U1254" s="3">
        <f t="shared" si="152"/>
        <v>1984.3333333332384</v>
      </c>
      <c r="V1254" s="3">
        <f t="shared" si="153"/>
        <v>0.17943200000000001</v>
      </c>
      <c r="Z1254" s="1">
        <v>1984.375</v>
      </c>
      <c r="AA1254" s="2">
        <f t="shared" si="157"/>
        <v>-0.36778</v>
      </c>
      <c r="AB1254">
        <v>-18.388999999999999</v>
      </c>
      <c r="AE1254">
        <v>1984.3333333332384</v>
      </c>
      <c r="AF1254">
        <v>-0.19333504076176541</v>
      </c>
    </row>
    <row r="1255" spans="4:32" x14ac:dyDescent="0.35">
      <c r="D1255">
        <v>-0.195774</v>
      </c>
      <c r="M1255">
        <f t="shared" si="158"/>
        <v>1254</v>
      </c>
      <c r="N1255">
        <f t="shared" si="159"/>
        <v>1984.4166666665717</v>
      </c>
      <c r="O1255">
        <f t="shared" si="154"/>
        <v>0</v>
      </c>
      <c r="P1255">
        <f t="array" ref="P1255">+SUM($G$2:$G$18*SIN(2*PI()*(N1255)*$B$1/$F$2:$F$18+$H$2:$H$18))</f>
        <v>-0.64588840748241094</v>
      </c>
      <c r="Q1255">
        <f t="shared" si="155"/>
        <v>0</v>
      </c>
      <c r="R1255">
        <f t="shared" si="156"/>
        <v>8.4106059171525048E-3</v>
      </c>
      <c r="S1255">
        <f t="array" ref="S1255">+$B$2*SIN(R1255*$B$3+$B$4)+0*R1255+ SUM($J$2:$J$20*SIN(2*PI()*N1255*$I$2:$I$20+$K$2:$K$20))</f>
        <v>-0.1951084913686765</v>
      </c>
      <c r="U1255" s="3">
        <f t="shared" si="152"/>
        <v>1984.4166666665717</v>
      </c>
      <c r="V1255" s="3">
        <f t="shared" si="153"/>
        <v>0.293626</v>
      </c>
      <c r="Z1255" s="1">
        <v>1984.4583</v>
      </c>
      <c r="AA1255" s="2">
        <f t="shared" si="157"/>
        <v>-0.92132400000000003</v>
      </c>
      <c r="AB1255">
        <v>-46.066200000000002</v>
      </c>
      <c r="AE1255">
        <v>1984.4166666665717</v>
      </c>
      <c r="AF1255">
        <v>-0.1951084913686765</v>
      </c>
    </row>
    <row r="1256" spans="4:32" x14ac:dyDescent="0.35">
      <c r="D1256">
        <v>-0.36778</v>
      </c>
      <c r="M1256">
        <f t="shared" si="158"/>
        <v>1255</v>
      </c>
      <c r="N1256">
        <f t="shared" si="159"/>
        <v>1984.499999999905</v>
      </c>
      <c r="O1256">
        <f t="shared" si="154"/>
        <v>0</v>
      </c>
      <c r="P1256">
        <f t="array" ref="P1256">+SUM($G$2:$G$18*SIN(2*PI()*(N1256)*$B$1/$F$2:$F$18+$H$2:$H$18))</f>
        <v>-0.20055867849679743</v>
      </c>
      <c r="Q1256">
        <f t="shared" si="155"/>
        <v>0</v>
      </c>
      <c r="R1256">
        <f t="shared" si="156"/>
        <v>8.3976692199431557E-3</v>
      </c>
      <c r="S1256">
        <f t="array" ref="S1256">+$B$2*SIN(R1256*$B$3+$B$4)+0*R1256+ SUM($J$2:$J$20*SIN(2*PI()*N1256*$I$2:$I$20+$K$2:$K$20))</f>
        <v>-0.1968780565820501</v>
      </c>
      <c r="U1256" s="3">
        <f t="shared" si="152"/>
        <v>1984.499999999905</v>
      </c>
      <c r="V1256" s="3">
        <f t="shared" si="153"/>
        <v>0.32782200000000006</v>
      </c>
      <c r="Z1256" s="1">
        <v>1984.5417</v>
      </c>
      <c r="AA1256" s="2">
        <f t="shared" si="157"/>
        <v>-0.94256600000000001</v>
      </c>
      <c r="AB1256">
        <v>-47.128300000000003</v>
      </c>
      <c r="AE1256">
        <v>1984.499999999905</v>
      </c>
      <c r="AF1256">
        <v>-0.1968780565820501</v>
      </c>
    </row>
    <row r="1257" spans="4:32" x14ac:dyDescent="0.35">
      <c r="D1257">
        <v>-0.92132400000000003</v>
      </c>
      <c r="M1257">
        <f t="shared" si="158"/>
        <v>1256</v>
      </c>
      <c r="N1257">
        <f t="shared" si="159"/>
        <v>1984.5833333332382</v>
      </c>
      <c r="O1257">
        <f t="shared" si="154"/>
        <v>0</v>
      </c>
      <c r="P1257">
        <f t="array" ref="P1257">+SUM($G$2:$G$18*SIN(2*PI()*(N1257)*$B$1/$F$2:$F$18+$H$2:$H$18))</f>
        <v>-2.4197429931491071E-2</v>
      </c>
      <c r="Q1257">
        <f t="shared" si="155"/>
        <v>0</v>
      </c>
      <c r="R1257">
        <f t="shared" si="156"/>
        <v>8.3847524211972859E-3</v>
      </c>
      <c r="S1257">
        <f t="array" ref="S1257">+$B$2*SIN(R1257*$B$3+$B$4)+0*R1257+ SUM($J$2:$J$20*SIN(2*PI()*N1257*$I$2:$I$20+$K$2:$K$20))</f>
        <v>-0.19864373546986114</v>
      </c>
      <c r="U1257" s="3">
        <f t="shared" si="152"/>
        <v>1984.5833333332382</v>
      </c>
      <c r="V1257" s="3">
        <f t="shared" si="153"/>
        <v>0.56816999999999995</v>
      </c>
      <c r="Z1257" s="1">
        <v>1984.625</v>
      </c>
      <c r="AA1257" s="2">
        <f t="shared" si="157"/>
        <v>-1.0776519999999998</v>
      </c>
      <c r="AB1257">
        <v>-53.882599999999996</v>
      </c>
      <c r="AE1257">
        <v>1984.5833333332382</v>
      </c>
      <c r="AF1257">
        <v>-0.19864373546986114</v>
      </c>
    </row>
    <row r="1258" spans="4:32" x14ac:dyDescent="0.35">
      <c r="D1258">
        <v>-0.94256600000000001</v>
      </c>
      <c r="M1258">
        <f t="shared" si="158"/>
        <v>1257</v>
      </c>
      <c r="N1258">
        <f t="shared" si="159"/>
        <v>1984.6666666665715</v>
      </c>
      <c r="O1258">
        <f t="shared" si="154"/>
        <v>0</v>
      </c>
      <c r="P1258">
        <f t="array" ref="P1258">+SUM($G$2:$G$18*SIN(2*PI()*(N1258)*$B$1/$F$2:$F$18+$H$2:$H$18))</f>
        <v>-4.7144008972783008E-2</v>
      </c>
      <c r="Q1258">
        <f t="shared" si="155"/>
        <v>0</v>
      </c>
      <c r="R1258">
        <f t="shared" si="156"/>
        <v>8.371855490308255E-3</v>
      </c>
      <c r="S1258">
        <f t="array" ref="S1258">+$B$2*SIN(R1258*$B$3+$B$4)+0*R1258+ SUM($J$2:$J$20*SIN(2*PI()*N1258*$I$2:$I$20+$K$2:$K$20))</f>
        <v>-0.2004055271778431</v>
      </c>
      <c r="U1258" s="3">
        <f t="shared" si="152"/>
        <v>1984.6666666665715</v>
      </c>
      <c r="V1258" s="3">
        <f t="shared" si="153"/>
        <v>0.71313000000000004</v>
      </c>
      <c r="Z1258" s="1">
        <v>1984.7083</v>
      </c>
      <c r="AA1258" s="2">
        <f t="shared" si="157"/>
        <v>-1.1742780000000002</v>
      </c>
      <c r="AB1258">
        <v>-58.713900000000002</v>
      </c>
      <c r="AE1258">
        <v>1984.6666666665715</v>
      </c>
      <c r="AF1258">
        <v>-0.2004055271778431</v>
      </c>
    </row>
    <row r="1259" spans="4:32" x14ac:dyDescent="0.35">
      <c r="D1259">
        <v>-1.0776519999999998</v>
      </c>
      <c r="M1259">
        <f t="shared" si="158"/>
        <v>1258</v>
      </c>
      <c r="N1259">
        <f t="shared" si="159"/>
        <v>1984.7499999999047</v>
      </c>
      <c r="O1259">
        <f t="shared" si="154"/>
        <v>0</v>
      </c>
      <c r="P1259">
        <f t="array" ref="P1259">+SUM($G$2:$G$18*SIN(2*PI()*(N1259)*$B$1/$F$2:$F$18+$H$2:$H$18))</f>
        <v>-0.10862428929970278</v>
      </c>
      <c r="Q1259">
        <f t="shared" si="155"/>
        <v>0</v>
      </c>
      <c r="R1259">
        <f t="shared" si="156"/>
        <v>8.3589783967164995E-3</v>
      </c>
      <c r="S1259">
        <f t="array" ref="S1259">+$B$2*SIN(R1259*$B$3+$B$4)+0*R1259+ SUM($J$2:$J$20*SIN(2*PI()*N1259*$I$2:$I$20+$K$2:$K$20))</f>
        <v>-0.20216343092889888</v>
      </c>
      <c r="U1259" s="3">
        <f t="shared" si="152"/>
        <v>1984.7499999999047</v>
      </c>
      <c r="V1259" s="3">
        <f t="shared" si="153"/>
        <v>0.87193799999999999</v>
      </c>
      <c r="Z1259" s="1">
        <v>1984.7917</v>
      </c>
      <c r="AA1259" s="2">
        <f t="shared" si="157"/>
        <v>-0.94629200000000002</v>
      </c>
      <c r="AB1259">
        <v>-47.314599999999999</v>
      </c>
      <c r="AE1259">
        <v>1984.7499999999047</v>
      </c>
      <c r="AF1259">
        <v>-0.20216343092889888</v>
      </c>
    </row>
    <row r="1260" spans="4:32" x14ac:dyDescent="0.35">
      <c r="D1260">
        <v>-1.1742780000000002</v>
      </c>
      <c r="M1260">
        <f t="shared" si="158"/>
        <v>1259</v>
      </c>
      <c r="N1260">
        <f t="shared" si="159"/>
        <v>1984.833333333238</v>
      </c>
      <c r="O1260">
        <f t="shared" si="154"/>
        <v>0</v>
      </c>
      <c r="P1260">
        <f t="array" ref="P1260">+SUM($G$2:$G$18*SIN(2*PI()*(N1260)*$B$1/$F$2:$F$18+$H$2:$H$18))</f>
        <v>-1.795419561238322E-2</v>
      </c>
      <c r="Q1260">
        <f t="shared" si="155"/>
        <v>0</v>
      </c>
      <c r="R1260">
        <f t="shared" si="156"/>
        <v>8.3461211099094598E-3</v>
      </c>
      <c r="S1260">
        <f t="array" ref="S1260">+$B$2*SIN(R1260*$B$3+$B$4)+0*R1260+ SUM($J$2:$J$20*SIN(2*PI()*N1260*$I$2:$I$20+$K$2:$K$20))</f>
        <v>-0.20391744602251557</v>
      </c>
      <c r="U1260" s="3">
        <f t="shared" si="152"/>
        <v>1984.833333333238</v>
      </c>
      <c r="V1260" s="3">
        <f t="shared" si="153"/>
        <v>0.95074600000000009</v>
      </c>
      <c r="Z1260" s="1">
        <v>1984.875</v>
      </c>
      <c r="AA1260" s="2">
        <f t="shared" si="157"/>
        <v>-0.789072</v>
      </c>
      <c r="AB1260">
        <v>-39.453600000000002</v>
      </c>
      <c r="AE1260">
        <v>1984.833333333238</v>
      </c>
      <c r="AF1260">
        <v>-0.20391744602251557</v>
      </c>
    </row>
    <row r="1261" spans="4:32" x14ac:dyDescent="0.35">
      <c r="D1261">
        <v>-0.94629200000000002</v>
      </c>
      <c r="M1261">
        <f t="shared" si="158"/>
        <v>1260</v>
      </c>
      <c r="N1261">
        <f t="shared" si="159"/>
        <v>1984.9166666665712</v>
      </c>
      <c r="O1261">
        <f t="shared" si="154"/>
        <v>0</v>
      </c>
      <c r="P1261">
        <f t="array" ref="P1261">+SUM($G$2:$G$18*SIN(2*PI()*(N1261)*$B$1/$F$2:$F$18+$H$2:$H$18))</f>
        <v>6.7248039603550025E-2</v>
      </c>
      <c r="Q1261">
        <f t="shared" si="155"/>
        <v>0</v>
      </c>
      <c r="R1261">
        <f t="shared" si="156"/>
        <v>8.3332835994215093E-3</v>
      </c>
      <c r="S1261">
        <f t="array" ref="S1261">+$B$2*SIN(R1261*$B$3+$B$4)+0*R1261+ SUM($J$2:$J$20*SIN(2*PI()*N1261*$I$2:$I$20+$K$2:$K$20))</f>
        <v>-0.20566757183417989</v>
      </c>
      <c r="U1261" s="3">
        <f t="shared" si="152"/>
        <v>1984.9166666665712</v>
      </c>
      <c r="V1261" s="3">
        <f t="shared" si="153"/>
        <v>0.86031599999999997</v>
      </c>
      <c r="Z1261" s="1">
        <v>1984.9583</v>
      </c>
      <c r="AA1261" s="2">
        <f t="shared" si="157"/>
        <v>-0.67800799999999994</v>
      </c>
      <c r="AB1261">
        <v>-33.900399999999998</v>
      </c>
      <c r="AE1261">
        <v>1984.9166666665712</v>
      </c>
      <c r="AF1261">
        <v>-0.20566757183417989</v>
      </c>
    </row>
    <row r="1262" spans="4:32" x14ac:dyDescent="0.35">
      <c r="D1262">
        <v>-0.789072</v>
      </c>
      <c r="M1262">
        <f t="shared" si="158"/>
        <v>1261</v>
      </c>
      <c r="N1262">
        <f t="shared" si="159"/>
        <v>1984.9999999999045</v>
      </c>
      <c r="O1262">
        <f t="shared" si="154"/>
        <v>36.637715116165623</v>
      </c>
      <c r="P1262">
        <f t="array" ref="P1262">+SUM($G$2:$G$18*SIN(2*PI()*(N1262)*$B$1/$F$2:$F$18+$H$2:$H$18))</f>
        <v>-0.40499871144135596</v>
      </c>
      <c r="Q1262">
        <f t="shared" si="155"/>
        <v>-14.838227412202567</v>
      </c>
      <c r="R1262">
        <f t="shared" si="156"/>
        <v>-1.4502819080187702E-2</v>
      </c>
      <c r="S1262">
        <f t="array" ref="S1262">+$B$2*SIN(R1262*$B$3+$B$4)+0*R1262+ SUM($J$2:$J$20*SIN(2*PI()*N1262*$I$2:$I$20+$K$2:$K$20))</f>
        <v>0.74561591090618207</v>
      </c>
      <c r="U1262" s="3">
        <f t="shared" si="152"/>
        <v>1984.9999999999045</v>
      </c>
      <c r="V1262" s="3">
        <f t="shared" si="153"/>
        <v>0.90373599999999998</v>
      </c>
      <c r="Z1262" s="1">
        <v>1985.0417</v>
      </c>
      <c r="AA1262" s="2">
        <f t="shared" si="157"/>
        <v>-0.54079599999999994</v>
      </c>
      <c r="AB1262">
        <v>-27.0398</v>
      </c>
      <c r="AE1262">
        <v>1984.9999999999045</v>
      </c>
      <c r="AF1262">
        <v>0.74561591090618207</v>
      </c>
    </row>
    <row r="1263" spans="4:32" x14ac:dyDescent="0.35">
      <c r="D1263">
        <v>-0.67800799999999994</v>
      </c>
      <c r="M1263">
        <f t="shared" si="158"/>
        <v>1262</v>
      </c>
      <c r="N1263">
        <f t="shared" si="159"/>
        <v>1985.0833333332378</v>
      </c>
      <c r="O1263">
        <f t="shared" si="154"/>
        <v>0</v>
      </c>
      <c r="P1263">
        <f t="array" ref="P1263">+SUM($G$2:$G$18*SIN(2*PI()*(N1263)*$B$1/$F$2:$F$18+$H$2:$H$18))</f>
        <v>-0.87566861772711846</v>
      </c>
      <c r="Q1263">
        <f t="shared" si="155"/>
        <v>0</v>
      </c>
      <c r="R1263">
        <f t="shared" si="156"/>
        <v>-1.44805117005565E-2</v>
      </c>
      <c r="S1263">
        <f t="array" ref="S1263">+$B$2*SIN(R1263*$B$3+$B$4)+0*R1263+ SUM($J$2:$J$20*SIN(2*PI()*N1263*$I$2:$I$20+$K$2:$K$20))</f>
        <v>0.74517580438619302</v>
      </c>
      <c r="U1263" s="3">
        <f t="shared" si="152"/>
        <v>1985.0833333332378</v>
      </c>
      <c r="V1263" s="3">
        <f t="shared" si="153"/>
        <v>1.264078</v>
      </c>
      <c r="Z1263" s="1">
        <v>1985.125</v>
      </c>
      <c r="AA1263" s="2">
        <f t="shared" si="157"/>
        <v>-0.61435000000000006</v>
      </c>
      <c r="AB1263">
        <v>-30.717500000000001</v>
      </c>
      <c r="AE1263">
        <v>1985.0833333332378</v>
      </c>
      <c r="AF1263">
        <v>0.74517580438619302</v>
      </c>
    </row>
    <row r="1264" spans="4:32" x14ac:dyDescent="0.35">
      <c r="D1264">
        <v>-0.54079599999999994</v>
      </c>
      <c r="M1264">
        <f t="shared" si="158"/>
        <v>1263</v>
      </c>
      <c r="N1264">
        <f t="shared" si="159"/>
        <v>1985.166666666571</v>
      </c>
      <c r="O1264">
        <f t="shared" si="154"/>
        <v>0</v>
      </c>
      <c r="P1264">
        <f t="array" ref="P1264">+SUM($G$2:$G$18*SIN(2*PI()*(N1264)*$B$1/$F$2:$F$18+$H$2:$H$18))</f>
        <v>-0.45382468898416528</v>
      </c>
      <c r="Q1264">
        <f t="shared" si="155"/>
        <v>0</v>
      </c>
      <c r="R1264">
        <f t="shared" si="156"/>
        <v>-1.4458238632818953E-2</v>
      </c>
      <c r="S1264">
        <f t="array" ref="S1264">+$B$2*SIN(R1264*$B$3+$B$4)+0*R1264+ SUM($J$2:$J$20*SIN(2*PI()*N1264*$I$2:$I$20+$K$2:$K$20))</f>
        <v>0.7447232695024274</v>
      </c>
      <c r="U1264" s="3">
        <f t="shared" si="152"/>
        <v>1985.166666666571</v>
      </c>
      <c r="V1264" s="3">
        <f t="shared" si="153"/>
        <v>1.1982619999999999</v>
      </c>
      <c r="Z1264" s="1">
        <v>1985.2083</v>
      </c>
      <c r="AA1264" s="2">
        <f t="shared" si="157"/>
        <v>-0.45713599999999999</v>
      </c>
      <c r="AB1264">
        <v>-22.8568</v>
      </c>
      <c r="AE1264">
        <v>1985.166666666571</v>
      </c>
      <c r="AF1264">
        <v>0.7447232695024274</v>
      </c>
    </row>
    <row r="1265" spans="4:32" x14ac:dyDescent="0.35">
      <c r="D1265">
        <v>-0.61435000000000006</v>
      </c>
      <c r="M1265">
        <f t="shared" si="158"/>
        <v>1264</v>
      </c>
      <c r="N1265">
        <f t="shared" si="159"/>
        <v>1985.2499999999043</v>
      </c>
      <c r="O1265">
        <f t="shared" si="154"/>
        <v>0</v>
      </c>
      <c r="P1265">
        <f t="array" ref="P1265">+SUM($G$2:$G$18*SIN(2*PI()*(N1265)*$B$1/$F$2:$F$18+$H$2:$H$18))</f>
        <v>0.22415614450382904</v>
      </c>
      <c r="Q1265">
        <f t="shared" si="155"/>
        <v>0</v>
      </c>
      <c r="R1265">
        <f t="shared" si="156"/>
        <v>-1.4435999824198537E-2</v>
      </c>
      <c r="S1265">
        <f t="array" ref="S1265">+$B$2*SIN(R1265*$B$3+$B$4)+0*R1265+ SUM($J$2:$J$20*SIN(2*PI()*N1265*$I$2:$I$20+$K$2:$K$20))</f>
        <v>0.74425837359011582</v>
      </c>
      <c r="U1265" s="3">
        <f t="shared" si="152"/>
        <v>1985.2499999999043</v>
      </c>
      <c r="V1265" s="3">
        <f t="shared" si="153"/>
        <v>0.90937200000000007</v>
      </c>
      <c r="Z1265" s="1">
        <v>1985.2917</v>
      </c>
      <c r="AA1265" s="2">
        <f t="shared" si="157"/>
        <v>-0.49377200000000004</v>
      </c>
      <c r="AB1265">
        <v>-24.688600000000001</v>
      </c>
      <c r="AE1265">
        <v>1985.2499999999043</v>
      </c>
      <c r="AF1265">
        <v>0.74425837359011582</v>
      </c>
    </row>
    <row r="1266" spans="4:32" x14ac:dyDescent="0.35">
      <c r="D1266">
        <v>-0.45713599999999999</v>
      </c>
      <c r="M1266">
        <f t="shared" si="158"/>
        <v>1265</v>
      </c>
      <c r="N1266">
        <f t="shared" si="159"/>
        <v>1985.3333333332375</v>
      </c>
      <c r="O1266">
        <f t="shared" si="154"/>
        <v>0</v>
      </c>
      <c r="P1266">
        <f t="array" ref="P1266">+SUM($G$2:$G$18*SIN(2*PI()*(N1266)*$B$1/$F$2:$F$18+$H$2:$H$18))</f>
        <v>0.30789030753721824</v>
      </c>
      <c r="Q1266">
        <f t="shared" si="155"/>
        <v>0</v>
      </c>
      <c r="R1266">
        <f t="shared" si="156"/>
        <v>-1.4413795221999899E-2</v>
      </c>
      <c r="S1266">
        <f t="array" ref="S1266">+$B$2*SIN(R1266*$B$3+$B$4)+0*R1266+ SUM($J$2:$J$20*SIN(2*PI()*N1266*$I$2:$I$20+$K$2:$K$20))</f>
        <v>0.74378118392436698</v>
      </c>
      <c r="U1266" s="3">
        <f t="shared" si="152"/>
        <v>1985.3333333332375</v>
      </c>
      <c r="V1266" s="3">
        <f t="shared" si="153"/>
        <v>0.43894</v>
      </c>
      <c r="Z1266" s="1">
        <v>1985.375</v>
      </c>
      <c r="AA1266" s="2">
        <f t="shared" si="157"/>
        <v>-0.45502200000000004</v>
      </c>
      <c r="AB1266">
        <v>-22.751100000000001</v>
      </c>
      <c r="AE1266">
        <v>1985.3333333332375</v>
      </c>
      <c r="AF1266">
        <v>0.74378118392436698</v>
      </c>
    </row>
    <row r="1267" spans="4:32" x14ac:dyDescent="0.35">
      <c r="D1267">
        <v>-0.49377200000000004</v>
      </c>
      <c r="M1267">
        <f t="shared" si="158"/>
        <v>1266</v>
      </c>
      <c r="N1267">
        <f t="shared" si="159"/>
        <v>1985.4166666665708</v>
      </c>
      <c r="O1267">
        <f t="shared" si="154"/>
        <v>0</v>
      </c>
      <c r="P1267">
        <f t="array" ref="P1267">+SUM($G$2:$G$18*SIN(2*PI()*(N1267)*$B$1/$F$2:$F$18+$H$2:$H$18))</f>
        <v>-8.2227124154383713E-3</v>
      </c>
      <c r="Q1267">
        <f t="shared" si="155"/>
        <v>0</v>
      </c>
      <c r="R1267">
        <f t="shared" si="156"/>
        <v>-1.4391624773608743E-2</v>
      </c>
      <c r="S1267">
        <f t="array" ref="S1267">+$B$2*SIN(R1267*$B$3+$B$4)+0*R1267+ SUM($J$2:$J$20*SIN(2*PI()*N1267*$I$2:$I$20+$K$2:$K$20))</f>
        <v>0.74329176771770211</v>
      </c>
      <c r="U1267" s="3">
        <f t="shared" si="152"/>
        <v>1985.4166666665708</v>
      </c>
      <c r="V1267" s="3">
        <f t="shared" si="153"/>
        <v>0.559276</v>
      </c>
      <c r="Z1267" s="1">
        <v>1985.4583</v>
      </c>
      <c r="AA1267" s="2">
        <f t="shared" si="157"/>
        <v>-0.32550400000000002</v>
      </c>
      <c r="AB1267">
        <v>-16.275200000000002</v>
      </c>
      <c r="AE1267">
        <v>1985.4166666665708</v>
      </c>
      <c r="AF1267">
        <v>0.74329176771770211</v>
      </c>
    </row>
    <row r="1268" spans="4:32" x14ac:dyDescent="0.35">
      <c r="D1268">
        <v>-0.45502200000000004</v>
      </c>
      <c r="M1268">
        <f t="shared" si="158"/>
        <v>1267</v>
      </c>
      <c r="N1268">
        <f t="shared" si="159"/>
        <v>1985.499999999904</v>
      </c>
      <c r="O1268">
        <f t="shared" si="154"/>
        <v>0</v>
      </c>
      <c r="P1268">
        <f t="array" ref="P1268">+SUM($G$2:$G$18*SIN(2*PI()*(N1268)*$B$1/$F$2:$F$18+$H$2:$H$18))</f>
        <v>-0.17417217908153224</v>
      </c>
      <c r="Q1268">
        <f t="shared" si="155"/>
        <v>0</v>
      </c>
      <c r="R1268">
        <f t="shared" si="156"/>
        <v>-1.4369488426491699E-2</v>
      </c>
      <c r="S1268">
        <f t="array" ref="S1268">+$B$2*SIN(R1268*$B$3+$B$4)+0*R1268+ SUM($J$2:$J$20*SIN(2*PI()*N1268*$I$2:$I$20+$K$2:$K$20))</f>
        <v>0.74279019211761632</v>
      </c>
      <c r="U1268" s="3">
        <f t="shared" si="152"/>
        <v>1985.499999999904</v>
      </c>
      <c r="V1268" s="3">
        <f t="shared" si="153"/>
        <v>0.716534</v>
      </c>
      <c r="Z1268" s="1">
        <v>1985.5417</v>
      </c>
      <c r="AA1268" s="2">
        <f t="shared" si="157"/>
        <v>2.5550000000000003E-2</v>
      </c>
      <c r="AB1268">
        <v>1.2775000000000001</v>
      </c>
      <c r="AE1268">
        <v>1985.499999999904</v>
      </c>
      <c r="AF1268">
        <v>0.74279019211761632</v>
      </c>
    </row>
    <row r="1269" spans="4:32" x14ac:dyDescent="0.35">
      <c r="D1269">
        <v>-0.32550400000000002</v>
      </c>
      <c r="M1269">
        <f t="shared" si="158"/>
        <v>1268</v>
      </c>
      <c r="N1269">
        <f t="shared" si="159"/>
        <v>1985.5833333332373</v>
      </c>
      <c r="O1269">
        <f t="shared" si="154"/>
        <v>0</v>
      </c>
      <c r="P1269">
        <f t="array" ref="P1269">+SUM($G$2:$G$18*SIN(2*PI()*(N1269)*$B$1/$F$2:$F$18+$H$2:$H$18))</f>
        <v>0.10168365668928248</v>
      </c>
      <c r="Q1269">
        <f t="shared" si="155"/>
        <v>0</v>
      </c>
      <c r="R1269">
        <f t="shared" si="156"/>
        <v>-1.4347386128196202E-2</v>
      </c>
      <c r="S1269">
        <f t="array" ref="S1269">+$B$2*SIN(R1269*$B$3+$B$4)+0*R1269+ SUM($J$2:$J$20*SIN(2*PI()*N1269*$I$2:$I$20+$K$2:$K$20))</f>
        <v>0.74227652420417134</v>
      </c>
      <c r="U1269" s="3">
        <f t="shared" si="152"/>
        <v>1985.5833333332373</v>
      </c>
      <c r="V1269" s="3">
        <f t="shared" si="153"/>
        <v>0.77994600000000003</v>
      </c>
      <c r="Z1269" s="1">
        <v>1985.625</v>
      </c>
      <c r="AA1269" s="2">
        <f t="shared" si="157"/>
        <v>1.9681999999999998E-2</v>
      </c>
      <c r="AB1269">
        <v>0.98409999999999997</v>
      </c>
      <c r="AE1269">
        <v>1985.5833333332373</v>
      </c>
      <c r="AF1269">
        <v>0.74227652420417134</v>
      </c>
    </row>
    <row r="1270" spans="4:32" x14ac:dyDescent="0.35">
      <c r="D1270">
        <v>2.5550000000000003E-2</v>
      </c>
      <c r="M1270">
        <f t="shared" si="158"/>
        <v>1269</v>
      </c>
      <c r="N1270">
        <f t="shared" si="159"/>
        <v>1985.6666666665706</v>
      </c>
      <c r="O1270">
        <f t="shared" si="154"/>
        <v>0</v>
      </c>
      <c r="P1270">
        <f t="array" ref="P1270">+SUM($G$2:$G$18*SIN(2*PI()*(N1270)*$B$1/$F$2:$F$18+$H$2:$H$18))</f>
        <v>0.23226837682555662</v>
      </c>
      <c r="Q1270">
        <f t="shared" si="155"/>
        <v>0</v>
      </c>
      <c r="R1270">
        <f t="shared" si="156"/>
        <v>-1.4325317826350365E-2</v>
      </c>
      <c r="S1270">
        <f t="array" ref="S1270">+$B$2*SIN(R1270*$B$3+$B$4)+0*R1270+ SUM($J$2:$J$20*SIN(2*PI()*N1270*$I$2:$I$20+$K$2:$K$20))</f>
        <v>0.74175083098761663</v>
      </c>
      <c r="U1270" s="3">
        <f t="shared" si="152"/>
        <v>1985.6666666665706</v>
      </c>
      <c r="V1270" s="3">
        <f t="shared" si="153"/>
        <v>0.69412400000000007</v>
      </c>
      <c r="Z1270" s="1">
        <v>1985.7083</v>
      </c>
      <c r="AA1270" s="2">
        <f t="shared" si="157"/>
        <v>-0.427726</v>
      </c>
      <c r="AB1270">
        <v>-21.386299999999999</v>
      </c>
      <c r="AE1270">
        <v>1985.6666666665706</v>
      </c>
      <c r="AF1270">
        <v>0.74175083098761663</v>
      </c>
    </row>
    <row r="1271" spans="4:32" x14ac:dyDescent="0.35">
      <c r="D1271">
        <v>1.9681999999999998E-2</v>
      </c>
      <c r="M1271">
        <f t="shared" si="158"/>
        <v>1270</v>
      </c>
      <c r="N1271">
        <f t="shared" si="159"/>
        <v>1985.7499999999038</v>
      </c>
      <c r="O1271">
        <f t="shared" si="154"/>
        <v>0</v>
      </c>
      <c r="P1271">
        <f t="array" ref="P1271">+SUM($G$2:$G$18*SIN(2*PI()*(N1271)*$B$1/$F$2:$F$18+$H$2:$H$18))</f>
        <v>-0.34335717572387808</v>
      </c>
      <c r="Q1271">
        <f t="shared" si="155"/>
        <v>0</v>
      </c>
      <c r="R1271">
        <f t="shared" si="156"/>
        <v>-1.430328346866286E-2</v>
      </c>
      <c r="S1271">
        <f t="array" ref="S1271">+$B$2*SIN(R1271*$B$3+$B$4)+0*R1271+ SUM($J$2:$J$20*SIN(2*PI()*N1271*$I$2:$I$20+$K$2:$K$20))</f>
        <v>0.74121317940603926</v>
      </c>
      <c r="U1271" s="3">
        <f t="shared" si="152"/>
        <v>1985.7499999999038</v>
      </c>
      <c r="V1271" s="3">
        <f t="shared" si="153"/>
        <v>0.53599600000000003</v>
      </c>
      <c r="Z1271" s="1">
        <v>1985.7917</v>
      </c>
      <c r="AA1271" s="2">
        <f t="shared" si="157"/>
        <v>-0.28283200000000003</v>
      </c>
      <c r="AB1271">
        <v>-14.1416</v>
      </c>
      <c r="AE1271">
        <v>1985.7499999999038</v>
      </c>
      <c r="AF1271">
        <v>0.74121317940603926</v>
      </c>
    </row>
    <row r="1272" spans="4:32" x14ac:dyDescent="0.35">
      <c r="D1272">
        <v>-0.427726</v>
      </c>
      <c r="M1272">
        <f t="shared" si="158"/>
        <v>1271</v>
      </c>
      <c r="N1272">
        <f t="shared" si="159"/>
        <v>1985.8333333332371</v>
      </c>
      <c r="O1272">
        <f t="shared" si="154"/>
        <v>0</v>
      </c>
      <c r="P1272">
        <f t="array" ref="P1272">+SUM($G$2:$G$18*SIN(2*PI()*(N1272)*$B$1/$F$2:$F$18+$H$2:$H$18))</f>
        <v>-0.62880674572737627</v>
      </c>
      <c r="Q1272">
        <f t="shared" si="155"/>
        <v>0</v>
      </c>
      <c r="R1272">
        <f t="shared" si="156"/>
        <v>-1.4281283002922786E-2</v>
      </c>
      <c r="S1272">
        <f t="array" ref="S1272">+$B$2*SIN(R1272*$B$3+$B$4)+0*R1272+ SUM($J$2:$J$20*SIN(2*PI()*N1272*$I$2:$I$20+$K$2:$K$20))</f>
        <v>0.74066363632304311</v>
      </c>
      <c r="U1272" s="3">
        <f t="shared" si="152"/>
        <v>1985.8333333332371</v>
      </c>
      <c r="V1272" s="3">
        <f t="shared" si="153"/>
        <v>0.43632599999999999</v>
      </c>
      <c r="Z1272" s="1">
        <v>1985.875</v>
      </c>
      <c r="AA1272" s="2">
        <f t="shared" si="157"/>
        <v>-0.404088</v>
      </c>
      <c r="AB1272">
        <v>-20.2044</v>
      </c>
      <c r="AE1272">
        <v>1985.8333333332371</v>
      </c>
      <c r="AF1272">
        <v>0.74066363632304311</v>
      </c>
    </row>
    <row r="1273" spans="4:32" x14ac:dyDescent="0.35">
      <c r="D1273">
        <v>-0.28283200000000003</v>
      </c>
      <c r="M1273">
        <f t="shared" si="158"/>
        <v>1272</v>
      </c>
      <c r="N1273">
        <f t="shared" si="159"/>
        <v>1985.9166666665703</v>
      </c>
      <c r="O1273">
        <f t="shared" si="154"/>
        <v>0</v>
      </c>
      <c r="P1273">
        <f t="array" ref="P1273">+SUM($G$2:$G$18*SIN(2*PI()*(N1273)*$B$1/$F$2:$F$18+$H$2:$H$18))</f>
        <v>0.10170935729288795</v>
      </c>
      <c r="Q1273">
        <f t="shared" si="155"/>
        <v>0</v>
      </c>
      <c r="R1273">
        <f t="shared" si="156"/>
        <v>-1.4259316376999551E-2</v>
      </c>
      <c r="S1273">
        <f t="array" ref="S1273">+$B$2*SIN(R1273*$B$3+$B$4)+0*R1273+ SUM($J$2:$J$20*SIN(2*PI()*N1273*$I$2:$I$20+$K$2:$K$20))</f>
        <v>0.74010226852545491</v>
      </c>
      <c r="U1273" s="3">
        <f t="shared" si="152"/>
        <v>1985.9166666665703</v>
      </c>
      <c r="V1273" s="3">
        <f t="shared" si="153"/>
        <v>0.267424</v>
      </c>
      <c r="Z1273" s="1">
        <v>1985.9583</v>
      </c>
      <c r="AA1273" s="2">
        <f t="shared" si="157"/>
        <v>-0.43611400000000006</v>
      </c>
      <c r="AB1273">
        <v>-21.805700000000002</v>
      </c>
      <c r="AE1273">
        <v>1985.9166666665703</v>
      </c>
      <c r="AF1273">
        <v>0.74010226852545491</v>
      </c>
    </row>
    <row r="1274" spans="4:32" x14ac:dyDescent="0.35">
      <c r="D1274">
        <v>-0.404088</v>
      </c>
      <c r="M1274">
        <f t="shared" si="158"/>
        <v>1273</v>
      </c>
      <c r="N1274">
        <f t="shared" si="159"/>
        <v>1985.9999999999036</v>
      </c>
      <c r="O1274">
        <f t="shared" si="154"/>
        <v>36.637715116165623</v>
      </c>
      <c r="P1274">
        <f t="array" ref="P1274">+SUM($G$2:$G$18*SIN(2*PI()*(N1274)*$B$1/$F$2:$F$18+$H$2:$H$18))</f>
        <v>0.77340799750460654</v>
      </c>
      <c r="Q1274">
        <f t="shared" si="155"/>
        <v>28.335901881137907</v>
      </c>
      <c r="R1274">
        <f t="shared" si="156"/>
        <v>2.9347226939998035E-2</v>
      </c>
      <c r="S1274">
        <f t="array" ref="S1274">+$B$2*SIN(R1274*$B$3+$B$4)+0*R1274+ SUM($J$2:$J$20*SIN(2*PI()*N1274*$I$2:$I$20+$K$2:$K$20))</f>
        <v>-0.38489741809335459</v>
      </c>
      <c r="U1274" s="3">
        <f t="shared" si="152"/>
        <v>1985.9999999999036</v>
      </c>
      <c r="V1274" s="3">
        <f t="shared" si="153"/>
        <v>9.5446000000000003E-2</v>
      </c>
      <c r="Z1274" s="1">
        <v>1986.0417</v>
      </c>
      <c r="AA1274" s="2">
        <f t="shared" si="157"/>
        <v>-0.371224</v>
      </c>
      <c r="AB1274">
        <v>-18.561199999999999</v>
      </c>
      <c r="AE1274">
        <v>1985.9999999999036</v>
      </c>
      <c r="AF1274">
        <v>-0.38489741809335459</v>
      </c>
    </row>
    <row r="1275" spans="4:32" x14ac:dyDescent="0.35">
      <c r="D1275">
        <v>-0.43611400000000006</v>
      </c>
      <c r="M1275">
        <f t="shared" si="158"/>
        <v>1274</v>
      </c>
      <c r="N1275">
        <f t="shared" si="159"/>
        <v>1986.0833333332369</v>
      </c>
      <c r="O1275">
        <f t="shared" si="154"/>
        <v>0</v>
      </c>
      <c r="P1275">
        <f t="array" ref="P1275">+SUM($G$2:$G$18*SIN(2*PI()*(N1275)*$B$1/$F$2:$F$18+$H$2:$H$18))</f>
        <v>0.58265244752427503</v>
      </c>
      <c r="Q1275">
        <f t="shared" si="155"/>
        <v>0</v>
      </c>
      <c r="R1275">
        <f t="shared" si="156"/>
        <v>2.9302086769052379E-2</v>
      </c>
      <c r="S1275">
        <f t="array" ref="S1275">+$B$2*SIN(R1275*$B$3+$B$4)+0*R1275+ SUM($J$2:$J$20*SIN(2*PI()*N1275*$I$2:$I$20+$K$2:$K$20))</f>
        <v>-0.3793877132788171</v>
      </c>
      <c r="U1275" s="3">
        <f t="shared" ref="U1275:U1338" si="160">+N1275</f>
        <v>1986.0833333332369</v>
      </c>
      <c r="V1275" s="3">
        <f t="shared" ref="V1275:V1338" si="161">+D1233</f>
        <v>-0.14730399999999999</v>
      </c>
      <c r="Z1275" s="1">
        <v>1986.125</v>
      </c>
      <c r="AA1275" s="2">
        <f t="shared" si="157"/>
        <v>-0.44479000000000002</v>
      </c>
      <c r="AB1275">
        <v>-22.2395</v>
      </c>
      <c r="AE1275">
        <v>1986.0833333332369</v>
      </c>
      <c r="AF1275">
        <v>-0.3793877132788171</v>
      </c>
    </row>
    <row r="1276" spans="4:32" x14ac:dyDescent="0.35">
      <c r="D1276">
        <v>-0.371224</v>
      </c>
      <c r="M1276">
        <f t="shared" si="158"/>
        <v>1275</v>
      </c>
      <c r="N1276">
        <f t="shared" si="159"/>
        <v>1986.1666666665701</v>
      </c>
      <c r="O1276">
        <f t="shared" si="154"/>
        <v>0</v>
      </c>
      <c r="P1276">
        <f t="array" ref="P1276">+SUM($G$2:$G$18*SIN(2*PI()*(N1276)*$B$1/$F$2:$F$18+$H$2:$H$18))</f>
        <v>4.6351603958058089E-2</v>
      </c>
      <c r="Q1276">
        <f t="shared" si="155"/>
        <v>0</v>
      </c>
      <c r="R1276">
        <f t="shared" si="156"/>
        <v>2.925701603005125E-2</v>
      </c>
      <c r="S1276">
        <f t="array" ref="S1276">+$B$2*SIN(R1276*$B$3+$B$4)+0*R1276+ SUM($J$2:$J$20*SIN(2*PI()*N1276*$I$2:$I$20+$K$2:$K$20))</f>
        <v>-0.37385916181252543</v>
      </c>
      <c r="U1276" s="3">
        <f t="shared" si="160"/>
        <v>1986.1666666665701</v>
      </c>
      <c r="V1276" s="3">
        <f t="shared" si="161"/>
        <v>-0.41621000000000002</v>
      </c>
      <c r="Z1276" s="1">
        <v>1986.2083</v>
      </c>
      <c r="AA1276" s="2">
        <f t="shared" si="157"/>
        <v>-0.33835999999999999</v>
      </c>
      <c r="AB1276">
        <v>-16.917999999999999</v>
      </c>
      <c r="AE1276">
        <v>1986.1666666665701</v>
      </c>
      <c r="AF1276">
        <v>-0.37385916181252543</v>
      </c>
    </row>
    <row r="1277" spans="4:32" x14ac:dyDescent="0.35">
      <c r="D1277">
        <v>-0.44479000000000002</v>
      </c>
      <c r="M1277">
        <f t="shared" si="158"/>
        <v>1276</v>
      </c>
      <c r="N1277">
        <f t="shared" si="159"/>
        <v>1986.2499999999034</v>
      </c>
      <c r="O1277">
        <f t="shared" si="154"/>
        <v>0</v>
      </c>
      <c r="P1277">
        <f t="array" ref="P1277">+SUM($G$2:$G$18*SIN(2*PI()*(N1277)*$B$1/$F$2:$F$18+$H$2:$H$18))</f>
        <v>-4.6287407870914468E-2</v>
      </c>
      <c r="Q1277">
        <f t="shared" si="155"/>
        <v>0</v>
      </c>
      <c r="R1277">
        <f t="shared" si="156"/>
        <v>2.9212014616198538E-2</v>
      </c>
      <c r="S1277">
        <f t="array" ref="S1277">+$B$2*SIN(R1277*$B$3+$B$4)+0*R1277+ SUM($J$2:$J$20*SIN(2*PI()*N1277*$I$2:$I$20+$K$2:$K$20))</f>
        <v>-0.36831227357382124</v>
      </c>
      <c r="U1277" s="3">
        <f t="shared" si="160"/>
        <v>1986.2499999999034</v>
      </c>
      <c r="V1277" s="3">
        <f t="shared" si="161"/>
        <v>-0.12357599999999999</v>
      </c>
      <c r="Z1277" s="1">
        <v>1986.2917</v>
      </c>
      <c r="AA1277" s="2">
        <f t="shared" si="157"/>
        <v>-0.37500999999999995</v>
      </c>
      <c r="AB1277">
        <v>-18.750499999999999</v>
      </c>
      <c r="AE1277">
        <v>1986.2499999999034</v>
      </c>
      <c r="AF1277">
        <v>-0.36831227357382124</v>
      </c>
    </row>
    <row r="1278" spans="4:32" x14ac:dyDescent="0.35">
      <c r="D1278">
        <v>-0.33835999999999999</v>
      </c>
      <c r="M1278">
        <f t="shared" si="158"/>
        <v>1277</v>
      </c>
      <c r="N1278">
        <f t="shared" si="159"/>
        <v>1986.3333333332366</v>
      </c>
      <c r="O1278">
        <f t="shared" si="154"/>
        <v>0</v>
      </c>
      <c r="P1278">
        <f t="array" ref="P1278">+SUM($G$2:$G$18*SIN(2*PI()*(N1278)*$B$1/$F$2:$F$18+$H$2:$H$18))</f>
        <v>0.39389258249196357</v>
      </c>
      <c r="Q1278">
        <f t="shared" si="155"/>
        <v>0</v>
      </c>
      <c r="R1278">
        <f t="shared" si="156"/>
        <v>2.9167082420862391E-2</v>
      </c>
      <c r="S1278">
        <f t="array" ref="S1278">+$B$2*SIN(R1278*$B$3+$B$4)+0*R1278+ SUM($J$2:$J$20*SIN(2*PI()*N1278*$I$2:$I$20+$K$2:$K$20))</f>
        <v>-0.36274755627193106</v>
      </c>
      <c r="U1278" s="3">
        <f t="shared" si="160"/>
        <v>1986.3333333332366</v>
      </c>
      <c r="V1278" s="3">
        <f t="shared" si="161"/>
        <v>-0.19555800000000001</v>
      </c>
      <c r="Z1278" s="1">
        <v>1986.375</v>
      </c>
      <c r="AA1278" s="2">
        <f t="shared" si="157"/>
        <v>-0.35780999999999996</v>
      </c>
      <c r="AB1278">
        <v>-17.890499999999999</v>
      </c>
      <c r="AE1278">
        <v>1986.3333333332366</v>
      </c>
      <c r="AF1278">
        <v>-0.36274755627193106</v>
      </c>
    </row>
    <row r="1279" spans="4:32" x14ac:dyDescent="0.35">
      <c r="D1279">
        <v>-0.37500999999999995</v>
      </c>
      <c r="M1279">
        <f t="shared" si="158"/>
        <v>1278</v>
      </c>
      <c r="N1279">
        <f t="shared" si="159"/>
        <v>1986.4166666665699</v>
      </c>
      <c r="O1279">
        <f t="shared" si="154"/>
        <v>0</v>
      </c>
      <c r="P1279">
        <f t="array" ref="P1279">+SUM($G$2:$G$18*SIN(2*PI()*(N1279)*$B$1/$F$2:$F$18+$H$2:$H$18))</f>
        <v>0.42192070977961937</v>
      </c>
      <c r="Q1279">
        <f t="shared" si="155"/>
        <v>0</v>
      </c>
      <c r="R1279">
        <f t="shared" si="156"/>
        <v>2.9122219337574976E-2</v>
      </c>
      <c r="S1279">
        <f t="array" ref="S1279">+$B$2*SIN(R1279*$B$3+$B$4)+0*R1279+ SUM($J$2:$J$20*SIN(2*PI()*N1279*$I$2:$I$20+$K$2:$K$20))</f>
        <v>-0.35716551541302405</v>
      </c>
      <c r="U1279" s="3">
        <f t="shared" si="160"/>
        <v>1986.4166666665699</v>
      </c>
      <c r="V1279" s="3">
        <f t="shared" si="161"/>
        <v>-3.8314000000000001E-2</v>
      </c>
      <c r="Z1279" s="1">
        <v>1986.4583</v>
      </c>
      <c r="AA1279" s="2">
        <f t="shared" si="157"/>
        <v>-0.12368999999999999</v>
      </c>
      <c r="AB1279">
        <v>-6.1844999999999999</v>
      </c>
      <c r="AE1279">
        <v>1986.4166666665699</v>
      </c>
      <c r="AF1279">
        <v>-0.35716551541302405</v>
      </c>
    </row>
    <row r="1280" spans="4:32" x14ac:dyDescent="0.35">
      <c r="D1280">
        <v>-0.35780999999999996</v>
      </c>
      <c r="M1280">
        <f t="shared" si="158"/>
        <v>1279</v>
      </c>
      <c r="N1280">
        <f t="shared" si="159"/>
        <v>1986.4999999999031</v>
      </c>
      <c r="O1280">
        <f t="shared" si="154"/>
        <v>0</v>
      </c>
      <c r="P1280">
        <f t="array" ref="P1280">+SUM($G$2:$G$18*SIN(2*PI()*(N1280)*$B$1/$F$2:$F$18+$H$2:$H$18))</f>
        <v>-0.22710429052328268</v>
      </c>
      <c r="Q1280">
        <f t="shared" si="155"/>
        <v>0</v>
      </c>
      <c r="R1280">
        <f t="shared" si="156"/>
        <v>2.9077425260032222E-2</v>
      </c>
      <c r="S1280">
        <f t="array" ref="S1280">+$B$2*SIN(R1280*$B$3+$B$4)+0*R1280+ SUM($J$2:$J$20*SIN(2*PI()*N1280*$I$2:$I$20+$K$2:$K$20))</f>
        <v>-0.35156665426794304</v>
      </c>
      <c r="U1280" s="3">
        <f t="shared" si="160"/>
        <v>1986.4999999999031</v>
      </c>
      <c r="V1280" s="3">
        <f t="shared" si="161"/>
        <v>-0.13183800000000001</v>
      </c>
      <c r="Z1280" s="1">
        <v>1986.5417</v>
      </c>
      <c r="AA1280" s="2">
        <f t="shared" si="157"/>
        <v>1.6579999999999998E-2</v>
      </c>
      <c r="AB1280">
        <v>0.82899999999999996</v>
      </c>
      <c r="AE1280">
        <v>1986.4999999999031</v>
      </c>
      <c r="AF1280">
        <v>-0.35156665426794304</v>
      </c>
    </row>
    <row r="1281" spans="4:32" x14ac:dyDescent="0.35">
      <c r="D1281">
        <v>-0.12368999999999999</v>
      </c>
      <c r="M1281">
        <f t="shared" si="158"/>
        <v>1280</v>
      </c>
      <c r="N1281">
        <f t="shared" si="159"/>
        <v>1986.5833333332364</v>
      </c>
      <c r="O1281">
        <f t="shared" si="154"/>
        <v>0</v>
      </c>
      <c r="P1281">
        <f t="array" ref="P1281">+SUM($G$2:$G$18*SIN(2*PI()*(N1281)*$B$1/$F$2:$F$18+$H$2:$H$18))</f>
        <v>-0.23247502673020459</v>
      </c>
      <c r="Q1281">
        <f t="shared" si="155"/>
        <v>0</v>
      </c>
      <c r="R1281">
        <f t="shared" si="156"/>
        <v>2.903270008209357E-2</v>
      </c>
      <c r="S1281">
        <f t="array" ref="S1281">+$B$2*SIN(R1281*$B$3+$B$4)+0*R1281+ SUM($J$2:$J$20*SIN(2*PI()*N1281*$I$2:$I$20+$K$2:$K$20))</f>
        <v>-0.34595147384060998</v>
      </c>
      <c r="U1281" s="3">
        <f t="shared" si="160"/>
        <v>1986.5833333332364</v>
      </c>
      <c r="V1281" s="3">
        <f t="shared" si="161"/>
        <v>-0.174594</v>
      </c>
      <c r="Z1281" s="1">
        <v>1986.625</v>
      </c>
      <c r="AA1281" s="2">
        <f t="shared" si="157"/>
        <v>-0.153918</v>
      </c>
      <c r="AB1281">
        <v>-7.6959</v>
      </c>
      <c r="AE1281">
        <v>1986.5833333332364</v>
      </c>
      <c r="AF1281">
        <v>-0.34595147384060998</v>
      </c>
    </row>
    <row r="1282" spans="4:32" x14ac:dyDescent="0.35">
      <c r="D1282">
        <v>1.6579999999999998E-2</v>
      </c>
      <c r="M1282">
        <f t="shared" si="158"/>
        <v>1281</v>
      </c>
      <c r="N1282">
        <f t="shared" si="159"/>
        <v>1986.6666666665697</v>
      </c>
      <c r="O1282">
        <f t="shared" ref="O1282:O1345" si="162">+IF(MOD(M1282,$B$5)=1, $B$6, 0)</f>
        <v>0</v>
      </c>
      <c r="P1282">
        <f t="array" ref="P1282">+SUM($G$2:$G$18*SIN(2*PI()*(N1282)*$B$1/$F$2:$F$18+$H$2:$H$18))</f>
        <v>0.68867535813888614</v>
      </c>
      <c r="Q1282">
        <f t="shared" si="155"/>
        <v>0</v>
      </c>
      <c r="R1282">
        <f t="shared" si="156"/>
        <v>2.8988043697781716E-2</v>
      </c>
      <c r="S1282">
        <f t="array" ref="S1282">+$B$2*SIN(R1282*$B$3+$B$4)+0*R1282+ SUM($J$2:$J$20*SIN(2*PI()*N1282*$I$2:$I$20+$K$2:$K$20))</f>
        <v>-0.34032047283710259</v>
      </c>
      <c r="U1282" s="3">
        <f t="shared" si="160"/>
        <v>1986.6666666665697</v>
      </c>
      <c r="V1282" s="3">
        <f t="shared" si="161"/>
        <v>-6.6584000000000004E-2</v>
      </c>
      <c r="Z1282" s="1">
        <v>1986.7083</v>
      </c>
      <c r="AA1282" s="2">
        <f t="shared" si="157"/>
        <v>-0.41210799999999997</v>
      </c>
      <c r="AB1282">
        <v>-20.605399999999999</v>
      </c>
      <c r="AE1282">
        <v>1986.6666666665697</v>
      </c>
      <c r="AF1282">
        <v>-0.34032047283710259</v>
      </c>
    </row>
    <row r="1283" spans="4:32" x14ac:dyDescent="0.35">
      <c r="D1283">
        <v>-0.153918</v>
      </c>
      <c r="M1283">
        <f t="shared" si="158"/>
        <v>1282</v>
      </c>
      <c r="N1283">
        <f t="shared" si="159"/>
        <v>1986.7499999999029</v>
      </c>
      <c r="O1283">
        <f t="shared" si="162"/>
        <v>0</v>
      </c>
      <c r="P1283">
        <f t="array" ref="P1283">+SUM($G$2:$G$18*SIN(2*PI()*(N1283)*$B$1/$F$2:$F$18+$H$2:$H$18))</f>
        <v>1.1380068804832497</v>
      </c>
      <c r="Q1283">
        <f t="shared" ref="Q1283:Q1346" si="163">+O1283*P1283</f>
        <v>0</v>
      </c>
      <c r="R1283">
        <f t="shared" ref="R1283:R1346" si="164">+(1-$B$7)*R1282+($B$7)*Q1283</f>
        <v>2.8943456001282369E-2</v>
      </c>
      <c r="S1283">
        <f t="array" ref="S1283">+$B$2*SIN(R1283*$B$3+$B$4)+0*R1283+ SUM($J$2:$J$20*SIN(2*PI()*N1283*$I$2:$I$20+$K$2:$K$20))</f>
        <v>-0.33467414763539249</v>
      </c>
      <c r="U1283" s="3">
        <f t="shared" si="160"/>
        <v>1986.7499999999029</v>
      </c>
      <c r="V1283" s="3">
        <f t="shared" si="161"/>
        <v>4.6044000000000002E-2</v>
      </c>
      <c r="Z1283" s="1">
        <v>1986.7917</v>
      </c>
      <c r="AA1283" s="2">
        <f t="shared" ref="AA1283:AA1346" si="165">+AB1283/50</f>
        <v>-0.16414999999999999</v>
      </c>
      <c r="AB1283">
        <v>-8.2074999999999996</v>
      </c>
      <c r="AE1283">
        <v>1986.7499999999029</v>
      </c>
      <c r="AF1283">
        <v>-0.33467414763539249</v>
      </c>
    </row>
    <row r="1284" spans="4:32" x14ac:dyDescent="0.35">
      <c r="D1284">
        <v>-0.41210799999999997</v>
      </c>
      <c r="M1284">
        <f t="shared" ref="M1284:M1347" si="166">+M1283+1</f>
        <v>1283</v>
      </c>
      <c r="N1284">
        <f t="shared" ref="N1284:N1347" si="167">+N1283+1/12</f>
        <v>1986.8333333332362</v>
      </c>
      <c r="O1284">
        <f t="shared" si="162"/>
        <v>0</v>
      </c>
      <c r="P1284">
        <f t="array" ref="P1284">+SUM($G$2:$G$18*SIN(2*PI()*(N1284)*$B$1/$F$2:$F$18+$H$2:$H$18))</f>
        <v>0.61343889784251815</v>
      </c>
      <c r="Q1284">
        <f t="shared" si="163"/>
        <v>0</v>
      </c>
      <c r="R1284">
        <f t="shared" si="164"/>
        <v>2.8898936886943994E-2</v>
      </c>
      <c r="S1284">
        <f t="array" ref="S1284">+$B$2*SIN(R1284*$B$3+$B$4)+0*R1284+ SUM($J$2:$J$20*SIN(2*PI()*N1284*$I$2:$I$20+$K$2:$K$20))</f>
        <v>-0.32901299225574476</v>
      </c>
      <c r="U1284" s="3">
        <f t="shared" si="160"/>
        <v>1986.8333333332362</v>
      </c>
      <c r="V1284" s="3">
        <f t="shared" si="161"/>
        <v>0.120208</v>
      </c>
      <c r="Z1284" s="1">
        <v>1986.875</v>
      </c>
      <c r="AA1284" s="2">
        <f t="shared" si="165"/>
        <v>-4.0804E-2</v>
      </c>
      <c r="AB1284">
        <v>-2.0402</v>
      </c>
      <c r="AE1284">
        <v>1986.8333333332362</v>
      </c>
      <c r="AF1284">
        <v>-0.32901299225574476</v>
      </c>
    </row>
    <row r="1285" spans="4:32" x14ac:dyDescent="0.35">
      <c r="D1285">
        <v>-0.16414999999999999</v>
      </c>
      <c r="M1285">
        <f t="shared" si="166"/>
        <v>1284</v>
      </c>
      <c r="N1285">
        <f t="shared" si="167"/>
        <v>1986.9166666665694</v>
      </c>
      <c r="O1285">
        <f t="shared" si="162"/>
        <v>0</v>
      </c>
      <c r="P1285">
        <f t="array" ref="P1285">+SUM($G$2:$G$18*SIN(2*PI()*(N1285)*$B$1/$F$2:$F$18+$H$2:$H$18))</f>
        <v>-2.2532624167873411E-2</v>
      </c>
      <c r="Q1285">
        <f t="shared" si="163"/>
        <v>0</v>
      </c>
      <c r="R1285">
        <f t="shared" si="164"/>
        <v>2.8854486249277563E-2</v>
      </c>
      <c r="S1285">
        <f t="array" ref="S1285">+$B$2*SIN(R1285*$B$3+$B$4)+0*R1285+ SUM($J$2:$J$20*SIN(2*PI()*N1285*$I$2:$I$20+$K$2:$K$20))</f>
        <v>-0.32333749833177056</v>
      </c>
      <c r="U1285" s="3">
        <f t="shared" si="160"/>
        <v>1986.9166666665694</v>
      </c>
      <c r="V1285" s="3">
        <f t="shared" si="161"/>
        <v>6.3598000000000002E-2</v>
      </c>
      <c r="Z1285" s="1">
        <v>1986.9583</v>
      </c>
      <c r="AA1285" s="2">
        <f t="shared" si="165"/>
        <v>0.104078</v>
      </c>
      <c r="AB1285">
        <v>5.2039</v>
      </c>
      <c r="AE1285">
        <v>1986.9166666665694</v>
      </c>
      <c r="AF1285">
        <v>-0.32333749833177056</v>
      </c>
    </row>
    <row r="1286" spans="4:32" x14ac:dyDescent="0.35">
      <c r="D1286">
        <v>-4.0804E-2</v>
      </c>
      <c r="M1286">
        <f t="shared" si="166"/>
        <v>1285</v>
      </c>
      <c r="N1286">
        <f t="shared" si="167"/>
        <v>1986.9999999999027</v>
      </c>
      <c r="O1286">
        <f t="shared" si="162"/>
        <v>36.637715116165623</v>
      </c>
      <c r="P1286">
        <f t="array" ref="P1286">+SUM($G$2:$G$18*SIN(2*PI()*(N1286)*$B$1/$F$2:$F$18+$H$2:$H$18))</f>
        <v>5.5929888961253726E-2</v>
      </c>
      <c r="Q1286">
        <f t="shared" si="163"/>
        <v>2.0491433382411905</v>
      </c>
      <c r="R1286">
        <f t="shared" si="164"/>
        <v>3.1961975223448021E-2</v>
      </c>
      <c r="S1286">
        <f t="array" ref="S1286">+$B$2*SIN(R1286*$B$3+$B$4)+0*R1286+ SUM($J$2:$J$20*SIN(2*PI()*N1286*$I$2:$I$20+$K$2:$K$20))</f>
        <v>-0.64487550005633099</v>
      </c>
      <c r="U1286" s="3">
        <f t="shared" si="160"/>
        <v>1986.9999999999027</v>
      </c>
      <c r="V1286" s="3">
        <f t="shared" si="161"/>
        <v>0.55622199999999999</v>
      </c>
      <c r="Z1286" s="1">
        <v>1987.0417</v>
      </c>
      <c r="AA1286" s="2">
        <f t="shared" si="165"/>
        <v>0.26741799999999999</v>
      </c>
      <c r="AB1286">
        <v>13.370900000000001</v>
      </c>
      <c r="AE1286">
        <v>1986.9999999999027</v>
      </c>
      <c r="AF1286">
        <v>-0.64487550005633099</v>
      </c>
    </row>
    <row r="1287" spans="4:32" x14ac:dyDescent="0.35">
      <c r="D1287">
        <v>0.104078</v>
      </c>
      <c r="M1287">
        <f t="shared" si="166"/>
        <v>1286</v>
      </c>
      <c r="N1287">
        <f t="shared" si="167"/>
        <v>1987.0833333332359</v>
      </c>
      <c r="O1287">
        <f t="shared" si="162"/>
        <v>0</v>
      </c>
      <c r="P1287">
        <f t="array" ref="P1287">+SUM($G$2:$G$18*SIN(2*PI()*(N1287)*$B$1/$F$2:$F$18+$H$2:$H$18))</f>
        <v>0.58226160431009788</v>
      </c>
      <c r="Q1287">
        <f t="shared" si="163"/>
        <v>0</v>
      </c>
      <c r="R1287">
        <f t="shared" si="164"/>
        <v>3.1912813201145293E-2</v>
      </c>
      <c r="S1287">
        <f t="array" ref="S1287">+$B$2*SIN(R1287*$B$3+$B$4)+0*R1287+ SUM($J$2:$J$20*SIN(2*PI()*N1287*$I$2:$I$20+$K$2:$K$20))</f>
        <v>-0.64125547720624387</v>
      </c>
      <c r="U1287" s="3">
        <f t="shared" si="160"/>
        <v>1987.0833333332359</v>
      </c>
      <c r="V1287" s="3">
        <f t="shared" si="161"/>
        <v>0.73192199999999996</v>
      </c>
      <c r="Z1287" s="1">
        <v>1987.125</v>
      </c>
      <c r="AA1287" s="2">
        <f t="shared" si="165"/>
        <v>0.32922199999999996</v>
      </c>
      <c r="AB1287">
        <v>16.461099999999998</v>
      </c>
      <c r="AE1287">
        <v>1987.0833333332359</v>
      </c>
      <c r="AF1287">
        <v>-0.64125547720624387</v>
      </c>
    </row>
    <row r="1288" spans="4:32" x14ac:dyDescent="0.35">
      <c r="D1288">
        <v>0.26741799999999999</v>
      </c>
      <c r="M1288">
        <f t="shared" si="166"/>
        <v>1287</v>
      </c>
      <c r="N1288">
        <f t="shared" si="167"/>
        <v>1987.1666666665692</v>
      </c>
      <c r="O1288">
        <f t="shared" si="162"/>
        <v>0</v>
      </c>
      <c r="P1288">
        <f t="array" ref="P1288">+SUM($G$2:$G$18*SIN(2*PI()*(N1288)*$B$1/$F$2:$F$18+$H$2:$H$18))</f>
        <v>0.42493143166669833</v>
      </c>
      <c r="Q1288">
        <f t="shared" si="163"/>
        <v>0</v>
      </c>
      <c r="R1288">
        <f t="shared" si="164"/>
        <v>3.1863726796961284E-2</v>
      </c>
      <c r="S1288">
        <f t="array" ref="S1288">+$B$2*SIN(R1288*$B$3+$B$4)+0*R1288+ SUM($J$2:$J$20*SIN(2*PI()*N1288*$I$2:$I$20+$K$2:$K$20))</f>
        <v>-0.63758624767824945</v>
      </c>
      <c r="U1288" s="3">
        <f t="shared" si="160"/>
        <v>1987.1666666665692</v>
      </c>
      <c r="V1288" s="3">
        <f t="shared" si="161"/>
        <v>0.89684799999999998</v>
      </c>
      <c r="Z1288" s="1">
        <v>1987.2083</v>
      </c>
      <c r="AA1288" s="2">
        <f t="shared" si="165"/>
        <v>0.49102400000000002</v>
      </c>
      <c r="AB1288">
        <v>24.551200000000001</v>
      </c>
      <c r="AE1288">
        <v>1987.1666666665692</v>
      </c>
      <c r="AF1288">
        <v>-0.63758624767824945</v>
      </c>
    </row>
    <row r="1289" spans="4:32" x14ac:dyDescent="0.35">
      <c r="D1289">
        <v>0.32922199999999996</v>
      </c>
      <c r="M1289">
        <f t="shared" si="166"/>
        <v>1288</v>
      </c>
      <c r="N1289">
        <f t="shared" si="167"/>
        <v>1987.2499999999025</v>
      </c>
      <c r="O1289">
        <f t="shared" si="162"/>
        <v>0</v>
      </c>
      <c r="P1289">
        <f t="array" ref="P1289">+SUM($G$2:$G$18*SIN(2*PI()*(N1289)*$B$1/$F$2:$F$18+$H$2:$H$18))</f>
        <v>-0.24245730746067232</v>
      </c>
      <c r="Q1289">
        <f t="shared" si="163"/>
        <v>0</v>
      </c>
      <c r="R1289">
        <f t="shared" si="164"/>
        <v>3.1814715894584671E-2</v>
      </c>
      <c r="S1289">
        <f t="array" ref="S1289">+$B$2*SIN(R1289*$B$3+$B$4)+0*R1289+ SUM($J$2:$J$20*SIN(2*PI()*N1289*$I$2:$I$20+$K$2:$K$20))</f>
        <v>-0.63386836798295432</v>
      </c>
      <c r="U1289" s="3">
        <f t="shared" si="160"/>
        <v>1987.2499999999025</v>
      </c>
      <c r="V1289" s="3">
        <f t="shared" si="161"/>
        <v>0.51562200000000002</v>
      </c>
      <c r="Z1289" s="1">
        <v>1987.2917</v>
      </c>
      <c r="AA1289" s="2">
        <f t="shared" si="165"/>
        <v>0.30513000000000001</v>
      </c>
      <c r="AB1289">
        <v>15.256500000000001</v>
      </c>
      <c r="AE1289">
        <v>1987.2499999999025</v>
      </c>
      <c r="AF1289">
        <v>-0.63386836798295432</v>
      </c>
    </row>
    <row r="1290" spans="4:32" x14ac:dyDescent="0.35">
      <c r="D1290">
        <v>0.49102400000000002</v>
      </c>
      <c r="M1290">
        <f t="shared" si="166"/>
        <v>1289</v>
      </c>
      <c r="N1290">
        <f t="shared" si="167"/>
        <v>1987.3333333332357</v>
      </c>
      <c r="O1290">
        <f t="shared" si="162"/>
        <v>0</v>
      </c>
      <c r="P1290">
        <f t="array" ref="P1290">+SUM($G$2:$G$18*SIN(2*PI()*(N1290)*$B$1/$F$2:$F$18+$H$2:$H$18))</f>
        <v>1.1642697716095191E-2</v>
      </c>
      <c r="Q1290">
        <f t="shared" si="163"/>
        <v>0</v>
      </c>
      <c r="R1290">
        <f t="shared" si="164"/>
        <v>3.1765780377883031E-2</v>
      </c>
      <c r="S1290">
        <f t="array" ref="S1290">+$B$2*SIN(R1290*$B$3+$B$4)+0*R1290+ SUM($J$2:$J$20*SIN(2*PI()*N1290*$I$2:$I$20+$K$2:$K$20))</f>
        <v>-0.63010239546663582</v>
      </c>
      <c r="U1290" s="3">
        <f t="shared" si="160"/>
        <v>1987.3333333332357</v>
      </c>
      <c r="V1290" s="3">
        <f t="shared" si="161"/>
        <v>-0.12714400000000001</v>
      </c>
      <c r="Z1290" s="1">
        <v>1987.375</v>
      </c>
      <c r="AA1290" s="2">
        <f t="shared" si="165"/>
        <v>0.27154400000000001</v>
      </c>
      <c r="AB1290">
        <v>13.577199999999999</v>
      </c>
      <c r="AE1290">
        <v>1987.3333333332357</v>
      </c>
      <c r="AF1290">
        <v>-0.63010239546663582</v>
      </c>
    </row>
    <row r="1291" spans="4:32" x14ac:dyDescent="0.35">
      <c r="D1291">
        <v>0.30513000000000001</v>
      </c>
      <c r="M1291">
        <f t="shared" si="166"/>
        <v>1290</v>
      </c>
      <c r="N1291">
        <f t="shared" si="167"/>
        <v>1987.416666666569</v>
      </c>
      <c r="O1291">
        <f t="shared" si="162"/>
        <v>0</v>
      </c>
      <c r="P1291">
        <f t="array" ref="P1291">+SUM($G$2:$G$18*SIN(2*PI()*(N1291)*$B$1/$F$2:$F$18+$H$2:$H$18))</f>
        <v>0.95385921141866237</v>
      </c>
      <c r="Q1291">
        <f t="shared" si="163"/>
        <v>0</v>
      </c>
      <c r="R1291">
        <f t="shared" si="164"/>
        <v>3.1716920130902576E-2</v>
      </c>
      <c r="S1291">
        <f t="array" ref="S1291">+$B$2*SIN(R1291*$B$3+$B$4)+0*R1291+ SUM($J$2:$J$20*SIN(2*PI()*N1291*$I$2:$I$20+$K$2:$K$20))</f>
        <v>-0.62628888823514894</v>
      </c>
      <c r="U1291" s="3">
        <f t="shared" si="160"/>
        <v>1987.416666666569</v>
      </c>
      <c r="V1291" s="3">
        <f t="shared" si="161"/>
        <v>-0.17760600000000001</v>
      </c>
      <c r="Z1291" s="1">
        <v>1987.4583</v>
      </c>
      <c r="AA1291" s="2">
        <f t="shared" si="165"/>
        <v>0.21334399999999998</v>
      </c>
      <c r="AB1291">
        <v>10.667199999999999</v>
      </c>
      <c r="AE1291">
        <v>1987.416666666569</v>
      </c>
      <c r="AF1291">
        <v>-0.62628888823514894</v>
      </c>
    </row>
    <row r="1292" spans="4:32" x14ac:dyDescent="0.35">
      <c r="D1292">
        <v>0.27154400000000001</v>
      </c>
      <c r="M1292">
        <f t="shared" si="166"/>
        <v>1291</v>
      </c>
      <c r="N1292">
        <f t="shared" si="167"/>
        <v>1987.4999999999022</v>
      </c>
      <c r="O1292">
        <f t="shared" si="162"/>
        <v>0</v>
      </c>
      <c r="P1292">
        <f t="array" ref="P1292">+SUM($G$2:$G$18*SIN(2*PI()*(N1292)*$B$1/$F$2:$F$18+$H$2:$H$18))</f>
        <v>1.104653113606062</v>
      </c>
      <c r="Q1292">
        <f t="shared" si="163"/>
        <v>0</v>
      </c>
      <c r="R1292">
        <f t="shared" si="164"/>
        <v>3.1668135037867862E-2</v>
      </c>
      <c r="S1292">
        <f t="array" ref="S1292">+$B$2*SIN(R1292*$B$3+$B$4)+0*R1292+ SUM($J$2:$J$20*SIN(2*PI()*N1292*$I$2:$I$20+$K$2:$K$20))</f>
        <v>-0.62242840507865993</v>
      </c>
      <c r="U1292" s="3">
        <f t="shared" si="160"/>
        <v>1987.4999999999022</v>
      </c>
      <c r="V1292" s="3">
        <f t="shared" si="161"/>
        <v>-0.24191199999999999</v>
      </c>
      <c r="Z1292" s="1">
        <v>1987.5417</v>
      </c>
      <c r="AA1292" s="2">
        <f t="shared" si="165"/>
        <v>5.3600000000000002E-2</v>
      </c>
      <c r="AB1292">
        <v>2.68</v>
      </c>
      <c r="AE1292">
        <v>1987.4999999999022</v>
      </c>
      <c r="AF1292">
        <v>-0.62242840507865993</v>
      </c>
    </row>
    <row r="1293" spans="4:32" x14ac:dyDescent="0.35">
      <c r="D1293">
        <v>0.21334399999999998</v>
      </c>
      <c r="M1293">
        <f t="shared" si="166"/>
        <v>1292</v>
      </c>
      <c r="N1293">
        <f t="shared" si="167"/>
        <v>1987.5833333332355</v>
      </c>
      <c r="O1293">
        <f t="shared" si="162"/>
        <v>0</v>
      </c>
      <c r="P1293">
        <f t="array" ref="P1293">+SUM($G$2:$G$18*SIN(2*PI()*(N1293)*$B$1/$F$2:$F$18+$H$2:$H$18))</f>
        <v>0.33941278378024209</v>
      </c>
      <c r="Q1293">
        <f t="shared" si="163"/>
        <v>0</v>
      </c>
      <c r="R1293">
        <f t="shared" si="164"/>
        <v>3.1619424983181529E-2</v>
      </c>
      <c r="S1293">
        <f t="array" ref="S1293">+$B$2*SIN(R1293*$B$3+$B$4)+0*R1293+ SUM($J$2:$J$20*SIN(2*PI()*N1293*$I$2:$I$20+$K$2:$K$20))</f>
        <v>-0.61852150539720308</v>
      </c>
      <c r="U1293" s="3">
        <f t="shared" si="160"/>
        <v>1987.5833333332355</v>
      </c>
      <c r="V1293" s="3">
        <f t="shared" si="161"/>
        <v>-0.22775800000000002</v>
      </c>
      <c r="Z1293" s="1">
        <v>1987.625</v>
      </c>
      <c r="AA1293" s="2">
        <f t="shared" si="165"/>
        <v>-0.153834</v>
      </c>
      <c r="AB1293">
        <v>-7.6917</v>
      </c>
      <c r="AE1293">
        <v>1987.5833333332355</v>
      </c>
      <c r="AF1293">
        <v>-0.61852150539720308</v>
      </c>
    </row>
    <row r="1294" spans="4:32" x14ac:dyDescent="0.35">
      <c r="D1294">
        <v>5.3600000000000002E-2</v>
      </c>
      <c r="M1294">
        <f t="shared" si="166"/>
        <v>1293</v>
      </c>
      <c r="N1294">
        <f t="shared" si="167"/>
        <v>1987.6666666665687</v>
      </c>
      <c r="O1294">
        <f t="shared" si="162"/>
        <v>0</v>
      </c>
      <c r="P1294">
        <f t="array" ref="P1294">+SUM($G$2:$G$18*SIN(2*PI()*(N1294)*$B$1/$F$2:$F$18+$H$2:$H$18))</f>
        <v>-0.28960199152095645</v>
      </c>
      <c r="Q1294">
        <f t="shared" si="163"/>
        <v>0</v>
      </c>
      <c r="R1294">
        <f t="shared" si="164"/>
        <v>3.1570789851424023E-2</v>
      </c>
      <c r="S1294">
        <f t="array" ref="S1294">+$B$2*SIN(R1294*$B$3+$B$4)+0*R1294+ SUM($J$2:$J$20*SIN(2*PI()*N1294*$I$2:$I$20+$K$2:$K$20))</f>
        <v>-0.61456874912706638</v>
      </c>
      <c r="U1294" s="3">
        <f t="shared" si="160"/>
        <v>1987.6666666665687</v>
      </c>
      <c r="V1294" s="3">
        <f t="shared" si="161"/>
        <v>-7.9762E-2</v>
      </c>
      <c r="Z1294" s="1">
        <v>1987.7083</v>
      </c>
      <c r="AA1294" s="2">
        <f t="shared" si="165"/>
        <v>-8.5884000000000002E-2</v>
      </c>
      <c r="AB1294">
        <v>-4.2942</v>
      </c>
      <c r="AE1294">
        <v>1987.6666666665687</v>
      </c>
      <c r="AF1294">
        <v>-0.61456874912706638</v>
      </c>
    </row>
    <row r="1295" spans="4:32" x14ac:dyDescent="0.35">
      <c r="D1295">
        <v>-0.153834</v>
      </c>
      <c r="M1295">
        <f t="shared" si="166"/>
        <v>1294</v>
      </c>
      <c r="N1295">
        <f t="shared" si="167"/>
        <v>1987.749999999902</v>
      </c>
      <c r="O1295">
        <f t="shared" si="162"/>
        <v>0</v>
      </c>
      <c r="P1295">
        <f t="array" ref="P1295">+SUM($G$2:$G$18*SIN(2*PI()*(N1295)*$B$1/$F$2:$F$18+$H$2:$H$18))</f>
        <v>-4.7691094685461746E-2</v>
      </c>
      <c r="Q1295">
        <f t="shared" si="163"/>
        <v>0</v>
      </c>
      <c r="R1295">
        <f t="shared" si="164"/>
        <v>3.152222952735332E-2</v>
      </c>
      <c r="S1295">
        <f t="array" ref="S1295">+$B$2*SIN(R1295*$B$3+$B$4)+0*R1295+ SUM($J$2:$J$20*SIN(2*PI()*N1295*$I$2:$I$20+$K$2:$K$20))</f>
        <v>-0.61057069666800512</v>
      </c>
      <c r="U1295" s="3">
        <f t="shared" si="160"/>
        <v>1987.749999999902</v>
      </c>
      <c r="V1295" s="3">
        <f t="shared" si="161"/>
        <v>-0.17330200000000001</v>
      </c>
      <c r="Z1295" s="1">
        <v>1987.7917</v>
      </c>
      <c r="AA1295" s="2">
        <f t="shared" si="165"/>
        <v>0.149752</v>
      </c>
      <c r="AB1295">
        <v>7.4875999999999996</v>
      </c>
      <c r="AE1295">
        <v>1987.749999999902</v>
      </c>
      <c r="AF1295">
        <v>-0.61057069666800512</v>
      </c>
    </row>
    <row r="1296" spans="4:32" x14ac:dyDescent="0.35">
      <c r="D1296">
        <v>-8.5884000000000002E-2</v>
      </c>
      <c r="M1296">
        <f t="shared" si="166"/>
        <v>1295</v>
      </c>
      <c r="N1296">
        <f t="shared" si="167"/>
        <v>1987.8333333332353</v>
      </c>
      <c r="O1296">
        <f t="shared" si="162"/>
        <v>0</v>
      </c>
      <c r="P1296">
        <f t="array" ref="P1296">+SUM($G$2:$G$18*SIN(2*PI()*(N1296)*$B$1/$F$2:$F$18+$H$2:$H$18))</f>
        <v>0.49294221506996383</v>
      </c>
      <c r="Q1296">
        <f t="shared" si="163"/>
        <v>0</v>
      </c>
      <c r="R1296">
        <f t="shared" si="164"/>
        <v>3.1473743895904661E-2</v>
      </c>
      <c r="S1296">
        <f t="array" ref="S1296">+$B$2*SIN(R1296*$B$3+$B$4)+0*R1296+ SUM($J$2:$J$20*SIN(2*PI()*N1296*$I$2:$I$20+$K$2:$K$20))</f>
        <v>-0.60652790881127927</v>
      </c>
      <c r="U1296" s="3">
        <f t="shared" si="160"/>
        <v>1987.8333333332353</v>
      </c>
      <c r="V1296" s="3">
        <f t="shared" si="161"/>
        <v>-0.14069000000000001</v>
      </c>
      <c r="Z1296" s="1">
        <v>1987.875</v>
      </c>
      <c r="AA1296" s="2">
        <f t="shared" si="165"/>
        <v>0.20077800000000001</v>
      </c>
      <c r="AB1296">
        <v>10.0389</v>
      </c>
      <c r="AE1296">
        <v>1987.8333333332353</v>
      </c>
      <c r="AF1296">
        <v>-0.60652790881127927</v>
      </c>
    </row>
    <row r="1297" spans="4:32" x14ac:dyDescent="0.35">
      <c r="D1297">
        <v>0.149752</v>
      </c>
      <c r="M1297">
        <f t="shared" si="166"/>
        <v>1296</v>
      </c>
      <c r="N1297">
        <f t="shared" si="167"/>
        <v>1987.9166666665685</v>
      </c>
      <c r="O1297">
        <f t="shared" si="162"/>
        <v>0</v>
      </c>
      <c r="P1297">
        <f t="array" ref="P1297">+SUM($G$2:$G$18*SIN(2*PI()*(N1297)*$B$1/$F$2:$F$18+$H$2:$H$18))</f>
        <v>0.18379707649519506</v>
      </c>
      <c r="Q1297">
        <f t="shared" si="163"/>
        <v>0</v>
      </c>
      <c r="R1297">
        <f t="shared" si="164"/>
        <v>3.1425332842190262E-2</v>
      </c>
      <c r="S1297">
        <f t="array" ref="S1297">+$B$2*SIN(R1297*$B$3+$B$4)+0*R1297+ SUM($J$2:$J$20*SIN(2*PI()*N1297*$I$2:$I$20+$K$2:$K$20))</f>
        <v>-0.60244094666852266</v>
      </c>
      <c r="U1297" s="3">
        <f t="shared" si="160"/>
        <v>1987.9166666665685</v>
      </c>
      <c r="V1297" s="3">
        <f t="shared" si="161"/>
        <v>-0.195774</v>
      </c>
      <c r="Z1297" s="1">
        <v>1987.9583</v>
      </c>
      <c r="AA1297" s="2">
        <f t="shared" si="165"/>
        <v>0.20872399999999999</v>
      </c>
      <c r="AB1297">
        <v>10.436199999999999</v>
      </c>
      <c r="AE1297">
        <v>1987.9166666665685</v>
      </c>
      <c r="AF1297">
        <v>-0.60244094666852266</v>
      </c>
    </row>
    <row r="1298" spans="4:32" x14ac:dyDescent="0.35">
      <c r="D1298">
        <v>0.20077800000000001</v>
      </c>
      <c r="M1298">
        <f t="shared" si="166"/>
        <v>1297</v>
      </c>
      <c r="N1298">
        <f t="shared" si="167"/>
        <v>1987.9999999999018</v>
      </c>
      <c r="O1298">
        <f t="shared" si="162"/>
        <v>36.637715116165623</v>
      </c>
      <c r="P1298">
        <f t="array" ref="P1298">+SUM($G$2:$G$18*SIN(2*PI()*(N1298)*$B$1/$F$2:$F$18+$H$2:$H$18))</f>
        <v>-0.43432752540493741</v>
      </c>
      <c r="Q1298">
        <f t="shared" si="163"/>
        <v>-15.912768142895285</v>
      </c>
      <c r="R1298">
        <f t="shared" si="164"/>
        <v>6.9009162573814946E-3</v>
      </c>
      <c r="S1298">
        <f t="array" ref="S1298">+$B$2*SIN(R1298*$B$3+$B$4)+0*R1298+ SUM($J$2:$J$20*SIN(2*PI()*N1298*$I$2:$I$20+$K$2:$K$20))</f>
        <v>-0.39108951308970363</v>
      </c>
      <c r="U1298" s="3">
        <f t="shared" si="160"/>
        <v>1987.9999999999018</v>
      </c>
      <c r="V1298" s="3">
        <f t="shared" si="161"/>
        <v>-0.36778</v>
      </c>
      <c r="Z1298" s="1">
        <v>1988.0417</v>
      </c>
      <c r="AA1298" s="2">
        <f t="shared" si="165"/>
        <v>0.19820399999999999</v>
      </c>
      <c r="AB1298">
        <v>9.9101999999999997</v>
      </c>
      <c r="AE1298">
        <v>1987.9999999999018</v>
      </c>
      <c r="AF1298">
        <v>-0.39108951308970363</v>
      </c>
    </row>
    <row r="1299" spans="4:32" x14ac:dyDescent="0.35">
      <c r="D1299">
        <v>0.20872399999999999</v>
      </c>
      <c r="M1299">
        <f t="shared" si="166"/>
        <v>1298</v>
      </c>
      <c r="N1299">
        <f t="shared" si="167"/>
        <v>1988.083333333235</v>
      </c>
      <c r="O1299">
        <f t="shared" si="162"/>
        <v>0</v>
      </c>
      <c r="P1299">
        <f t="array" ref="P1299">+SUM($G$2:$G$18*SIN(2*PI()*(N1299)*$B$1/$F$2:$F$18+$H$2:$H$18))</f>
        <v>-3.3162719823828429E-2</v>
      </c>
      <c r="Q1299">
        <f t="shared" si="163"/>
        <v>0</v>
      </c>
      <c r="R1299">
        <f t="shared" si="164"/>
        <v>6.8903016756298096E-3</v>
      </c>
      <c r="S1299">
        <f t="array" ref="S1299">+$B$2*SIN(R1299*$B$3+$B$4)+0*R1299+ SUM($J$2:$J$20*SIN(2*PI()*N1299*$I$2:$I$20+$K$2:$K$20))</f>
        <v>-0.3923736310819812</v>
      </c>
      <c r="U1299" s="3">
        <f t="shared" si="160"/>
        <v>1988.083333333235</v>
      </c>
      <c r="V1299" s="3">
        <f t="shared" si="161"/>
        <v>-0.92132400000000003</v>
      </c>
      <c r="Z1299" s="1">
        <v>1988.125</v>
      </c>
      <c r="AA1299" s="2">
        <f t="shared" si="165"/>
        <v>0.27229999999999999</v>
      </c>
      <c r="AB1299">
        <v>13.615</v>
      </c>
      <c r="AE1299">
        <v>1988.083333333235</v>
      </c>
      <c r="AF1299">
        <v>-0.3923736310819812</v>
      </c>
    </row>
    <row r="1300" spans="4:32" x14ac:dyDescent="0.35">
      <c r="D1300">
        <v>0.19820399999999999</v>
      </c>
      <c r="M1300">
        <f t="shared" si="166"/>
        <v>1299</v>
      </c>
      <c r="N1300">
        <f t="shared" si="167"/>
        <v>1988.1666666665683</v>
      </c>
      <c r="O1300">
        <f t="shared" si="162"/>
        <v>0</v>
      </c>
      <c r="P1300">
        <f t="array" ref="P1300">+SUM($G$2:$G$18*SIN(2*PI()*(N1300)*$B$1/$F$2:$F$18+$H$2:$H$18))</f>
        <v>0.79537186863027409</v>
      </c>
      <c r="Q1300">
        <f t="shared" si="163"/>
        <v>0</v>
      </c>
      <c r="R1300">
        <f t="shared" si="164"/>
        <v>6.8797034206007739E-3</v>
      </c>
      <c r="S1300">
        <f t="array" ref="S1300">+$B$2*SIN(R1300*$B$3+$B$4)+0*R1300+ SUM($J$2:$J$20*SIN(2*PI()*N1300*$I$2:$I$20+$K$2:$K$20))</f>
        <v>-0.39365421150394553</v>
      </c>
      <c r="U1300" s="3">
        <f t="shared" si="160"/>
        <v>1988.1666666665683</v>
      </c>
      <c r="V1300" s="3">
        <f t="shared" si="161"/>
        <v>-0.94256600000000001</v>
      </c>
      <c r="Z1300" s="1">
        <v>1988.2083</v>
      </c>
      <c r="AA1300" s="2">
        <f t="shared" si="165"/>
        <v>0.15870599999999999</v>
      </c>
      <c r="AB1300">
        <v>7.9352999999999998</v>
      </c>
      <c r="AE1300">
        <v>1988.1666666665683</v>
      </c>
      <c r="AF1300">
        <v>-0.39365421150394553</v>
      </c>
    </row>
    <row r="1301" spans="4:32" x14ac:dyDescent="0.35">
      <c r="D1301">
        <v>0.27229999999999999</v>
      </c>
      <c r="M1301">
        <f t="shared" si="166"/>
        <v>1300</v>
      </c>
      <c r="N1301">
        <f t="shared" si="167"/>
        <v>1988.2499999999015</v>
      </c>
      <c r="O1301">
        <f t="shared" si="162"/>
        <v>0</v>
      </c>
      <c r="P1301">
        <f t="array" ref="P1301">+SUM($G$2:$G$18*SIN(2*PI()*(N1301)*$B$1/$F$2:$F$18+$H$2:$H$18))</f>
        <v>0.74360426783456057</v>
      </c>
      <c r="Q1301">
        <f t="shared" si="163"/>
        <v>0</v>
      </c>
      <c r="R1301">
        <f t="shared" si="164"/>
        <v>6.8691214671815874E-3</v>
      </c>
      <c r="S1301">
        <f t="array" ref="S1301">+$B$2*SIN(R1301*$B$3+$B$4)+0*R1301+ SUM($J$2:$J$20*SIN(2*PI()*N1301*$I$2:$I$20+$K$2:$K$20))</f>
        <v>-0.39493125951605118</v>
      </c>
      <c r="U1301" s="3">
        <f t="shared" si="160"/>
        <v>1988.2499999999015</v>
      </c>
      <c r="V1301" s="3">
        <f t="shared" si="161"/>
        <v>-1.0776519999999998</v>
      </c>
      <c r="Z1301" s="1">
        <v>1988.2917</v>
      </c>
      <c r="AA1301" s="2">
        <f t="shared" si="165"/>
        <v>3.8952000000000001E-2</v>
      </c>
      <c r="AB1301">
        <v>1.9476</v>
      </c>
      <c r="AE1301">
        <v>1988.2499999999015</v>
      </c>
      <c r="AF1301">
        <v>-0.39493125951605118</v>
      </c>
    </row>
    <row r="1302" spans="4:32" x14ac:dyDescent="0.35">
      <c r="D1302">
        <v>0.15870599999999999</v>
      </c>
      <c r="M1302">
        <f t="shared" si="166"/>
        <v>1301</v>
      </c>
      <c r="N1302">
        <f t="shared" si="167"/>
        <v>1988.3333333332348</v>
      </c>
      <c r="O1302">
        <f t="shared" si="162"/>
        <v>0</v>
      </c>
      <c r="P1302">
        <f t="array" ref="P1302">+SUM($G$2:$G$18*SIN(2*PI()*(N1302)*$B$1/$F$2:$F$18+$H$2:$H$18))</f>
        <v>-7.4835513371815904E-2</v>
      </c>
      <c r="Q1302">
        <f t="shared" si="163"/>
        <v>0</v>
      </c>
      <c r="R1302">
        <f t="shared" si="164"/>
        <v>6.8585557902980775E-3</v>
      </c>
      <c r="S1302">
        <f t="array" ref="S1302">+$B$2*SIN(R1302*$B$3+$B$4)+0*R1302+ SUM($J$2:$J$20*SIN(2*PI()*N1302*$I$2:$I$20+$K$2:$K$20))</f>
        <v>-0.39620478030128492</v>
      </c>
      <c r="U1302" s="3">
        <f t="shared" si="160"/>
        <v>1988.3333333332348</v>
      </c>
      <c r="V1302" s="3">
        <f t="shared" si="161"/>
        <v>-1.1742780000000002</v>
      </c>
      <c r="Z1302" s="1">
        <v>1988.375</v>
      </c>
      <c r="AA1302" s="2">
        <f t="shared" si="165"/>
        <v>0.20843</v>
      </c>
      <c r="AB1302">
        <v>10.4215</v>
      </c>
      <c r="AE1302">
        <v>1988.3333333332348</v>
      </c>
      <c r="AF1302">
        <v>-0.39620478030128492</v>
      </c>
    </row>
    <row r="1303" spans="4:32" x14ac:dyDescent="0.35">
      <c r="D1303">
        <v>3.8952000000000001E-2</v>
      </c>
      <c r="M1303">
        <f t="shared" si="166"/>
        <v>1302</v>
      </c>
      <c r="N1303">
        <f t="shared" si="167"/>
        <v>1988.4166666665681</v>
      </c>
      <c r="O1303">
        <f t="shared" si="162"/>
        <v>0</v>
      </c>
      <c r="P1303">
        <f t="array" ref="P1303">+SUM($G$2:$G$18*SIN(2*PI()*(N1303)*$B$1/$F$2:$F$18+$H$2:$H$18))</f>
        <v>-0.6494515992955312</v>
      </c>
      <c r="Q1303">
        <f t="shared" si="163"/>
        <v>0</v>
      </c>
      <c r="R1303">
        <f t="shared" si="164"/>
        <v>6.8480063649146378E-3</v>
      </c>
      <c r="S1303">
        <f t="array" ref="S1303">+$B$2*SIN(R1303*$B$3+$B$4)+0*R1303+ SUM($J$2:$J$20*SIN(2*PI()*N1303*$I$2:$I$20+$K$2:$K$20))</f>
        <v>-0.39747477906488221</v>
      </c>
      <c r="U1303" s="3">
        <f t="shared" si="160"/>
        <v>1988.4166666665681</v>
      </c>
      <c r="V1303" s="3">
        <f t="shared" si="161"/>
        <v>-0.94629200000000002</v>
      </c>
      <c r="Z1303" s="1">
        <v>1988.4583</v>
      </c>
      <c r="AA1303" s="2">
        <f t="shared" si="165"/>
        <v>0.35329199999999999</v>
      </c>
      <c r="AB1303">
        <v>17.6646</v>
      </c>
      <c r="AE1303">
        <v>1988.4166666665681</v>
      </c>
      <c r="AF1303">
        <v>-0.39747477906488221</v>
      </c>
    </row>
    <row r="1304" spans="4:32" x14ac:dyDescent="0.35">
      <c r="D1304">
        <v>0.20843</v>
      </c>
      <c r="M1304">
        <f t="shared" si="166"/>
        <v>1303</v>
      </c>
      <c r="N1304">
        <f t="shared" si="167"/>
        <v>1988.4999999999013</v>
      </c>
      <c r="O1304">
        <f t="shared" si="162"/>
        <v>0</v>
      </c>
      <c r="P1304">
        <f t="array" ref="P1304">+SUM($G$2:$G$18*SIN(2*PI()*(N1304)*$B$1/$F$2:$F$18+$H$2:$H$18))</f>
        <v>-0.32464420383064391</v>
      </c>
      <c r="Q1304">
        <f t="shared" si="163"/>
        <v>0</v>
      </c>
      <c r="R1304">
        <f t="shared" si="164"/>
        <v>6.8374731660341709E-3</v>
      </c>
      <c r="S1304">
        <f t="array" ref="S1304">+$B$2*SIN(R1304*$B$3+$B$4)+0*R1304+ SUM($J$2:$J$20*SIN(2*PI()*N1304*$I$2:$I$20+$K$2:$K$20))</f>
        <v>-0.39874126103404683</v>
      </c>
      <c r="U1304" s="3">
        <f t="shared" si="160"/>
        <v>1988.4999999999013</v>
      </c>
      <c r="V1304" s="3">
        <f t="shared" si="161"/>
        <v>-0.789072</v>
      </c>
      <c r="Z1304" s="1">
        <v>1988.5417</v>
      </c>
      <c r="AA1304" s="2">
        <f t="shared" si="165"/>
        <v>0.447382</v>
      </c>
      <c r="AB1304">
        <v>22.3691</v>
      </c>
      <c r="AE1304">
        <v>1988.4999999999013</v>
      </c>
      <c r="AF1304">
        <v>-0.39874126103404683</v>
      </c>
    </row>
    <row r="1305" spans="4:32" x14ac:dyDescent="0.35">
      <c r="D1305">
        <v>0.35329199999999999</v>
      </c>
      <c r="M1305">
        <f t="shared" si="166"/>
        <v>1304</v>
      </c>
      <c r="N1305">
        <f t="shared" si="167"/>
        <v>1988.5833333332346</v>
      </c>
      <c r="O1305">
        <f t="shared" si="162"/>
        <v>0</v>
      </c>
      <c r="P1305">
        <f t="array" ref="P1305">+SUM($G$2:$G$18*SIN(2*PI()*(N1305)*$B$1/$F$2:$F$18+$H$2:$H$18))</f>
        <v>0.20538856705219619</v>
      </c>
      <c r="Q1305">
        <f t="shared" si="163"/>
        <v>0</v>
      </c>
      <c r="R1305">
        <f t="shared" si="164"/>
        <v>6.826956168698029E-3</v>
      </c>
      <c r="S1305">
        <f t="array" ref="S1305">+$B$2*SIN(R1305*$B$3+$B$4)+0*R1305+ SUM($J$2:$J$20*SIN(2*PI()*N1305*$I$2:$I$20+$K$2:$K$20))</f>
        <v>-0.4000042314576715</v>
      </c>
      <c r="U1305" s="3">
        <f t="shared" si="160"/>
        <v>1988.5833333332346</v>
      </c>
      <c r="V1305" s="3">
        <f t="shared" si="161"/>
        <v>-0.67800799999999994</v>
      </c>
      <c r="Z1305" s="1">
        <v>1988.625</v>
      </c>
      <c r="AA1305" s="2">
        <f t="shared" si="165"/>
        <v>0.575318</v>
      </c>
      <c r="AB1305">
        <v>28.765899999999998</v>
      </c>
      <c r="AE1305">
        <v>1988.5833333332346</v>
      </c>
      <c r="AF1305">
        <v>-0.4000042314576715</v>
      </c>
    </row>
    <row r="1306" spans="4:32" x14ac:dyDescent="0.35">
      <c r="D1306">
        <v>0.447382</v>
      </c>
      <c r="M1306">
        <f t="shared" si="166"/>
        <v>1305</v>
      </c>
      <c r="N1306">
        <f t="shared" si="167"/>
        <v>1988.6666666665678</v>
      </c>
      <c r="O1306">
        <f t="shared" si="162"/>
        <v>0</v>
      </c>
      <c r="P1306">
        <f t="array" ref="P1306">+SUM($G$2:$G$18*SIN(2*PI()*(N1306)*$B$1/$F$2:$F$18+$H$2:$H$18))</f>
        <v>-0.13415624916904767</v>
      </c>
      <c r="Q1306">
        <f t="shared" si="163"/>
        <v>0</v>
      </c>
      <c r="R1306">
        <f t="shared" si="164"/>
        <v>6.8164553479859525E-3</v>
      </c>
      <c r="S1306">
        <f t="array" ref="S1306">+$B$2*SIN(R1306*$B$3+$B$4)+0*R1306+ SUM($J$2:$J$20*SIN(2*PI()*N1306*$I$2:$I$20+$K$2:$K$20))</f>
        <v>-0.40126369560606107</v>
      </c>
      <c r="U1306" s="3">
        <f t="shared" si="160"/>
        <v>1988.6666666665678</v>
      </c>
      <c r="V1306" s="3">
        <f t="shared" si="161"/>
        <v>-0.54079599999999994</v>
      </c>
      <c r="Z1306" s="1">
        <v>1988.7083</v>
      </c>
      <c r="AA1306" s="2">
        <f t="shared" si="165"/>
        <v>0.72171600000000002</v>
      </c>
      <c r="AB1306">
        <v>36.085799999999999</v>
      </c>
      <c r="AE1306">
        <v>1988.6666666665678</v>
      </c>
      <c r="AF1306">
        <v>-0.40126369560606107</v>
      </c>
    </row>
    <row r="1307" spans="4:32" x14ac:dyDescent="0.35">
      <c r="D1307">
        <v>0.575318</v>
      </c>
      <c r="M1307">
        <f t="shared" si="166"/>
        <v>1306</v>
      </c>
      <c r="N1307">
        <f t="shared" si="167"/>
        <v>1988.7499999999011</v>
      </c>
      <c r="O1307">
        <f t="shared" si="162"/>
        <v>0</v>
      </c>
      <c r="P1307">
        <f t="array" ref="P1307">+SUM($G$2:$G$18*SIN(2*PI()*(N1307)*$B$1/$F$2:$F$18+$H$2:$H$18))</f>
        <v>-0.64933304312357665</v>
      </c>
      <c r="Q1307">
        <f t="shared" si="163"/>
        <v>0</v>
      </c>
      <c r="R1307">
        <f t="shared" si="164"/>
        <v>6.8059706790160142E-3</v>
      </c>
      <c r="S1307">
        <f t="array" ref="S1307">+$B$2*SIN(R1307*$B$3+$B$4)+0*R1307+ SUM($J$2:$J$20*SIN(2*PI()*N1307*$I$2:$I$20+$K$2:$K$20))</f>
        <v>-0.40251965877065649</v>
      </c>
      <c r="U1307" s="3">
        <f t="shared" si="160"/>
        <v>1988.7499999999011</v>
      </c>
      <c r="V1307" s="3">
        <f t="shared" si="161"/>
        <v>-0.61435000000000006</v>
      </c>
      <c r="Z1307" s="1">
        <v>1988.7917</v>
      </c>
      <c r="AA1307" s="2">
        <f t="shared" si="165"/>
        <v>0.75580000000000003</v>
      </c>
      <c r="AB1307">
        <v>37.79</v>
      </c>
      <c r="AE1307">
        <v>1988.7499999999011</v>
      </c>
      <c r="AF1307">
        <v>-0.40251965877065649</v>
      </c>
    </row>
    <row r="1308" spans="4:32" x14ac:dyDescent="0.35">
      <c r="D1308">
        <v>0.72171600000000002</v>
      </c>
      <c r="M1308">
        <f t="shared" si="166"/>
        <v>1307</v>
      </c>
      <c r="N1308">
        <f t="shared" si="167"/>
        <v>1988.8333333332343</v>
      </c>
      <c r="O1308">
        <f t="shared" si="162"/>
        <v>0</v>
      </c>
      <c r="P1308">
        <f t="array" ref="P1308">+SUM($G$2:$G$18*SIN(2*PI()*(N1308)*$B$1/$F$2:$F$18+$H$2:$H$18))</f>
        <v>-0.24272604392070268</v>
      </c>
      <c r="Q1308">
        <f t="shared" si="163"/>
        <v>0</v>
      </c>
      <c r="R1308">
        <f t="shared" si="164"/>
        <v>6.7955021369445591E-3</v>
      </c>
      <c r="S1308">
        <f t="array" ref="S1308">+$B$2*SIN(R1308*$B$3+$B$4)+0*R1308+ SUM($J$2:$J$20*SIN(2*PI()*N1308*$I$2:$I$20+$K$2:$K$20))</f>
        <v>-0.40377212626376119</v>
      </c>
      <c r="U1308" s="3">
        <f t="shared" si="160"/>
        <v>1988.8333333332343</v>
      </c>
      <c r="V1308" s="3">
        <f t="shared" si="161"/>
        <v>-0.45713599999999999</v>
      </c>
      <c r="Z1308" s="1">
        <v>1988.875</v>
      </c>
      <c r="AA1308" s="2">
        <f t="shared" si="165"/>
        <v>0.86834999999999996</v>
      </c>
      <c r="AB1308">
        <v>43.417499999999997</v>
      </c>
      <c r="AE1308">
        <v>1988.8333333332343</v>
      </c>
      <c r="AF1308">
        <v>-0.40377212626376119</v>
      </c>
    </row>
    <row r="1309" spans="4:32" x14ac:dyDescent="0.35">
      <c r="D1309">
        <v>0.75580000000000003</v>
      </c>
      <c r="M1309">
        <f t="shared" si="166"/>
        <v>1308</v>
      </c>
      <c r="N1309">
        <f t="shared" si="167"/>
        <v>1988.9166666665676</v>
      </c>
      <c r="O1309">
        <f t="shared" si="162"/>
        <v>0</v>
      </c>
      <c r="P1309">
        <f t="array" ref="P1309">+SUM($G$2:$G$18*SIN(2*PI()*(N1309)*$B$1/$F$2:$F$18+$H$2:$H$18))</f>
        <v>0.4235282029742079</v>
      </c>
      <c r="Q1309">
        <f t="shared" si="163"/>
        <v>0</v>
      </c>
      <c r="R1309">
        <f t="shared" si="164"/>
        <v>6.7850496969661441E-3</v>
      </c>
      <c r="S1309">
        <f t="array" ref="S1309">+$B$2*SIN(R1309*$B$3+$B$4)+0*R1309+ SUM($J$2:$J$20*SIN(2*PI()*N1309*$I$2:$I$20+$K$2:$K$20))</f>
        <v>-0.40502110341827036</v>
      </c>
      <c r="U1309" s="3">
        <f t="shared" si="160"/>
        <v>1988.9166666665676</v>
      </c>
      <c r="V1309" s="3">
        <f t="shared" si="161"/>
        <v>-0.49377200000000004</v>
      </c>
      <c r="Z1309" s="1">
        <v>1988.9583</v>
      </c>
      <c r="AA1309" s="2">
        <f t="shared" si="165"/>
        <v>1.0224359999999999</v>
      </c>
      <c r="AB1309">
        <v>51.1218</v>
      </c>
      <c r="AE1309">
        <v>1988.9166666665676</v>
      </c>
      <c r="AF1309">
        <v>-0.40502110341827036</v>
      </c>
    </row>
    <row r="1310" spans="4:32" x14ac:dyDescent="0.35">
      <c r="D1310">
        <v>0.86834999999999996</v>
      </c>
      <c r="M1310">
        <f t="shared" si="166"/>
        <v>1309</v>
      </c>
      <c r="N1310">
        <f t="shared" si="167"/>
        <v>1988.9999999999009</v>
      </c>
      <c r="O1310">
        <f t="shared" si="162"/>
        <v>36.637715116165623</v>
      </c>
      <c r="P1310">
        <f t="array" ref="P1310">+SUM($G$2:$G$18*SIN(2*PI()*(N1310)*$B$1/$F$2:$F$18+$H$2:$H$18))</f>
        <v>0.36046905130981743</v>
      </c>
      <c r="Q1310">
        <f t="shared" si="163"/>
        <v>13.206762410083579</v>
      </c>
      <c r="R1310">
        <f t="shared" si="164"/>
        <v>2.7088475153310365E-2</v>
      </c>
      <c r="S1310">
        <f t="array" ref="S1310">+$B$2*SIN(R1310*$B$3+$B$4)+0*R1310+ SUM($J$2:$J$20*SIN(2*PI()*N1310*$I$2:$I$20+$K$2:$K$20))</f>
        <v>-8.3839646185772179E-2</v>
      </c>
      <c r="U1310" s="3">
        <f t="shared" si="160"/>
        <v>1988.9999999999009</v>
      </c>
      <c r="V1310" s="3">
        <f t="shared" si="161"/>
        <v>-0.45502200000000004</v>
      </c>
      <c r="Z1310" s="1">
        <v>1989.0417</v>
      </c>
      <c r="AA1310" s="2">
        <f t="shared" si="165"/>
        <v>1.0949800000000001</v>
      </c>
      <c r="AB1310">
        <v>54.749000000000002</v>
      </c>
      <c r="AE1310">
        <v>1988.9999999999009</v>
      </c>
      <c r="AF1310">
        <v>-8.3839646185772179E-2</v>
      </c>
    </row>
    <row r="1311" spans="4:32" x14ac:dyDescent="0.35">
      <c r="D1311">
        <v>1.0224359999999999</v>
      </c>
      <c r="M1311">
        <f t="shared" si="166"/>
        <v>1310</v>
      </c>
      <c r="N1311">
        <f t="shared" si="167"/>
        <v>1989.0833333332341</v>
      </c>
      <c r="O1311">
        <f t="shared" si="162"/>
        <v>0</v>
      </c>
      <c r="P1311">
        <f t="array" ref="P1311">+SUM($G$2:$G$18*SIN(2*PI()*(N1311)*$B$1/$F$2:$F$18+$H$2:$H$18))</f>
        <v>-0.34130881033882565</v>
      </c>
      <c r="Q1311">
        <f t="shared" si="163"/>
        <v>0</v>
      </c>
      <c r="R1311">
        <f t="shared" si="164"/>
        <v>2.7046809260939081E-2</v>
      </c>
      <c r="S1311">
        <f t="array" ref="S1311">+$B$2*SIN(R1311*$B$3+$B$4)+0*R1311+ SUM($J$2:$J$20*SIN(2*PI()*N1311*$I$2:$I$20+$K$2:$K$20))</f>
        <v>-7.7970916964165818E-2</v>
      </c>
      <c r="U1311" s="3">
        <f t="shared" si="160"/>
        <v>1989.0833333332341</v>
      </c>
      <c r="V1311" s="3">
        <f t="shared" si="161"/>
        <v>-0.32550400000000002</v>
      </c>
      <c r="Z1311" s="1">
        <v>1989.125</v>
      </c>
      <c r="AA1311" s="2">
        <f t="shared" si="165"/>
        <v>1.464448</v>
      </c>
      <c r="AB1311">
        <v>73.222399999999993</v>
      </c>
      <c r="AE1311">
        <v>1989.0833333332341</v>
      </c>
      <c r="AF1311">
        <v>-7.7970916964165818E-2</v>
      </c>
    </row>
    <row r="1312" spans="4:32" x14ac:dyDescent="0.35">
      <c r="D1312">
        <v>1.0949800000000001</v>
      </c>
      <c r="M1312">
        <f t="shared" si="166"/>
        <v>1311</v>
      </c>
      <c r="N1312">
        <f t="shared" si="167"/>
        <v>1989.1666666665674</v>
      </c>
      <c r="O1312">
        <f t="shared" si="162"/>
        <v>0</v>
      </c>
      <c r="P1312">
        <f t="array" ref="P1312">+SUM($G$2:$G$18*SIN(2*PI()*(N1312)*$B$1/$F$2:$F$18+$H$2:$H$18))</f>
        <v>-0.88014941420997761</v>
      </c>
      <c r="Q1312">
        <f t="shared" si="163"/>
        <v>0</v>
      </c>
      <c r="R1312">
        <f t="shared" si="164"/>
        <v>2.7005207456582248E-2</v>
      </c>
      <c r="S1312">
        <f t="array" ref="S1312">+$B$2*SIN(R1312*$B$3+$B$4)+0*R1312+ SUM($J$2:$J$20*SIN(2*PI()*N1312*$I$2:$I$20+$K$2:$K$20))</f>
        <v>-7.210643057253377E-2</v>
      </c>
      <c r="U1312" s="3">
        <f t="shared" si="160"/>
        <v>1989.1666666665674</v>
      </c>
      <c r="V1312" s="3">
        <f t="shared" si="161"/>
        <v>2.5550000000000003E-2</v>
      </c>
      <c r="Z1312" s="1">
        <v>1989.2083</v>
      </c>
      <c r="AA1312" s="2">
        <f t="shared" si="165"/>
        <v>1.421608</v>
      </c>
      <c r="AB1312">
        <v>71.080399999999997</v>
      </c>
      <c r="AE1312">
        <v>1989.1666666665674</v>
      </c>
      <c r="AF1312">
        <v>-7.210643057253377E-2</v>
      </c>
    </row>
    <row r="1313" spans="4:32" x14ac:dyDescent="0.35">
      <c r="D1313">
        <v>1.464448</v>
      </c>
      <c r="M1313">
        <f t="shared" si="166"/>
        <v>1312</v>
      </c>
      <c r="N1313">
        <f t="shared" si="167"/>
        <v>1989.2499999999006</v>
      </c>
      <c r="O1313">
        <f t="shared" si="162"/>
        <v>0</v>
      </c>
      <c r="P1313">
        <f t="array" ref="P1313">+SUM($G$2:$G$18*SIN(2*PI()*(N1313)*$B$1/$F$2:$F$18+$H$2:$H$18))</f>
        <v>-0.56656565299472728</v>
      </c>
      <c r="Q1313">
        <f t="shared" si="163"/>
        <v>0</v>
      </c>
      <c r="R1313">
        <f t="shared" si="164"/>
        <v>2.6963669641663468E-2</v>
      </c>
      <c r="S1313">
        <f t="array" ref="S1313">+$B$2*SIN(R1313*$B$3+$B$4)+0*R1313+ SUM($J$2:$J$20*SIN(2*PI()*N1313*$I$2:$I$20+$K$2:$K$20))</f>
        <v>-6.6246553901250893E-2</v>
      </c>
      <c r="U1313" s="3">
        <f t="shared" si="160"/>
        <v>1989.2499999999006</v>
      </c>
      <c r="V1313" s="3">
        <f t="shared" si="161"/>
        <v>1.9681999999999998E-2</v>
      </c>
      <c r="Z1313" s="1">
        <v>1989.2917</v>
      </c>
      <c r="AA1313" s="2">
        <f t="shared" si="165"/>
        <v>1.4972259999999999</v>
      </c>
      <c r="AB1313">
        <v>74.8613</v>
      </c>
      <c r="AE1313">
        <v>1989.2499999999006</v>
      </c>
      <c r="AF1313">
        <v>-6.6246553901250893E-2</v>
      </c>
    </row>
    <row r="1314" spans="4:32" x14ac:dyDescent="0.35">
      <c r="D1314">
        <v>1.421608</v>
      </c>
      <c r="M1314">
        <f t="shared" si="166"/>
        <v>1313</v>
      </c>
      <c r="N1314">
        <f t="shared" si="167"/>
        <v>1989.3333333332339</v>
      </c>
      <c r="O1314">
        <f t="shared" si="162"/>
        <v>0</v>
      </c>
      <c r="P1314">
        <f t="array" ref="P1314">+SUM($G$2:$G$18*SIN(2*PI()*(N1314)*$B$1/$F$2:$F$18+$H$2:$H$18))</f>
        <v>-3.5646948652588384E-2</v>
      </c>
      <c r="Q1314">
        <f t="shared" si="163"/>
        <v>0</v>
      </c>
      <c r="R1314">
        <f t="shared" si="164"/>
        <v>2.6922195717757967E-2</v>
      </c>
      <c r="S1314">
        <f t="array" ref="S1314">+$B$2*SIN(R1314*$B$3+$B$4)+0*R1314+ SUM($J$2:$J$20*SIN(2*PI()*N1314*$I$2:$I$20+$K$2:$K$20))</f>
        <v>-6.0391650744794675E-2</v>
      </c>
      <c r="U1314" s="3">
        <f t="shared" si="160"/>
        <v>1989.3333333332339</v>
      </c>
      <c r="V1314" s="3">
        <f t="shared" si="161"/>
        <v>-0.427726</v>
      </c>
      <c r="Z1314" s="1">
        <v>1989.375</v>
      </c>
      <c r="AA1314" s="2">
        <f t="shared" si="165"/>
        <v>1.6128439999999999</v>
      </c>
      <c r="AB1314">
        <v>80.642200000000003</v>
      </c>
      <c r="AE1314">
        <v>1989.3333333332339</v>
      </c>
      <c r="AF1314">
        <v>-6.0391650744794675E-2</v>
      </c>
    </row>
    <row r="1315" spans="4:32" x14ac:dyDescent="0.35">
      <c r="D1315">
        <v>1.4972259999999999</v>
      </c>
      <c r="M1315">
        <f t="shared" si="166"/>
        <v>1314</v>
      </c>
      <c r="N1315">
        <f t="shared" si="167"/>
        <v>1989.4166666665672</v>
      </c>
      <c r="O1315">
        <f t="shared" si="162"/>
        <v>0</v>
      </c>
      <c r="P1315">
        <f t="array" ref="P1315">+SUM($G$2:$G$18*SIN(2*PI()*(N1315)*$B$1/$F$2:$F$18+$H$2:$H$18))</f>
        <v>-0.28166911186703214</v>
      </c>
      <c r="Q1315">
        <f t="shared" si="163"/>
        <v>0</v>
      </c>
      <c r="R1315">
        <f t="shared" si="164"/>
        <v>2.6880785586592366E-2</v>
      </c>
      <c r="S1315">
        <f t="array" ref="S1315">+$B$2*SIN(R1315*$B$3+$B$4)+0*R1315+ SUM($J$2:$J$20*SIN(2*PI()*N1315*$I$2:$I$20+$K$2:$K$20))</f>
        <v>-5.4542081797289914E-2</v>
      </c>
      <c r="U1315" s="3">
        <f t="shared" si="160"/>
        <v>1989.4166666665672</v>
      </c>
      <c r="V1315" s="3">
        <f t="shared" si="161"/>
        <v>-0.28283200000000003</v>
      </c>
      <c r="Z1315" s="1">
        <v>1989.4583</v>
      </c>
      <c r="AA1315" s="2">
        <f t="shared" si="165"/>
        <v>1.637694</v>
      </c>
      <c r="AB1315">
        <v>81.884699999999995</v>
      </c>
      <c r="AE1315">
        <v>1989.4166666665672</v>
      </c>
      <c r="AF1315">
        <v>-5.4542081797289914E-2</v>
      </c>
    </row>
    <row r="1316" spans="4:32" x14ac:dyDescent="0.35">
      <c r="D1316">
        <v>1.6128439999999999</v>
      </c>
      <c r="M1316">
        <f t="shared" si="166"/>
        <v>1315</v>
      </c>
      <c r="N1316">
        <f t="shared" si="167"/>
        <v>1989.4999999999004</v>
      </c>
      <c r="O1316">
        <f t="shared" si="162"/>
        <v>0</v>
      </c>
      <c r="P1316">
        <f t="array" ref="P1316">+SUM($G$2:$G$18*SIN(2*PI()*(N1316)*$B$1/$F$2:$F$18+$H$2:$H$18))</f>
        <v>-0.67440995973541684</v>
      </c>
      <c r="Q1316">
        <f t="shared" si="163"/>
        <v>0</v>
      </c>
      <c r="R1316">
        <f t="shared" si="164"/>
        <v>2.6839439150044435E-2</v>
      </c>
      <c r="S1316">
        <f t="array" ref="S1316">+$B$2*SIN(R1316*$B$3+$B$4)+0*R1316+ SUM($J$2:$J$20*SIN(2*PI()*N1316*$I$2:$I$20+$K$2:$K$20))</f>
        <v>-4.8698204648465644E-2</v>
      </c>
      <c r="U1316" s="3">
        <f t="shared" si="160"/>
        <v>1989.4999999999004</v>
      </c>
      <c r="V1316" s="3">
        <f t="shared" si="161"/>
        <v>-0.404088</v>
      </c>
      <c r="Z1316" s="1">
        <v>1989.5417</v>
      </c>
      <c r="AA1316" s="2">
        <f t="shared" si="165"/>
        <v>1.3317679999999998</v>
      </c>
      <c r="AB1316">
        <v>66.588399999999993</v>
      </c>
      <c r="AE1316">
        <v>1989.4999999999004</v>
      </c>
      <c r="AF1316">
        <v>-4.8698204648465644E-2</v>
      </c>
    </row>
    <row r="1317" spans="4:32" x14ac:dyDescent="0.35">
      <c r="D1317">
        <v>1.637694</v>
      </c>
      <c r="M1317">
        <f t="shared" si="166"/>
        <v>1316</v>
      </c>
      <c r="N1317">
        <f t="shared" si="167"/>
        <v>1989.5833333332337</v>
      </c>
      <c r="O1317">
        <f t="shared" si="162"/>
        <v>0</v>
      </c>
      <c r="P1317">
        <f t="array" ref="P1317">+SUM($G$2:$G$18*SIN(2*PI()*(N1317)*$B$1/$F$2:$F$18+$H$2:$H$18))</f>
        <v>-0.36639579544453671</v>
      </c>
      <c r="Q1317">
        <f t="shared" si="163"/>
        <v>0</v>
      </c>
      <c r="R1317">
        <f t="shared" si="164"/>
        <v>2.679815631014288E-2</v>
      </c>
      <c r="S1317">
        <f t="array" ref="S1317">+$B$2*SIN(R1317*$B$3+$B$4)+0*R1317+ SUM($J$2:$J$20*SIN(2*PI()*N1317*$I$2:$I$20+$K$2:$K$20))</f>
        <v>-4.2860373780011118E-2</v>
      </c>
      <c r="U1317" s="3">
        <f t="shared" si="160"/>
        <v>1989.5833333332337</v>
      </c>
      <c r="V1317" s="3">
        <f t="shared" si="161"/>
        <v>-0.43611400000000006</v>
      </c>
      <c r="Z1317" s="1">
        <v>1989.625</v>
      </c>
      <c r="AA1317" s="2">
        <f t="shared" si="165"/>
        <v>1.2673840000000001</v>
      </c>
      <c r="AB1317">
        <v>63.369199999999999</v>
      </c>
      <c r="AE1317">
        <v>1989.5833333332337</v>
      </c>
      <c r="AF1317">
        <v>-4.2860373780011118E-2</v>
      </c>
    </row>
    <row r="1318" spans="4:32" x14ac:dyDescent="0.35">
      <c r="D1318">
        <v>1.3317679999999998</v>
      </c>
      <c r="M1318">
        <f t="shared" si="166"/>
        <v>1317</v>
      </c>
      <c r="N1318">
        <f t="shared" si="167"/>
        <v>1989.6666666665669</v>
      </c>
      <c r="O1318">
        <f t="shared" si="162"/>
        <v>0</v>
      </c>
      <c r="P1318">
        <f t="array" ref="P1318">+SUM($G$2:$G$18*SIN(2*PI()*(N1318)*$B$1/$F$2:$F$18+$H$2:$H$18))</f>
        <v>0.16397996004010079</v>
      </c>
      <c r="Q1318">
        <f t="shared" si="163"/>
        <v>0</v>
      </c>
      <c r="R1318">
        <f t="shared" si="164"/>
        <v>2.6756936969067092E-2</v>
      </c>
      <c r="S1318">
        <f t="array" ref="S1318">+$B$2*SIN(R1318*$B$3+$B$4)+0*R1318+ SUM($J$2:$J$20*SIN(2*PI()*N1318*$I$2:$I$20+$K$2:$K$20))</f>
        <v>-3.7028940562330637E-2</v>
      </c>
      <c r="U1318" s="3">
        <f t="shared" si="160"/>
        <v>1989.6666666665669</v>
      </c>
      <c r="V1318" s="3">
        <f t="shared" si="161"/>
        <v>-0.371224</v>
      </c>
      <c r="Z1318" s="1">
        <v>1989.7083</v>
      </c>
      <c r="AA1318" s="2">
        <f t="shared" si="165"/>
        <v>1.4276140000000002</v>
      </c>
      <c r="AB1318">
        <v>71.380700000000004</v>
      </c>
      <c r="AE1318">
        <v>1989.6666666665669</v>
      </c>
      <c r="AF1318">
        <v>-3.7028940562330637E-2</v>
      </c>
    </row>
    <row r="1319" spans="4:32" x14ac:dyDescent="0.35">
      <c r="D1319">
        <v>1.2673840000000001</v>
      </c>
      <c r="M1319">
        <f t="shared" si="166"/>
        <v>1318</v>
      </c>
      <c r="N1319">
        <f t="shared" si="167"/>
        <v>1989.7499999999002</v>
      </c>
      <c r="O1319">
        <f t="shared" si="162"/>
        <v>0</v>
      </c>
      <c r="P1319">
        <f t="array" ref="P1319">+SUM($G$2:$G$18*SIN(2*PI()*(N1319)*$B$1/$F$2:$F$18+$H$2:$H$18))</f>
        <v>0.24094647993525201</v>
      </c>
      <c r="Q1319">
        <f t="shared" si="163"/>
        <v>0</v>
      </c>
      <c r="R1319">
        <f t="shared" si="164"/>
        <v>2.6715781029146932E-2</v>
      </c>
      <c r="S1319">
        <f t="array" ref="S1319">+$B$2*SIN(R1319*$B$3+$B$4)+0*R1319+ SUM($J$2:$J$20*SIN(2*PI()*N1319*$I$2:$I$20+$K$2:$K$20))</f>
        <v>-3.1204253251696443E-2</v>
      </c>
      <c r="U1319" s="3">
        <f t="shared" si="160"/>
        <v>1989.7499999999002</v>
      </c>
      <c r="V1319" s="3">
        <f t="shared" si="161"/>
        <v>-0.44479000000000002</v>
      </c>
      <c r="Z1319" s="1">
        <v>1989.7917</v>
      </c>
      <c r="AA1319" s="2">
        <f t="shared" si="165"/>
        <v>1.4632239999999999</v>
      </c>
      <c r="AB1319">
        <v>73.161199999999994</v>
      </c>
      <c r="AE1319">
        <v>1989.7499999999002</v>
      </c>
      <c r="AF1319">
        <v>-3.1204253251696443E-2</v>
      </c>
    </row>
    <row r="1320" spans="4:32" x14ac:dyDescent="0.35">
      <c r="D1320">
        <v>1.4276140000000002</v>
      </c>
      <c r="M1320">
        <f t="shared" si="166"/>
        <v>1319</v>
      </c>
      <c r="N1320">
        <f t="shared" si="167"/>
        <v>1989.8333333332334</v>
      </c>
      <c r="O1320">
        <f t="shared" si="162"/>
        <v>0</v>
      </c>
      <c r="P1320">
        <f t="array" ref="P1320">+SUM($G$2:$G$18*SIN(2*PI()*(N1320)*$B$1/$F$2:$F$18+$H$2:$H$18))</f>
        <v>-0.2849370328428551</v>
      </c>
      <c r="Q1320">
        <f t="shared" si="163"/>
        <v>0</v>
      </c>
      <c r="R1320">
        <f t="shared" si="164"/>
        <v>2.6674688392862488E-2</v>
      </c>
      <c r="S1320">
        <f t="array" ref="S1320">+$B$2*SIN(R1320*$B$3+$B$4)+0*R1320+ SUM($J$2:$J$20*SIN(2*PI()*N1320*$I$2:$I$20+$K$2:$K$20))</f>
        <v>-2.5386656987783092E-2</v>
      </c>
      <c r="U1320" s="3">
        <f t="shared" si="160"/>
        <v>1989.8333333332334</v>
      </c>
      <c r="V1320" s="3">
        <f t="shared" si="161"/>
        <v>-0.33835999999999999</v>
      </c>
      <c r="Z1320" s="1">
        <v>1989.875</v>
      </c>
      <c r="AA1320" s="2">
        <f t="shared" si="165"/>
        <v>1.274222</v>
      </c>
      <c r="AB1320">
        <v>63.711100000000002</v>
      </c>
      <c r="AE1320">
        <v>1989.8333333332334</v>
      </c>
      <c r="AF1320">
        <v>-2.5386656987783092E-2</v>
      </c>
    </row>
    <row r="1321" spans="4:32" x14ac:dyDescent="0.35">
      <c r="D1321">
        <v>1.4632239999999999</v>
      </c>
      <c r="M1321">
        <f t="shared" si="166"/>
        <v>1320</v>
      </c>
      <c r="N1321">
        <f t="shared" si="167"/>
        <v>1989.9166666665667</v>
      </c>
      <c r="O1321">
        <f t="shared" si="162"/>
        <v>0</v>
      </c>
      <c r="P1321">
        <f t="array" ref="P1321">+SUM($G$2:$G$18*SIN(2*PI()*(N1321)*$B$1/$F$2:$F$18+$H$2:$H$18))</f>
        <v>-0.83629630589389448</v>
      </c>
      <c r="Q1321">
        <f t="shared" si="163"/>
        <v>0</v>
      </c>
      <c r="R1321">
        <f t="shared" si="164"/>
        <v>2.6633658962843844E-2</v>
      </c>
      <c r="S1321">
        <f t="array" ref="S1321">+$B$2*SIN(R1321*$B$3+$B$4)+0*R1321+ SUM($J$2:$J$20*SIN(2*PI()*N1321*$I$2:$I$20+$K$2:$K$20))</f>
        <v>-1.9576493791591064E-2</v>
      </c>
      <c r="U1321" s="3">
        <f t="shared" si="160"/>
        <v>1989.9166666665667</v>
      </c>
      <c r="V1321" s="3">
        <f t="shared" si="161"/>
        <v>-0.37500999999999995</v>
      </c>
      <c r="Z1321" s="1">
        <v>1989.9583</v>
      </c>
      <c r="AA1321" s="2">
        <f t="shared" si="165"/>
        <v>1.260602</v>
      </c>
      <c r="AB1321">
        <v>63.030099999999997</v>
      </c>
      <c r="AE1321">
        <v>1989.9166666665667</v>
      </c>
      <c r="AF1321">
        <v>-1.9576493791591064E-2</v>
      </c>
    </row>
    <row r="1322" spans="4:32" x14ac:dyDescent="0.35">
      <c r="D1322">
        <v>1.274222</v>
      </c>
      <c r="M1322">
        <f t="shared" si="166"/>
        <v>1321</v>
      </c>
      <c r="N1322">
        <f t="shared" si="167"/>
        <v>1989.9999999999</v>
      </c>
      <c r="O1322">
        <f t="shared" si="162"/>
        <v>36.637715116165623</v>
      </c>
      <c r="P1322">
        <f t="array" ref="P1322">+SUM($G$2:$G$18*SIN(2*PI()*(N1322)*$B$1/$F$2:$F$18+$H$2:$H$18))</f>
        <v>-0.58995664083820998</v>
      </c>
      <c r="Q1322">
        <f t="shared" si="163"/>
        <v>-21.61466333792038</v>
      </c>
      <c r="R1322">
        <f t="shared" si="164"/>
        <v>-6.6537057316934239E-3</v>
      </c>
      <c r="S1322">
        <f t="array" ref="S1322">+$B$2*SIN(R1322*$B$3+$B$4)+0*R1322+ SUM($J$2:$J$20*SIN(2*PI()*N1322*$I$2:$I$20+$K$2:$K$20))</f>
        <v>-3.3195474004347768E-2</v>
      </c>
      <c r="U1322" s="3">
        <f t="shared" si="160"/>
        <v>1989.9999999999</v>
      </c>
      <c r="V1322" s="3">
        <f t="shared" si="161"/>
        <v>-0.35780999999999996</v>
      </c>
      <c r="Z1322" s="1">
        <v>1990.0417</v>
      </c>
      <c r="AA1322" s="2">
        <f t="shared" si="165"/>
        <v>1.3762080000000001</v>
      </c>
      <c r="AB1322">
        <v>68.810400000000001</v>
      </c>
      <c r="AE1322">
        <v>1989.9999999999</v>
      </c>
      <c r="AF1322">
        <v>-3.3195474004347768E-2</v>
      </c>
    </row>
    <row r="1323" spans="4:32" x14ac:dyDescent="0.35">
      <c r="D1323">
        <v>1.260602</v>
      </c>
      <c r="M1323">
        <f t="shared" si="166"/>
        <v>1322</v>
      </c>
      <c r="N1323">
        <f t="shared" si="167"/>
        <v>1990.0833333332332</v>
      </c>
      <c r="O1323">
        <f t="shared" si="162"/>
        <v>0</v>
      </c>
      <c r="P1323">
        <f t="array" ref="P1323">+SUM($G$2:$G$18*SIN(2*PI()*(N1323)*$B$1/$F$2:$F$18+$H$2:$H$18))</f>
        <v>-5.3789804707124661E-2</v>
      </c>
      <c r="Q1323">
        <f t="shared" si="163"/>
        <v>0</v>
      </c>
      <c r="R1323">
        <f t="shared" si="164"/>
        <v>-6.6434713945696874E-3</v>
      </c>
      <c r="S1323">
        <f t="array" ref="S1323">+$B$2*SIN(R1323*$B$3+$B$4)+0*R1323+ SUM($J$2:$J$20*SIN(2*PI()*N1323*$I$2:$I$20+$K$2:$K$20))</f>
        <v>-3.4643932246477466E-2</v>
      </c>
      <c r="U1323" s="3">
        <f t="shared" si="160"/>
        <v>1990.0833333332332</v>
      </c>
      <c r="V1323" s="3">
        <f t="shared" si="161"/>
        <v>-0.12368999999999999</v>
      </c>
      <c r="Z1323" s="1">
        <v>1990.125</v>
      </c>
      <c r="AA1323" s="2">
        <f t="shared" si="165"/>
        <v>1.393356</v>
      </c>
      <c r="AB1323">
        <v>69.6678</v>
      </c>
      <c r="AE1323">
        <v>1990.0833333332332</v>
      </c>
      <c r="AF1323">
        <v>-3.4643932246477466E-2</v>
      </c>
    </row>
    <row r="1324" spans="4:32" x14ac:dyDescent="0.35">
      <c r="D1324">
        <v>1.3762080000000001</v>
      </c>
      <c r="M1324">
        <f t="shared" si="166"/>
        <v>1323</v>
      </c>
      <c r="N1324">
        <f t="shared" si="167"/>
        <v>1990.1666666665665</v>
      </c>
      <c r="O1324">
        <f t="shared" si="162"/>
        <v>0</v>
      </c>
      <c r="P1324">
        <f t="array" ref="P1324">+SUM($G$2:$G$18*SIN(2*PI()*(N1324)*$B$1/$F$2:$F$18+$H$2:$H$18))</f>
        <v>-0.15749933130272797</v>
      </c>
      <c r="Q1324">
        <f t="shared" si="163"/>
        <v>0</v>
      </c>
      <c r="R1324">
        <f t="shared" si="164"/>
        <v>-6.6332527992987748E-3</v>
      </c>
      <c r="S1324">
        <f t="array" ref="S1324">+$B$2*SIN(R1324*$B$3+$B$4)+0*R1324+ SUM($J$2:$J$20*SIN(2*PI()*N1324*$I$2:$I$20+$K$2:$K$20))</f>
        <v>-3.6090034314047427E-2</v>
      </c>
      <c r="U1324" s="3">
        <f t="shared" si="160"/>
        <v>1990.1666666665665</v>
      </c>
      <c r="V1324" s="3">
        <f t="shared" si="161"/>
        <v>1.6579999999999998E-2</v>
      </c>
      <c r="Z1324" s="1">
        <v>1990.2083</v>
      </c>
      <c r="AA1324" s="2">
        <f t="shared" si="165"/>
        <v>1.2274259999999999</v>
      </c>
      <c r="AB1324">
        <v>61.371299999999998</v>
      </c>
      <c r="AE1324">
        <v>1990.1666666665665</v>
      </c>
      <c r="AF1324">
        <v>-3.6090034314047427E-2</v>
      </c>
    </row>
    <row r="1325" spans="4:32" x14ac:dyDescent="0.35">
      <c r="D1325">
        <v>1.393356</v>
      </c>
      <c r="M1325">
        <f t="shared" si="166"/>
        <v>1324</v>
      </c>
      <c r="N1325">
        <f t="shared" si="167"/>
        <v>1990.2499999998997</v>
      </c>
      <c r="O1325">
        <f t="shared" si="162"/>
        <v>0</v>
      </c>
      <c r="P1325">
        <f t="array" ref="P1325">+SUM($G$2:$G$18*SIN(2*PI()*(N1325)*$B$1/$F$2:$F$18+$H$2:$H$18))</f>
        <v>-0.43732903916606392</v>
      </c>
      <c r="Q1325">
        <f t="shared" si="163"/>
        <v>0</v>
      </c>
      <c r="R1325">
        <f t="shared" si="164"/>
        <v>-6.6230499216674982E-3</v>
      </c>
      <c r="S1325">
        <f t="array" ref="S1325">+$B$2*SIN(R1325*$B$3+$B$4)+0*R1325+ SUM($J$2:$J$20*SIN(2*PI()*N1325*$I$2:$I$20+$K$2:$K$20))</f>
        <v>-3.7533778888681729E-2</v>
      </c>
      <c r="U1325" s="3">
        <f t="shared" si="160"/>
        <v>1990.2499999998997</v>
      </c>
      <c r="V1325" s="3">
        <f t="shared" si="161"/>
        <v>-0.153918</v>
      </c>
      <c r="Z1325" s="1">
        <v>1990.2917</v>
      </c>
      <c r="AA1325" s="2">
        <f t="shared" si="165"/>
        <v>1.1614899999999999</v>
      </c>
      <c r="AB1325">
        <v>58.0745</v>
      </c>
      <c r="AE1325">
        <v>1990.2499999998997</v>
      </c>
      <c r="AF1325">
        <v>-3.7533778888681729E-2</v>
      </c>
    </row>
    <row r="1326" spans="4:32" x14ac:dyDescent="0.35">
      <c r="D1326">
        <v>1.2274259999999999</v>
      </c>
      <c r="M1326">
        <f t="shared" si="166"/>
        <v>1325</v>
      </c>
      <c r="N1326">
        <f t="shared" si="167"/>
        <v>1990.333333333233</v>
      </c>
      <c r="O1326">
        <f t="shared" si="162"/>
        <v>0</v>
      </c>
      <c r="P1326">
        <f t="array" ref="P1326">+SUM($G$2:$G$18*SIN(2*PI()*(N1326)*$B$1/$F$2:$F$18+$H$2:$H$18))</f>
        <v>-0.25482279473677089</v>
      </c>
      <c r="Q1326">
        <f t="shared" si="163"/>
        <v>0</v>
      </c>
      <c r="R1326">
        <f t="shared" si="164"/>
        <v>-6.6128627374999124E-3</v>
      </c>
      <c r="S1326">
        <f t="array" ref="S1326">+$B$2*SIN(R1326*$B$3+$B$4)+0*R1326+ SUM($J$2:$J$20*SIN(2*PI()*N1326*$I$2:$I$20+$K$2:$K$20))</f>
        <v>-3.8975164694302178E-2</v>
      </c>
      <c r="U1326" s="3">
        <f t="shared" si="160"/>
        <v>1990.333333333233</v>
      </c>
      <c r="V1326" s="3">
        <f t="shared" si="161"/>
        <v>-0.41210799999999997</v>
      </c>
      <c r="Z1326" s="1">
        <v>1990.375</v>
      </c>
      <c r="AA1326" s="2">
        <f t="shared" si="165"/>
        <v>1.1478660000000001</v>
      </c>
      <c r="AB1326">
        <v>57.393300000000004</v>
      </c>
      <c r="AE1326">
        <v>1990.333333333233</v>
      </c>
      <c r="AF1326">
        <v>-3.8975164694302178E-2</v>
      </c>
    </row>
    <row r="1327" spans="4:32" x14ac:dyDescent="0.35">
      <c r="D1327">
        <v>1.1614899999999999</v>
      </c>
      <c r="M1327">
        <f t="shared" si="166"/>
        <v>1326</v>
      </c>
      <c r="N1327">
        <f t="shared" si="167"/>
        <v>1990.4166666665662</v>
      </c>
      <c r="O1327">
        <f t="shared" si="162"/>
        <v>0</v>
      </c>
      <c r="P1327">
        <f t="array" ref="P1327">+SUM($G$2:$G$18*SIN(2*PI()*(N1327)*$B$1/$F$2:$F$18+$H$2:$H$18))</f>
        <v>0.18600918109834591</v>
      </c>
      <c r="Q1327">
        <f t="shared" si="163"/>
        <v>0</v>
      </c>
      <c r="R1327">
        <f t="shared" si="164"/>
        <v>-6.6026912226572589E-3</v>
      </c>
      <c r="S1327">
        <f t="array" ref="S1327">+$B$2*SIN(R1327*$B$3+$B$4)+0*R1327+ SUM($J$2:$J$20*SIN(2*PI()*N1327*$I$2:$I$20+$K$2:$K$20))</f>
        <v>-4.041419049684266E-2</v>
      </c>
      <c r="U1327" s="3">
        <f t="shared" si="160"/>
        <v>1990.4166666665662</v>
      </c>
      <c r="V1327" s="3">
        <f t="shared" si="161"/>
        <v>-0.16414999999999999</v>
      </c>
      <c r="Z1327" s="1">
        <v>1990.4583</v>
      </c>
      <c r="AA1327" s="2">
        <f t="shared" si="165"/>
        <v>0.80346999999999991</v>
      </c>
      <c r="AB1327">
        <v>40.173499999999997</v>
      </c>
      <c r="AE1327">
        <v>1990.4166666665662</v>
      </c>
      <c r="AF1327">
        <v>-4.041419049684266E-2</v>
      </c>
    </row>
    <row r="1328" spans="4:32" x14ac:dyDescent="0.35">
      <c r="D1328">
        <v>1.1478660000000001</v>
      </c>
      <c r="M1328">
        <f t="shared" si="166"/>
        <v>1327</v>
      </c>
      <c r="N1328">
        <f t="shared" si="167"/>
        <v>1990.4999999998995</v>
      </c>
      <c r="O1328">
        <f t="shared" si="162"/>
        <v>0</v>
      </c>
      <c r="P1328">
        <f t="array" ref="P1328">+SUM($G$2:$G$18*SIN(2*PI()*(N1328)*$B$1/$F$2:$F$18+$H$2:$H$18))</f>
        <v>0.41218923241152039</v>
      </c>
      <c r="Q1328">
        <f t="shared" si="163"/>
        <v>0</v>
      </c>
      <c r="R1328">
        <f t="shared" si="164"/>
        <v>-6.5925353530379071E-3</v>
      </c>
      <c r="S1328">
        <f t="array" ref="S1328">+$B$2*SIN(R1328*$B$3+$B$4)+0*R1328+ SUM($J$2:$J$20*SIN(2*PI()*N1328*$I$2:$I$20+$K$2:$K$20))</f>
        <v>-4.1850855103959764E-2</v>
      </c>
      <c r="U1328" s="3">
        <f t="shared" si="160"/>
        <v>1990.4999999998995</v>
      </c>
      <c r="V1328" s="3">
        <f t="shared" si="161"/>
        <v>-4.0804E-2</v>
      </c>
      <c r="Z1328" s="1">
        <v>1990.5417</v>
      </c>
      <c r="AA1328" s="2">
        <f t="shared" si="165"/>
        <v>0.50368599999999997</v>
      </c>
      <c r="AB1328">
        <v>25.1843</v>
      </c>
      <c r="AE1328">
        <v>1990.4999999998995</v>
      </c>
      <c r="AF1328">
        <v>-4.1850855103959764E-2</v>
      </c>
    </row>
    <row r="1329" spans="4:32" x14ac:dyDescent="0.35">
      <c r="D1329">
        <v>0.80346999999999991</v>
      </c>
      <c r="M1329">
        <f t="shared" si="166"/>
        <v>1328</v>
      </c>
      <c r="N1329">
        <f t="shared" si="167"/>
        <v>1990.5833333332328</v>
      </c>
      <c r="O1329">
        <f t="shared" si="162"/>
        <v>0</v>
      </c>
      <c r="P1329">
        <f t="array" ref="P1329">+SUM($G$2:$G$18*SIN(2*PI()*(N1329)*$B$1/$F$2:$F$18+$H$2:$H$18))</f>
        <v>-1.7992238554493181E-3</v>
      </c>
      <c r="Q1329">
        <f t="shared" si="163"/>
        <v>0</v>
      </c>
      <c r="R1329">
        <f t="shared" si="164"/>
        <v>-6.5823951045772995E-3</v>
      </c>
      <c r="S1329">
        <f t="array" ref="S1329">+$B$2*SIN(R1329*$B$3+$B$4)+0*R1329+ SUM($J$2:$J$20*SIN(2*PI()*N1329*$I$2:$I$20+$K$2:$K$20))</f>
        <v>-4.3285157364749832E-2</v>
      </c>
      <c r="U1329" s="3">
        <f t="shared" si="160"/>
        <v>1990.5833333332328</v>
      </c>
      <c r="V1329" s="3">
        <f t="shared" si="161"/>
        <v>0.104078</v>
      </c>
      <c r="Z1329" s="1">
        <v>1990.625</v>
      </c>
      <c r="AA1329" s="2">
        <f t="shared" si="165"/>
        <v>0.43774799999999997</v>
      </c>
      <c r="AB1329">
        <v>21.8874</v>
      </c>
      <c r="AE1329">
        <v>1990.5833333332328</v>
      </c>
      <c r="AF1329">
        <v>-4.3285157364749832E-2</v>
      </c>
    </row>
    <row r="1330" spans="4:32" x14ac:dyDescent="0.35">
      <c r="D1330">
        <v>0.50368599999999997</v>
      </c>
      <c r="M1330">
        <f t="shared" si="166"/>
        <v>1329</v>
      </c>
      <c r="N1330">
        <f t="shared" si="167"/>
        <v>1990.666666666566</v>
      </c>
      <c r="O1330">
        <f t="shared" si="162"/>
        <v>0</v>
      </c>
      <c r="P1330">
        <f t="array" ref="P1330">+SUM($G$2:$G$18*SIN(2*PI()*(N1330)*$B$1/$F$2:$F$18+$H$2:$H$18))</f>
        <v>-0.58388032304389426</v>
      </c>
      <c r="Q1330">
        <f t="shared" si="163"/>
        <v>0</v>
      </c>
      <c r="R1330">
        <f t="shared" si="164"/>
        <v>-6.5722704532478922E-3</v>
      </c>
      <c r="S1330">
        <f t="array" ref="S1330">+$B$2*SIN(R1330*$B$3+$B$4)+0*R1330+ SUM($J$2:$J$20*SIN(2*PI()*N1330*$I$2:$I$20+$K$2:$K$20))</f>
        <v>-4.4717096169463948E-2</v>
      </c>
      <c r="U1330" s="3">
        <f t="shared" si="160"/>
        <v>1990.666666666566</v>
      </c>
      <c r="V1330" s="3">
        <f t="shared" si="161"/>
        <v>0.26741799999999999</v>
      </c>
      <c r="Z1330" s="1">
        <v>1990.7083</v>
      </c>
      <c r="AA1330" s="2">
        <f t="shared" si="165"/>
        <v>1.9504000000000001E-2</v>
      </c>
      <c r="AB1330">
        <v>0.97519999999999996</v>
      </c>
      <c r="AE1330">
        <v>1990.666666666566</v>
      </c>
      <c r="AF1330">
        <v>-4.4717096169463948E-2</v>
      </c>
    </row>
    <row r="1331" spans="4:32" x14ac:dyDescent="0.35">
      <c r="D1331">
        <v>0.43774799999999997</v>
      </c>
      <c r="M1331">
        <f t="shared" si="166"/>
        <v>1330</v>
      </c>
      <c r="N1331">
        <f t="shared" si="167"/>
        <v>1990.7499999998993</v>
      </c>
      <c r="O1331">
        <f t="shared" si="162"/>
        <v>0</v>
      </c>
      <c r="P1331">
        <f t="array" ref="P1331">+SUM($G$2:$G$18*SIN(2*PI()*(N1331)*$B$1/$F$2:$F$18+$H$2:$H$18))</f>
        <v>-0.4001219044509603</v>
      </c>
      <c r="Q1331">
        <f t="shared" si="163"/>
        <v>0</v>
      </c>
      <c r="R1331">
        <f t="shared" si="164"/>
        <v>-6.5621613750590987E-3</v>
      </c>
      <c r="S1331">
        <f t="array" ref="S1331">+$B$2*SIN(R1331*$B$3+$B$4)+0*R1331+ SUM($J$2:$J$20*SIN(2*PI()*N1331*$I$2:$I$20+$K$2:$K$20))</f>
        <v>-4.6146670449225276E-2</v>
      </c>
      <c r="U1331" s="3">
        <f t="shared" si="160"/>
        <v>1990.7499999998993</v>
      </c>
      <c r="V1331" s="3">
        <f t="shared" si="161"/>
        <v>0.32922199999999996</v>
      </c>
      <c r="Z1331" s="1">
        <v>1990.7917</v>
      </c>
      <c r="AA1331" s="2">
        <f t="shared" si="165"/>
        <v>-0.49874600000000002</v>
      </c>
      <c r="AB1331">
        <v>-24.9373</v>
      </c>
      <c r="AE1331">
        <v>1990.7499999998993</v>
      </c>
      <c r="AF1331">
        <v>-4.6146670449225276E-2</v>
      </c>
    </row>
    <row r="1332" spans="4:32" x14ac:dyDescent="0.35">
      <c r="D1332">
        <v>1.9504000000000001E-2</v>
      </c>
      <c r="M1332">
        <f t="shared" si="166"/>
        <v>1331</v>
      </c>
      <c r="N1332">
        <f t="shared" si="167"/>
        <v>1990.8333333332325</v>
      </c>
      <c r="O1332">
        <f t="shared" si="162"/>
        <v>0</v>
      </c>
      <c r="P1332">
        <f t="array" ref="P1332">+SUM($G$2:$G$18*SIN(2*PI()*(N1332)*$B$1/$F$2:$F$18+$H$2:$H$18))</f>
        <v>0.10628632571629887</v>
      </c>
      <c r="Q1332">
        <f t="shared" si="163"/>
        <v>0</v>
      </c>
      <c r="R1332">
        <f t="shared" si="164"/>
        <v>-6.5520678460572346E-3</v>
      </c>
      <c r="S1332">
        <f t="array" ref="S1332">+$B$2*SIN(R1332*$B$3+$B$4)+0*R1332+ SUM($J$2:$J$20*SIN(2*PI()*N1332*$I$2:$I$20+$K$2:$K$20))</f>
        <v>-4.7573879175748436E-2</v>
      </c>
      <c r="U1332" s="3">
        <f t="shared" si="160"/>
        <v>1990.8333333332325</v>
      </c>
      <c r="V1332" s="3">
        <f t="shared" si="161"/>
        <v>0.49102400000000002</v>
      </c>
      <c r="Z1332" s="1">
        <v>1990.875</v>
      </c>
      <c r="AA1332" s="2">
        <f t="shared" si="165"/>
        <v>-0.7200700000000001</v>
      </c>
      <c r="AB1332">
        <v>-36.003500000000003</v>
      </c>
      <c r="AE1332">
        <v>1990.8333333332325</v>
      </c>
      <c r="AF1332">
        <v>-4.7573879175748436E-2</v>
      </c>
    </row>
    <row r="1333" spans="4:32" x14ac:dyDescent="0.35">
      <c r="D1333">
        <v>-0.49874600000000002</v>
      </c>
      <c r="M1333">
        <f t="shared" si="166"/>
        <v>1332</v>
      </c>
      <c r="N1333">
        <f t="shared" si="167"/>
        <v>1990.9166666665658</v>
      </c>
      <c r="O1333">
        <f t="shared" si="162"/>
        <v>0</v>
      </c>
      <c r="P1333">
        <f t="array" ref="P1333">+SUM($G$2:$G$18*SIN(2*PI()*(N1333)*$B$1/$F$2:$F$18+$H$2:$H$18))</f>
        <v>0.1043353195215948</v>
      </c>
      <c r="Q1333">
        <f t="shared" si="163"/>
        <v>0</v>
      </c>
      <c r="R1333">
        <f t="shared" si="164"/>
        <v>-6.5419898423254592E-3</v>
      </c>
      <c r="S1333">
        <f t="array" ref="S1333">+$B$2*SIN(R1333*$B$3+$B$4)+0*R1333+ SUM($J$2:$J$20*SIN(2*PI()*N1333*$I$2:$I$20+$K$2:$K$20))</f>
        <v>-4.8998721361058831E-2</v>
      </c>
      <c r="U1333" s="3">
        <f t="shared" si="160"/>
        <v>1990.9166666665658</v>
      </c>
      <c r="V1333" s="3">
        <f t="shared" si="161"/>
        <v>0.30513000000000001</v>
      </c>
      <c r="Z1333" s="1">
        <v>1990.9583</v>
      </c>
      <c r="AA1333" s="2">
        <f t="shared" si="165"/>
        <v>-0.63524199999999997</v>
      </c>
      <c r="AB1333">
        <v>-31.7621</v>
      </c>
      <c r="AE1333">
        <v>1990.9166666665658</v>
      </c>
      <c r="AF1333">
        <v>-4.8998721361058831E-2</v>
      </c>
    </row>
    <row r="1334" spans="4:32" x14ac:dyDescent="0.35">
      <c r="D1334">
        <v>-0.7200700000000001</v>
      </c>
      <c r="M1334">
        <f t="shared" si="166"/>
        <v>1333</v>
      </c>
      <c r="N1334">
        <f t="shared" si="167"/>
        <v>1990.999999999899</v>
      </c>
      <c r="O1334">
        <f t="shared" si="162"/>
        <v>36.637715116165623</v>
      </c>
      <c r="P1334">
        <f t="array" ref="P1334">+SUM($G$2:$G$18*SIN(2*PI()*(N1334)*$B$1/$F$2:$F$18+$H$2:$H$18))</f>
        <v>-7.3259191871690416E-2</v>
      </c>
      <c r="Q1334">
        <f t="shared" si="163"/>
        <v>-2.6840494014355096</v>
      </c>
      <c r="R1334">
        <f t="shared" si="164"/>
        <v>-1.0660373583136599E-2</v>
      </c>
      <c r="S1334">
        <f t="array" ref="S1334">+$B$2*SIN(R1334*$B$3+$B$4)+0*R1334+ SUM($J$2:$J$20*SIN(2*PI()*N1334*$I$2:$I$20+$K$2:$K$20))</f>
        <v>0.49064970623582138</v>
      </c>
      <c r="U1334" s="3">
        <f t="shared" si="160"/>
        <v>1990.999999999899</v>
      </c>
      <c r="V1334" s="3">
        <f t="shared" si="161"/>
        <v>0.27154400000000001</v>
      </c>
      <c r="Z1334" s="1">
        <v>1991.0417</v>
      </c>
      <c r="AA1334" s="2">
        <f t="shared" si="165"/>
        <v>-0.59349400000000008</v>
      </c>
      <c r="AB1334">
        <v>-29.674700000000001</v>
      </c>
      <c r="AE1334">
        <v>1990.999999999899</v>
      </c>
      <c r="AF1334">
        <v>0.49064970623582138</v>
      </c>
    </row>
    <row r="1335" spans="4:32" x14ac:dyDescent="0.35">
      <c r="D1335">
        <v>-0.63524199999999997</v>
      </c>
      <c r="M1335">
        <f t="shared" si="166"/>
        <v>1334</v>
      </c>
      <c r="N1335">
        <f t="shared" si="167"/>
        <v>1991.0833333332323</v>
      </c>
      <c r="O1335">
        <f t="shared" si="162"/>
        <v>0</v>
      </c>
      <c r="P1335">
        <f t="array" ref="P1335">+SUM($G$2:$G$18*SIN(2*PI()*(N1335)*$B$1/$F$2:$F$18+$H$2:$H$18))</f>
        <v>2.9306089942213037E-2</v>
      </c>
      <c r="Q1335">
        <f t="shared" si="163"/>
        <v>0</v>
      </c>
      <c r="R1335">
        <f t="shared" si="164"/>
        <v>-1.0643976426196654E-2</v>
      </c>
      <c r="S1335">
        <f t="array" ref="S1335">+$B$2*SIN(R1335*$B$3+$B$4)+0*R1335+ SUM($J$2:$J$20*SIN(2*PI()*N1335*$I$2:$I$20+$K$2:$K$20))</f>
        <v>0.48888565202818018</v>
      </c>
      <c r="U1335" s="3">
        <f t="shared" si="160"/>
        <v>1991.0833333332323</v>
      </c>
      <c r="V1335" s="3">
        <f t="shared" si="161"/>
        <v>0.21334399999999998</v>
      </c>
      <c r="Z1335" s="1">
        <v>1991.125</v>
      </c>
      <c r="AA1335" s="2">
        <f t="shared" si="165"/>
        <v>-0.65174599999999994</v>
      </c>
      <c r="AB1335">
        <v>-32.587299999999999</v>
      </c>
      <c r="AE1335">
        <v>1991.0833333332323</v>
      </c>
      <c r="AF1335">
        <v>0.48888565202818018</v>
      </c>
    </row>
    <row r="1336" spans="4:32" x14ac:dyDescent="0.35">
      <c r="D1336">
        <v>-0.59349400000000008</v>
      </c>
      <c r="M1336">
        <f t="shared" si="166"/>
        <v>1335</v>
      </c>
      <c r="N1336">
        <f t="shared" si="167"/>
        <v>1991.1666666665656</v>
      </c>
      <c r="O1336">
        <f t="shared" si="162"/>
        <v>0</v>
      </c>
      <c r="P1336">
        <f t="array" ref="P1336">+SUM($G$2:$G$18*SIN(2*PI()*(N1336)*$B$1/$F$2:$F$18+$H$2:$H$18))</f>
        <v>0.39240020103245454</v>
      </c>
      <c r="Q1336">
        <f t="shared" si="163"/>
        <v>0</v>
      </c>
      <c r="R1336">
        <f t="shared" si="164"/>
        <v>-1.0627604490394937E-2</v>
      </c>
      <c r="S1336">
        <f t="array" ref="S1336">+$B$2*SIN(R1336*$B$3+$B$4)+0*R1336+ SUM($J$2:$J$20*SIN(2*PI()*N1336*$I$2:$I$20+$K$2:$K$20))</f>
        <v>0.48711966563828279</v>
      </c>
      <c r="U1336" s="3">
        <f t="shared" si="160"/>
        <v>1991.1666666665656</v>
      </c>
      <c r="V1336" s="3">
        <f t="shared" si="161"/>
        <v>5.3600000000000002E-2</v>
      </c>
      <c r="Z1336" s="1">
        <v>1991.2083</v>
      </c>
      <c r="AA1336" s="2">
        <f t="shared" si="165"/>
        <v>-0.64999799999999996</v>
      </c>
      <c r="AB1336">
        <v>-32.499899999999997</v>
      </c>
      <c r="AE1336">
        <v>1991.1666666665656</v>
      </c>
      <c r="AF1336">
        <v>0.48711966563828279</v>
      </c>
    </row>
    <row r="1337" spans="4:32" x14ac:dyDescent="0.35">
      <c r="D1337">
        <v>-0.65174599999999994</v>
      </c>
      <c r="M1337">
        <f t="shared" si="166"/>
        <v>1336</v>
      </c>
      <c r="N1337">
        <f t="shared" si="167"/>
        <v>1991.2499999998988</v>
      </c>
      <c r="O1337">
        <f t="shared" si="162"/>
        <v>0</v>
      </c>
      <c r="P1337">
        <f t="array" ref="P1337">+SUM($G$2:$G$18*SIN(2*PI()*(N1337)*$B$1/$F$2:$F$18+$H$2:$H$18))</f>
        <v>0.63298110671831997</v>
      </c>
      <c r="Q1337">
        <f t="shared" si="163"/>
        <v>0</v>
      </c>
      <c r="R1337">
        <f t="shared" si="164"/>
        <v>-1.0611257736937784E-2</v>
      </c>
      <c r="S1337">
        <f t="array" ref="S1337">+$B$2*SIN(R1337*$B$3+$B$4)+0*R1337+ SUM($J$2:$J$20*SIN(2*PI()*N1337*$I$2:$I$20+$K$2:$K$20))</f>
        <v>0.48535178104744364</v>
      </c>
      <c r="U1337" s="3">
        <f t="shared" si="160"/>
        <v>1991.2499999998988</v>
      </c>
      <c r="V1337" s="3">
        <f t="shared" si="161"/>
        <v>-0.153834</v>
      </c>
      <c r="Z1337" s="1">
        <v>1991.2917</v>
      </c>
      <c r="AA1337" s="2">
        <f t="shared" si="165"/>
        <v>-0.73286799999999996</v>
      </c>
      <c r="AB1337">
        <v>-36.6434</v>
      </c>
      <c r="AE1337">
        <v>1991.2499999998988</v>
      </c>
      <c r="AF1337">
        <v>0.48535178104744364</v>
      </c>
    </row>
    <row r="1338" spans="4:32" x14ac:dyDescent="0.35">
      <c r="D1338">
        <v>-0.64999799999999996</v>
      </c>
      <c r="M1338">
        <f t="shared" si="166"/>
        <v>1337</v>
      </c>
      <c r="N1338">
        <f t="shared" si="167"/>
        <v>1991.3333333332321</v>
      </c>
      <c r="O1338">
        <f t="shared" si="162"/>
        <v>0</v>
      </c>
      <c r="P1338">
        <f t="array" ref="P1338">+SUM($G$2:$G$18*SIN(2*PI()*(N1338)*$B$1/$F$2:$F$18+$H$2:$H$18))</f>
        <v>0.21640072469793509</v>
      </c>
      <c r="Q1338">
        <f t="shared" si="163"/>
        <v>0</v>
      </c>
      <c r="R1338">
        <f t="shared" si="164"/>
        <v>-1.05949361270912E-2</v>
      </c>
      <c r="S1338">
        <f t="array" ref="S1338">+$B$2*SIN(R1338*$B$3+$B$4)+0*R1338+ SUM($J$2:$J$20*SIN(2*PI()*N1338*$I$2:$I$20+$K$2:$K$20))</f>
        <v>0.48358203205589123</v>
      </c>
      <c r="U1338" s="3">
        <f t="shared" si="160"/>
        <v>1991.3333333332321</v>
      </c>
      <c r="V1338" s="3">
        <f t="shared" si="161"/>
        <v>-8.5884000000000002E-2</v>
      </c>
      <c r="Z1338" s="1">
        <v>1991.375</v>
      </c>
      <c r="AA1338" s="2">
        <f t="shared" si="165"/>
        <v>-1.021892</v>
      </c>
      <c r="AB1338">
        <v>-51.0946</v>
      </c>
      <c r="AE1338">
        <v>1991.3333333332321</v>
      </c>
      <c r="AF1338">
        <v>0.48358203205589123</v>
      </c>
    </row>
    <row r="1339" spans="4:32" x14ac:dyDescent="0.35">
      <c r="D1339">
        <v>-0.73286799999999996</v>
      </c>
      <c r="M1339">
        <f t="shared" si="166"/>
        <v>1338</v>
      </c>
      <c r="N1339">
        <f t="shared" si="167"/>
        <v>1991.4166666665653</v>
      </c>
      <c r="O1339">
        <f t="shared" si="162"/>
        <v>0</v>
      </c>
      <c r="P1339">
        <f t="array" ref="P1339">+SUM($G$2:$G$18*SIN(2*PI()*(N1339)*$B$1/$F$2:$F$18+$H$2:$H$18))</f>
        <v>-0.34063970793585496</v>
      </c>
      <c r="Q1339">
        <f t="shared" si="163"/>
        <v>0</v>
      </c>
      <c r="R1339">
        <f t="shared" si="164"/>
        <v>-1.0578639622180768E-2</v>
      </c>
      <c r="S1339">
        <f t="array" ref="S1339">+$B$2*SIN(R1339*$B$3+$B$4)+0*R1339+ SUM($J$2:$J$20*SIN(2*PI()*N1339*$I$2:$I$20+$K$2:$K$20))</f>
        <v>0.48181045228317204</v>
      </c>
      <c r="U1339" s="3">
        <f t="shared" ref="U1339:U1402" si="168">+N1339</f>
        <v>1991.4166666665653</v>
      </c>
      <c r="V1339" s="3">
        <f t="shared" ref="V1339:V1402" si="169">+D1297</f>
        <v>0.149752</v>
      </c>
      <c r="Z1339" s="1">
        <v>1991.4583</v>
      </c>
      <c r="AA1339" s="2">
        <f t="shared" si="165"/>
        <v>-1.2186079999999999</v>
      </c>
      <c r="AB1339">
        <v>-60.930399999999999</v>
      </c>
      <c r="AE1339">
        <v>1991.4166666665653</v>
      </c>
      <c r="AF1339">
        <v>0.48181045228317204</v>
      </c>
    </row>
    <row r="1340" spans="4:32" x14ac:dyDescent="0.35">
      <c r="D1340">
        <v>-1.021892</v>
      </c>
      <c r="M1340">
        <f t="shared" si="166"/>
        <v>1339</v>
      </c>
      <c r="N1340">
        <f t="shared" si="167"/>
        <v>1991.4999999998986</v>
      </c>
      <c r="O1340">
        <f t="shared" si="162"/>
        <v>0</v>
      </c>
      <c r="P1340">
        <f t="array" ref="P1340">+SUM($G$2:$G$18*SIN(2*PI()*(N1340)*$B$1/$F$2:$F$18+$H$2:$H$18))</f>
        <v>-0.16593955918677566</v>
      </c>
      <c r="Q1340">
        <f t="shared" si="163"/>
        <v>0</v>
      </c>
      <c r="R1340">
        <f t="shared" si="164"/>
        <v>-1.0562368183591559E-2</v>
      </c>
      <c r="S1340">
        <f t="array" ref="S1340">+$B$2*SIN(R1340*$B$3+$B$4)+0*R1340+ SUM($J$2:$J$20*SIN(2*PI()*N1340*$I$2:$I$20+$K$2:$K$20))</f>
        <v>0.48003707516855909</v>
      </c>
      <c r="U1340" s="3">
        <f t="shared" si="168"/>
        <v>1991.4999999998986</v>
      </c>
      <c r="V1340" s="3">
        <f t="shared" si="169"/>
        <v>0.20077800000000001</v>
      </c>
      <c r="Z1340" s="1">
        <v>1991.5417</v>
      </c>
      <c r="AA1340" s="2">
        <f t="shared" si="165"/>
        <v>-0.95686800000000005</v>
      </c>
      <c r="AB1340">
        <v>-47.843400000000003</v>
      </c>
      <c r="AE1340">
        <v>1991.4999999998986</v>
      </c>
      <c r="AF1340">
        <v>0.48003707516855909</v>
      </c>
    </row>
    <row r="1341" spans="4:32" x14ac:dyDescent="0.35">
      <c r="D1341">
        <v>-1.2186079999999999</v>
      </c>
      <c r="M1341">
        <f t="shared" si="166"/>
        <v>1340</v>
      </c>
      <c r="N1341">
        <f t="shared" si="167"/>
        <v>1991.5833333332318</v>
      </c>
      <c r="O1341">
        <f t="shared" si="162"/>
        <v>0</v>
      </c>
      <c r="P1341">
        <f t="array" ref="P1341">+SUM($G$2:$G$18*SIN(2*PI()*(N1341)*$B$1/$F$2:$F$18+$H$2:$H$18))</f>
        <v>0.24550144094314447</v>
      </c>
      <c r="Q1341">
        <f t="shared" si="163"/>
        <v>0</v>
      </c>
      <c r="R1341">
        <f t="shared" si="164"/>
        <v>-1.0546121772768039E-2</v>
      </c>
      <c r="S1341">
        <f t="array" ref="S1341">+$B$2*SIN(R1341*$B$3+$B$4)+0*R1341+ SUM($J$2:$J$20*SIN(2*PI()*N1341*$I$2:$I$20+$K$2:$K$20))</f>
        <v>0.47826193397146283</v>
      </c>
      <c r="U1341" s="3">
        <f t="shared" si="168"/>
        <v>1991.5833333332318</v>
      </c>
      <c r="V1341" s="3">
        <f t="shared" si="169"/>
        <v>0.20872399999999999</v>
      </c>
      <c r="Z1341" s="1">
        <v>1991.625</v>
      </c>
      <c r="AA1341" s="2">
        <f t="shared" si="165"/>
        <v>-0.75051000000000001</v>
      </c>
      <c r="AB1341">
        <v>-37.525500000000001</v>
      </c>
      <c r="AE1341">
        <v>1991.5833333332318</v>
      </c>
      <c r="AF1341">
        <v>0.47826193397146283</v>
      </c>
    </row>
    <row r="1342" spans="4:32" x14ac:dyDescent="0.35">
      <c r="D1342">
        <v>-0.95686800000000005</v>
      </c>
      <c r="M1342">
        <f t="shared" si="166"/>
        <v>1341</v>
      </c>
      <c r="N1342">
        <f t="shared" si="167"/>
        <v>1991.6666666665651</v>
      </c>
      <c r="O1342">
        <f t="shared" si="162"/>
        <v>0</v>
      </c>
      <c r="P1342">
        <f t="array" ref="P1342">+SUM($G$2:$G$18*SIN(2*PI()*(N1342)*$B$1/$F$2:$F$18+$H$2:$H$18))</f>
        <v>0.26821971698478891</v>
      </c>
      <c r="Q1342">
        <f t="shared" si="163"/>
        <v>0</v>
      </c>
      <c r="R1342">
        <f t="shared" si="164"/>
        <v>-1.0529900351213976E-2</v>
      </c>
      <c r="S1342">
        <f t="array" ref="S1342">+$B$2*SIN(R1342*$B$3+$B$4)+0*R1342+ SUM($J$2:$J$20*SIN(2*PI()*N1342*$I$2:$I$20+$K$2:$K$20))</f>
        <v>0.47648506177184557</v>
      </c>
      <c r="U1342" s="3">
        <f t="shared" si="168"/>
        <v>1991.6666666665651</v>
      </c>
      <c r="V1342" s="3">
        <f t="shared" si="169"/>
        <v>0.19820399999999999</v>
      </c>
      <c r="Z1342" s="1">
        <v>1991.7083</v>
      </c>
      <c r="AA1342" s="2">
        <f t="shared" si="165"/>
        <v>-0.61646199999999995</v>
      </c>
      <c r="AB1342">
        <v>-30.8231</v>
      </c>
      <c r="AE1342">
        <v>1991.6666666665651</v>
      </c>
      <c r="AF1342">
        <v>0.47648506177184557</v>
      </c>
    </row>
    <row r="1343" spans="4:32" x14ac:dyDescent="0.35">
      <c r="D1343">
        <v>-0.75051000000000001</v>
      </c>
      <c r="M1343">
        <f t="shared" si="166"/>
        <v>1342</v>
      </c>
      <c r="N1343">
        <f t="shared" si="167"/>
        <v>1991.7499999998984</v>
      </c>
      <c r="O1343">
        <f t="shared" si="162"/>
        <v>0</v>
      </c>
      <c r="P1343">
        <f t="array" ref="P1343">+SUM($G$2:$G$18*SIN(2*PI()*(N1343)*$B$1/$F$2:$F$18+$H$2:$H$18))</f>
        <v>0.20436809447854115</v>
      </c>
      <c r="Q1343">
        <f t="shared" si="163"/>
        <v>0</v>
      </c>
      <c r="R1343">
        <f t="shared" si="164"/>
        <v>-1.0513703880492352E-2</v>
      </c>
      <c r="S1343">
        <f t="array" ref="S1343">+$B$2*SIN(R1343*$B$3+$B$4)+0*R1343+ SUM($J$2:$J$20*SIN(2*PI()*N1343*$I$2:$I$20+$K$2:$K$20))</f>
        <v>0.47470649147064048</v>
      </c>
      <c r="U1343" s="3">
        <f t="shared" si="168"/>
        <v>1991.7499999998984</v>
      </c>
      <c r="V1343" s="3">
        <f t="shared" si="169"/>
        <v>0.27229999999999999</v>
      </c>
      <c r="Z1343" s="1">
        <v>1991.7917</v>
      </c>
      <c r="AA1343" s="2">
        <f t="shared" si="165"/>
        <v>-0.35011000000000003</v>
      </c>
      <c r="AB1343">
        <v>-17.505500000000001</v>
      </c>
      <c r="AE1343">
        <v>1991.7499999998984</v>
      </c>
      <c r="AF1343">
        <v>0.47470649147064048</v>
      </c>
    </row>
    <row r="1344" spans="4:32" x14ac:dyDescent="0.35">
      <c r="D1344">
        <v>-0.61646199999999995</v>
      </c>
      <c r="M1344">
        <f t="shared" si="166"/>
        <v>1343</v>
      </c>
      <c r="N1344">
        <f t="shared" si="167"/>
        <v>1991.8333333332316</v>
      </c>
      <c r="O1344">
        <f t="shared" si="162"/>
        <v>0</v>
      </c>
      <c r="P1344">
        <f t="array" ref="P1344">+SUM($G$2:$G$18*SIN(2*PI()*(N1344)*$B$1/$F$2:$F$18+$H$2:$H$18))</f>
        <v>0.29910792133051473</v>
      </c>
      <c r="Q1344">
        <f t="shared" si="163"/>
        <v>0</v>
      </c>
      <c r="R1344">
        <f t="shared" si="164"/>
        <v>-1.0497532322225271E-2</v>
      </c>
      <c r="S1344">
        <f t="array" ref="S1344">+$B$2*SIN(R1344*$B$3+$B$4)+0*R1344+ SUM($J$2:$J$20*SIN(2*PI()*N1344*$I$2:$I$20+$K$2:$K$20))</f>
        <v>0.47292625579017328</v>
      </c>
      <c r="U1344" s="3">
        <f t="shared" si="168"/>
        <v>1991.8333333332316</v>
      </c>
      <c r="V1344" s="3">
        <f t="shared" si="169"/>
        <v>0.15870599999999999</v>
      </c>
      <c r="Z1344" s="1">
        <v>1991.875</v>
      </c>
      <c r="AA1344" s="2">
        <f t="shared" si="165"/>
        <v>-0.29298600000000002</v>
      </c>
      <c r="AB1344">
        <v>-14.6493</v>
      </c>
      <c r="AE1344">
        <v>1991.8333333332316</v>
      </c>
      <c r="AF1344">
        <v>0.47292625579017328</v>
      </c>
    </row>
    <row r="1345" spans="4:32" x14ac:dyDescent="0.35">
      <c r="D1345">
        <v>-0.35011000000000003</v>
      </c>
      <c r="M1345">
        <f t="shared" si="166"/>
        <v>1344</v>
      </c>
      <c r="N1345">
        <f t="shared" si="167"/>
        <v>1991.9166666665649</v>
      </c>
      <c r="O1345">
        <f t="shared" si="162"/>
        <v>0</v>
      </c>
      <c r="P1345">
        <f t="array" ref="P1345">+SUM($G$2:$G$18*SIN(2*PI()*(N1345)*$B$1/$F$2:$F$18+$H$2:$H$18))</f>
        <v>0.54390535277934393</v>
      </c>
      <c r="Q1345">
        <f t="shared" si="163"/>
        <v>0</v>
      </c>
      <c r="R1345">
        <f t="shared" si="164"/>
        <v>-1.0481385638093865E-2</v>
      </c>
      <c r="S1345">
        <f t="array" ref="S1345">+$B$2*SIN(R1345*$B$3+$B$4)+0*R1345+ SUM($J$2:$J$20*SIN(2*PI()*N1345*$I$2:$I$20+$K$2:$K$20))</f>
        <v>0.47114438727458707</v>
      </c>
      <c r="U1345" s="3">
        <f t="shared" si="168"/>
        <v>1991.9166666665649</v>
      </c>
      <c r="V1345" s="3">
        <f t="shared" si="169"/>
        <v>3.8952000000000001E-2</v>
      </c>
      <c r="Z1345" s="1">
        <v>1991.9583</v>
      </c>
      <c r="AA1345" s="2">
        <f t="shared" si="165"/>
        <v>-0.33432400000000001</v>
      </c>
      <c r="AB1345">
        <v>-16.716200000000001</v>
      </c>
      <c r="AE1345">
        <v>1991.9166666665649</v>
      </c>
      <c r="AF1345">
        <v>0.47114438727458707</v>
      </c>
    </row>
    <row r="1346" spans="4:32" x14ac:dyDescent="0.35">
      <c r="D1346">
        <v>-0.29298600000000002</v>
      </c>
      <c r="M1346">
        <f t="shared" si="166"/>
        <v>1345</v>
      </c>
      <c r="N1346">
        <f t="shared" si="167"/>
        <v>1991.9999999998981</v>
      </c>
      <c r="O1346">
        <f t="shared" ref="O1346:O1409" si="170">+IF(MOD(M1346,$B$5)=1, $B$6, 0)</f>
        <v>36.637715116165623</v>
      </c>
      <c r="P1346">
        <f t="array" ref="P1346">+SUM($G$2:$G$18*SIN(2*PI()*(N1346)*$B$1/$F$2:$F$18+$H$2:$H$18))</f>
        <v>0.61519629862170244</v>
      </c>
      <c r="Q1346">
        <f t="shared" si="163"/>
        <v>22.539386729421487</v>
      </c>
      <c r="R1346">
        <f t="shared" si="164"/>
        <v>2.4203489481350732E-2</v>
      </c>
      <c r="S1346">
        <f t="array" ref="S1346">+$B$2*SIN(R1346*$B$3+$B$4)+0*R1346+ SUM($J$2:$J$20*SIN(2*PI()*N1346*$I$2:$I$20+$K$2:$K$20))</f>
        <v>0.31473378053140061</v>
      </c>
      <c r="U1346" s="3">
        <f t="shared" si="168"/>
        <v>1991.9999999998981</v>
      </c>
      <c r="V1346" s="3">
        <f t="shared" si="169"/>
        <v>0.20843</v>
      </c>
      <c r="Z1346" s="1">
        <v>1992.0417</v>
      </c>
      <c r="AA1346" s="2">
        <f t="shared" si="165"/>
        <v>-0.35259200000000002</v>
      </c>
      <c r="AB1346">
        <v>-17.6296</v>
      </c>
      <c r="AE1346">
        <v>1991.9999999998981</v>
      </c>
      <c r="AF1346">
        <v>0.31473378053140061</v>
      </c>
    </row>
    <row r="1347" spans="4:32" x14ac:dyDescent="0.35">
      <c r="D1347">
        <v>-0.33432400000000001</v>
      </c>
      <c r="M1347">
        <f t="shared" si="166"/>
        <v>1346</v>
      </c>
      <c r="N1347">
        <f t="shared" si="167"/>
        <v>1992.0833333332314</v>
      </c>
      <c r="O1347">
        <f t="shared" si="170"/>
        <v>0</v>
      </c>
      <c r="P1347">
        <f t="array" ref="P1347">+SUM($G$2:$G$18*SIN(2*PI()*(N1347)*$B$1/$F$2:$F$18+$H$2:$H$18))</f>
        <v>0.13336081014995832</v>
      </c>
      <c r="Q1347">
        <f t="shared" ref="Q1347:Q1410" si="171">+O1347*P1347</f>
        <v>0</v>
      </c>
      <c r="R1347">
        <f t="shared" ref="R1347:R1410" si="172">+(1-$B$7)*R1346+($B$7)*Q1347</f>
        <v>2.4166261103524666E-2</v>
      </c>
      <c r="S1347">
        <f t="array" ref="S1347">+$B$2*SIN(R1347*$B$3+$B$4)+0*R1347+ SUM($J$2:$J$20*SIN(2*PI()*N1347*$I$2:$I$20+$K$2:$K$20))</f>
        <v>0.3195171084472378</v>
      </c>
      <c r="U1347" s="3">
        <f t="shared" si="168"/>
        <v>1992.0833333332314</v>
      </c>
      <c r="V1347" s="3">
        <f t="shared" si="169"/>
        <v>0.35329199999999999</v>
      </c>
      <c r="Z1347" s="1">
        <v>1992.125</v>
      </c>
      <c r="AA1347" s="2">
        <f t="shared" ref="AA1347:AA1410" si="173">+AB1347/50</f>
        <v>-0.36931800000000004</v>
      </c>
      <c r="AB1347">
        <v>-18.465900000000001</v>
      </c>
      <c r="AE1347">
        <v>1992.0833333332314</v>
      </c>
      <c r="AF1347">
        <v>0.3195171084472378</v>
      </c>
    </row>
    <row r="1348" spans="4:32" x14ac:dyDescent="0.35">
      <c r="D1348">
        <v>-0.35259200000000002</v>
      </c>
      <c r="M1348">
        <f t="shared" ref="M1348:M1411" si="174">+M1347+1</f>
        <v>1347</v>
      </c>
      <c r="N1348">
        <f t="shared" ref="N1348:N1411" si="175">+N1347+1/12</f>
        <v>1992.1666666665647</v>
      </c>
      <c r="O1348">
        <f t="shared" si="170"/>
        <v>0</v>
      </c>
      <c r="P1348">
        <f t="array" ref="P1348">+SUM($G$2:$G$18*SIN(2*PI()*(N1348)*$B$1/$F$2:$F$18+$H$2:$H$18))</f>
        <v>-0.2765716793221959</v>
      </c>
      <c r="Q1348">
        <f t="shared" si="171"/>
        <v>0</v>
      </c>
      <c r="R1348">
        <f t="shared" si="172"/>
        <v>2.41290899881903E-2</v>
      </c>
      <c r="S1348">
        <f t="array" ref="S1348">+$B$2*SIN(R1348*$B$3+$B$4)+0*R1348+ SUM($J$2:$J$20*SIN(2*PI()*N1348*$I$2:$I$20+$K$2:$K$20))</f>
        <v>0.32427742839631429</v>
      </c>
      <c r="U1348" s="3">
        <f t="shared" si="168"/>
        <v>1992.1666666665647</v>
      </c>
      <c r="V1348" s="3">
        <f t="shared" si="169"/>
        <v>0.447382</v>
      </c>
      <c r="Z1348" s="1">
        <v>1992.2083</v>
      </c>
      <c r="AA1348" s="2">
        <f t="shared" si="173"/>
        <v>-0.35527399999999998</v>
      </c>
      <c r="AB1348">
        <v>-17.7637</v>
      </c>
      <c r="AE1348">
        <v>1992.1666666665647</v>
      </c>
      <c r="AF1348">
        <v>0.32427742839631429</v>
      </c>
    </row>
    <row r="1349" spans="4:32" x14ac:dyDescent="0.35">
      <c r="D1349">
        <v>-0.36931800000000004</v>
      </c>
      <c r="M1349">
        <f t="shared" si="174"/>
        <v>1348</v>
      </c>
      <c r="N1349">
        <f t="shared" si="175"/>
        <v>1992.2499999998979</v>
      </c>
      <c r="O1349">
        <f t="shared" si="170"/>
        <v>0</v>
      </c>
      <c r="P1349">
        <f t="array" ref="P1349">+SUM($G$2:$G$18*SIN(2*PI()*(N1349)*$B$1/$F$2:$F$18+$H$2:$H$18))</f>
        <v>-4.6405809140171679E-2</v>
      </c>
      <c r="Q1349">
        <f t="shared" si="171"/>
        <v>0</v>
      </c>
      <c r="R1349">
        <f t="shared" si="172"/>
        <v>2.4091976047269852E-2</v>
      </c>
      <c r="S1349">
        <f t="array" ref="S1349">+$B$2*SIN(R1349*$B$3+$B$4)+0*R1349+ SUM($J$2:$J$20*SIN(2*PI()*N1349*$I$2:$I$20+$K$2:$K$20))</f>
        <v>0.32901459142153139</v>
      </c>
      <c r="U1349" s="3">
        <f t="shared" si="168"/>
        <v>1992.2499999998979</v>
      </c>
      <c r="V1349" s="3">
        <f t="shared" si="169"/>
        <v>0.575318</v>
      </c>
      <c r="Z1349" s="1">
        <v>1992.2917</v>
      </c>
      <c r="AA1349" s="2">
        <f t="shared" si="173"/>
        <v>-0.57816000000000001</v>
      </c>
      <c r="AB1349">
        <v>-28.908000000000001</v>
      </c>
      <c r="AE1349">
        <v>1992.2499999998979</v>
      </c>
      <c r="AF1349">
        <v>0.32901459142153139</v>
      </c>
    </row>
    <row r="1350" spans="4:32" x14ac:dyDescent="0.35">
      <c r="D1350">
        <v>-0.35527399999999998</v>
      </c>
      <c r="M1350">
        <f t="shared" si="174"/>
        <v>1349</v>
      </c>
      <c r="N1350">
        <f t="shared" si="175"/>
        <v>1992.3333333332312</v>
      </c>
      <c r="O1350">
        <f t="shared" si="170"/>
        <v>0</v>
      </c>
      <c r="P1350">
        <f t="array" ref="P1350">+SUM($G$2:$G$18*SIN(2*PI()*(N1350)*$B$1/$F$2:$F$18+$H$2:$H$18))</f>
        <v>0.21723379263748241</v>
      </c>
      <c r="Q1350">
        <f t="shared" si="171"/>
        <v>0</v>
      </c>
      <c r="R1350">
        <f t="shared" si="172"/>
        <v>2.4054919192821017E-2</v>
      </c>
      <c r="S1350">
        <f t="array" ref="S1350">+$B$2*SIN(R1350*$B$3+$B$4)+0*R1350+ SUM($J$2:$J$20*SIN(2*PI()*N1350*$I$2:$I$20+$K$2:$K$20))</f>
        <v>0.3337284512034252</v>
      </c>
      <c r="U1350" s="3">
        <f t="shared" si="168"/>
        <v>1992.3333333332312</v>
      </c>
      <c r="V1350" s="3">
        <f t="shared" si="169"/>
        <v>0.72171600000000002</v>
      </c>
      <c r="Z1350" s="1">
        <v>1992.375</v>
      </c>
      <c r="AA1350" s="2">
        <f t="shared" si="173"/>
        <v>-0.74104400000000004</v>
      </c>
      <c r="AB1350">
        <v>-37.052199999999999</v>
      </c>
      <c r="AE1350">
        <v>1992.3333333332312</v>
      </c>
      <c r="AF1350">
        <v>0.3337284512034252</v>
      </c>
    </row>
    <row r="1351" spans="4:32" x14ac:dyDescent="0.35">
      <c r="D1351">
        <v>-0.57816000000000001</v>
      </c>
      <c r="M1351">
        <f t="shared" si="174"/>
        <v>1350</v>
      </c>
      <c r="N1351">
        <f t="shared" si="175"/>
        <v>1992.4166666665644</v>
      </c>
      <c r="O1351">
        <f t="shared" si="170"/>
        <v>0</v>
      </c>
      <c r="P1351">
        <f t="array" ref="P1351">+SUM($G$2:$G$18*SIN(2*PI()*(N1351)*$B$1/$F$2:$F$18+$H$2:$H$18))</f>
        <v>0.22220679860503056</v>
      </c>
      <c r="Q1351">
        <f t="shared" si="171"/>
        <v>0</v>
      </c>
      <c r="R1351">
        <f t="shared" si="172"/>
        <v>2.4017919337036755E-2</v>
      </c>
      <c r="S1351">
        <f t="array" ref="S1351">+$B$2*SIN(R1351*$B$3+$B$4)+0*R1351+ SUM($J$2:$J$20*SIN(2*PI()*N1351*$I$2:$I$20+$K$2:$K$20))</f>
        <v>0.33841886404668109</v>
      </c>
      <c r="U1351" s="3">
        <f t="shared" si="168"/>
        <v>1992.4166666665644</v>
      </c>
      <c r="V1351" s="3">
        <f t="shared" si="169"/>
        <v>0.75580000000000003</v>
      </c>
      <c r="Z1351" s="1">
        <v>1992.4583</v>
      </c>
      <c r="AA1351" s="2">
        <f t="shared" si="173"/>
        <v>-0.82392799999999999</v>
      </c>
      <c r="AB1351">
        <v>-41.196399999999997</v>
      </c>
      <c r="AE1351">
        <v>1992.4166666665644</v>
      </c>
      <c r="AF1351">
        <v>0.33841886404668109</v>
      </c>
    </row>
    <row r="1352" spans="4:32" x14ac:dyDescent="0.35">
      <c r="D1352">
        <v>-0.74104400000000004</v>
      </c>
      <c r="M1352">
        <f t="shared" si="174"/>
        <v>1351</v>
      </c>
      <c r="N1352">
        <f t="shared" si="175"/>
        <v>1992.4999999998977</v>
      </c>
      <c r="O1352">
        <f t="shared" si="170"/>
        <v>0</v>
      </c>
      <c r="P1352">
        <f t="array" ref="P1352">+SUM($G$2:$G$18*SIN(2*PI()*(N1352)*$B$1/$F$2:$F$18+$H$2:$H$18))</f>
        <v>0.29594934529016503</v>
      </c>
      <c r="Q1352">
        <f t="shared" si="171"/>
        <v>0</v>
      </c>
      <c r="R1352">
        <f t="shared" si="172"/>
        <v>2.3980976392245088E-2</v>
      </c>
      <c r="S1352">
        <f t="array" ref="S1352">+$B$2*SIN(R1352*$B$3+$B$4)+0*R1352+ SUM($J$2:$J$20*SIN(2*PI()*N1352*$I$2:$I$20+$K$2:$K$20))</f>
        <v>0.34308568886654539</v>
      </c>
      <c r="U1352" s="3">
        <f t="shared" si="168"/>
        <v>1992.4999999998977</v>
      </c>
      <c r="V1352" s="3">
        <f t="shared" si="169"/>
        <v>0.86834999999999996</v>
      </c>
      <c r="Z1352" s="1">
        <v>1992.5417</v>
      </c>
      <c r="AA1352" s="2">
        <f t="shared" si="173"/>
        <v>-0.94681599999999999</v>
      </c>
      <c r="AB1352">
        <v>-47.340800000000002</v>
      </c>
      <c r="AE1352">
        <v>1992.4999999998977</v>
      </c>
      <c r="AF1352">
        <v>0.34308568886654539</v>
      </c>
    </row>
    <row r="1353" spans="4:32" x14ac:dyDescent="0.35">
      <c r="D1353">
        <v>-0.82392799999999999</v>
      </c>
      <c r="M1353">
        <f t="shared" si="174"/>
        <v>1352</v>
      </c>
      <c r="N1353">
        <f t="shared" si="175"/>
        <v>1992.5833333332309</v>
      </c>
      <c r="O1353">
        <f t="shared" si="170"/>
        <v>0</v>
      </c>
      <c r="P1353">
        <f t="array" ref="P1353">+SUM($G$2:$G$18*SIN(2*PI()*(N1353)*$B$1/$F$2:$F$18+$H$2:$H$18))</f>
        <v>0.41824403140923955</v>
      </c>
      <c r="Q1353">
        <f t="shared" si="171"/>
        <v>0</v>
      </c>
      <c r="R1353">
        <f t="shared" si="172"/>
        <v>2.394409027090889E-2</v>
      </c>
      <c r="S1353">
        <f t="array" ref="S1353">+$B$2*SIN(R1353*$B$3+$B$4)+0*R1353+ SUM($J$2:$J$20*SIN(2*PI()*N1353*$I$2:$I$20+$K$2:$K$20))</f>
        <v>0.34772878717513056</v>
      </c>
      <c r="U1353" s="3">
        <f t="shared" si="168"/>
        <v>1992.5833333332309</v>
      </c>
      <c r="V1353" s="3">
        <f t="shared" si="169"/>
        <v>1.0224359999999999</v>
      </c>
      <c r="Z1353" s="1">
        <v>1992.625</v>
      </c>
      <c r="AA1353" s="2">
        <f t="shared" si="173"/>
        <v>-0.85278000000000009</v>
      </c>
      <c r="AB1353">
        <v>-42.639000000000003</v>
      </c>
      <c r="AE1353">
        <v>1992.5833333332309</v>
      </c>
      <c r="AF1353">
        <v>0.34772878717513056</v>
      </c>
    </row>
    <row r="1354" spans="4:32" x14ac:dyDescent="0.35">
      <c r="D1354">
        <v>-0.94681599999999999</v>
      </c>
      <c r="M1354">
        <f t="shared" si="174"/>
        <v>1353</v>
      </c>
      <c r="N1354">
        <f t="shared" si="175"/>
        <v>1992.6666666665642</v>
      </c>
      <c r="O1354">
        <f t="shared" si="170"/>
        <v>0</v>
      </c>
      <c r="P1354">
        <f t="array" ref="P1354">+SUM($G$2:$G$18*SIN(2*PI()*(N1354)*$B$1/$F$2:$F$18+$H$2:$H$18))</f>
        <v>0.47701930373491425</v>
      </c>
      <c r="Q1354">
        <f t="shared" si="171"/>
        <v>0</v>
      </c>
      <c r="R1354">
        <f t="shared" si="172"/>
        <v>2.3907260885625677E-2</v>
      </c>
      <c r="S1354">
        <f t="array" ref="S1354">+$B$2*SIN(R1354*$B$3+$B$4)+0*R1354+ SUM($J$2:$J$20*SIN(2*PI()*N1354*$I$2:$I$20+$K$2:$K$20))</f>
        <v>0.35234802306762986</v>
      </c>
      <c r="U1354" s="3">
        <f t="shared" si="168"/>
        <v>1992.6666666665642</v>
      </c>
      <c r="V1354" s="3">
        <f t="shared" si="169"/>
        <v>1.0949800000000001</v>
      </c>
      <c r="Z1354" s="1">
        <v>1992.7083</v>
      </c>
      <c r="AA1354" s="2">
        <f t="shared" si="173"/>
        <v>-0.995668</v>
      </c>
      <c r="AB1354">
        <v>-49.7834</v>
      </c>
      <c r="AE1354">
        <v>1992.6666666665642</v>
      </c>
      <c r="AF1354">
        <v>0.35234802306762986</v>
      </c>
    </row>
    <row r="1355" spans="4:32" x14ac:dyDescent="0.35">
      <c r="D1355">
        <v>-0.85278000000000009</v>
      </c>
      <c r="M1355">
        <f t="shared" si="174"/>
        <v>1354</v>
      </c>
      <c r="N1355">
        <f t="shared" si="175"/>
        <v>1992.7499999998975</v>
      </c>
      <c r="O1355">
        <f t="shared" si="170"/>
        <v>0</v>
      </c>
      <c r="P1355">
        <f t="array" ref="P1355">+SUM($G$2:$G$18*SIN(2*PI()*(N1355)*$B$1/$F$2:$F$18+$H$2:$H$18))</f>
        <v>0.27094708849737525</v>
      </c>
      <c r="Q1355">
        <f t="shared" si="171"/>
        <v>0</v>
      </c>
      <c r="R1355">
        <f t="shared" si="172"/>
        <v>2.3870488149127404E-2</v>
      </c>
      <c r="S1355">
        <f t="array" ref="S1355">+$B$2*SIN(R1355*$B$3+$B$4)+0*R1355+ SUM($J$2:$J$20*SIN(2*PI()*N1355*$I$2:$I$20+$K$2:$K$20))</f>
        <v>0.35694326320842984</v>
      </c>
      <c r="U1355" s="3">
        <f t="shared" si="168"/>
        <v>1992.7499999998975</v>
      </c>
      <c r="V1355" s="3">
        <f t="shared" si="169"/>
        <v>1.464448</v>
      </c>
      <c r="Z1355" s="1">
        <v>1992.7917</v>
      </c>
      <c r="AA1355" s="2">
        <f t="shared" si="173"/>
        <v>-1.1631740000000002</v>
      </c>
      <c r="AB1355">
        <v>-58.158700000000003</v>
      </c>
      <c r="AE1355">
        <v>1992.7499999998975</v>
      </c>
      <c r="AF1355">
        <v>0.35694326320842984</v>
      </c>
    </row>
    <row r="1356" spans="4:32" x14ac:dyDescent="0.35">
      <c r="D1356">
        <v>-0.995668</v>
      </c>
      <c r="M1356">
        <f t="shared" si="174"/>
        <v>1355</v>
      </c>
      <c r="N1356">
        <f t="shared" si="175"/>
        <v>1992.8333333332307</v>
      </c>
      <c r="O1356">
        <f t="shared" si="170"/>
        <v>0</v>
      </c>
      <c r="P1356">
        <f t="array" ref="P1356">+SUM($G$2:$G$18*SIN(2*PI()*(N1356)*$B$1/$F$2:$F$18+$H$2:$H$18))</f>
        <v>-0.22947792767433367</v>
      </c>
      <c r="Q1356">
        <f t="shared" si="171"/>
        <v>0</v>
      </c>
      <c r="R1356">
        <f t="shared" si="172"/>
        <v>2.3833771974280257E-2</v>
      </c>
      <c r="S1356">
        <f t="array" ref="S1356">+$B$2*SIN(R1356*$B$3+$B$4)+0*R1356+ SUM($J$2:$J$20*SIN(2*PI()*N1356*$I$2:$I$20+$K$2:$K$20))</f>
        <v>0.361514376817134</v>
      </c>
      <c r="U1356" s="3">
        <f t="shared" si="168"/>
        <v>1992.8333333332307</v>
      </c>
      <c r="V1356" s="3">
        <f t="shared" si="169"/>
        <v>1.421608</v>
      </c>
      <c r="Z1356" s="1">
        <v>1992.875</v>
      </c>
      <c r="AA1356" s="2">
        <f t="shared" si="173"/>
        <v>-1.3229880000000001</v>
      </c>
      <c r="AB1356">
        <v>-66.1494</v>
      </c>
      <c r="AE1356">
        <v>1992.8333333332307</v>
      </c>
      <c r="AF1356">
        <v>0.361514376817134</v>
      </c>
    </row>
    <row r="1357" spans="4:32" x14ac:dyDescent="0.35">
      <c r="D1357">
        <v>-1.1631740000000002</v>
      </c>
      <c r="M1357">
        <f t="shared" si="174"/>
        <v>1356</v>
      </c>
      <c r="N1357">
        <f t="shared" si="175"/>
        <v>1992.916666666564</v>
      </c>
      <c r="O1357">
        <f t="shared" si="170"/>
        <v>0</v>
      </c>
      <c r="P1357">
        <f t="array" ref="P1357">+SUM($G$2:$G$18*SIN(2*PI()*(N1357)*$B$1/$F$2:$F$18+$H$2:$H$18))</f>
        <v>-0.3668225135591025</v>
      </c>
      <c r="Q1357">
        <f t="shared" si="171"/>
        <v>0</v>
      </c>
      <c r="R1357">
        <f t="shared" si="172"/>
        <v>2.3797112274084445E-2</v>
      </c>
      <c r="S1357">
        <f t="array" ref="S1357">+$B$2*SIN(R1357*$B$3+$B$4)+0*R1357+ SUM($J$2:$J$20*SIN(2*PI()*N1357*$I$2:$I$20+$K$2:$K$20))</f>
        <v>0.36606123565449933</v>
      </c>
      <c r="U1357" s="3">
        <f t="shared" si="168"/>
        <v>1992.916666666564</v>
      </c>
      <c r="V1357" s="3">
        <f t="shared" si="169"/>
        <v>1.4972259999999999</v>
      </c>
      <c r="Z1357" s="1">
        <v>1992.9583</v>
      </c>
      <c r="AA1357" s="2">
        <f t="shared" si="173"/>
        <v>-1.2089559999999999</v>
      </c>
      <c r="AB1357">
        <v>-60.447800000000001</v>
      </c>
      <c r="AE1357">
        <v>1992.916666666564</v>
      </c>
      <c r="AF1357">
        <v>0.36606123565449933</v>
      </c>
    </row>
    <row r="1358" spans="4:32" x14ac:dyDescent="0.35">
      <c r="D1358">
        <v>-1.3229880000000001</v>
      </c>
      <c r="M1358">
        <f t="shared" si="174"/>
        <v>1357</v>
      </c>
      <c r="N1358">
        <f t="shared" si="175"/>
        <v>1992.9999999998972</v>
      </c>
      <c r="O1358">
        <f t="shared" si="170"/>
        <v>36.637715116165623</v>
      </c>
      <c r="P1358">
        <f t="array" ref="P1358">+SUM($G$2:$G$18*SIN(2*PI()*(N1358)*$B$1/$F$2:$F$18+$H$2:$H$18))</f>
        <v>-5.0006670368196574E-2</v>
      </c>
      <c r="Q1358">
        <f t="shared" si="171"/>
        <v>-1.832130142857987</v>
      </c>
      <c r="R1358">
        <f t="shared" si="172"/>
        <v>2.0942434599404865E-2</v>
      </c>
      <c r="S1358">
        <f t="array" ref="S1358">+$B$2*SIN(R1358*$B$3+$B$4)+0*R1358+ SUM($J$2:$J$20*SIN(2*PI()*N1358*$I$2:$I$20+$K$2:$K$20))</f>
        <v>0.6511117802691001</v>
      </c>
      <c r="U1358" s="3">
        <f t="shared" si="168"/>
        <v>1992.9999999998972</v>
      </c>
      <c r="V1358" s="3">
        <f t="shared" si="169"/>
        <v>1.6128439999999999</v>
      </c>
      <c r="Z1358" s="1">
        <v>1993.0417</v>
      </c>
      <c r="AA1358" s="2">
        <f t="shared" si="173"/>
        <v>-0.92723600000000006</v>
      </c>
      <c r="AB1358">
        <v>-46.361800000000002</v>
      </c>
      <c r="AE1358">
        <v>1992.9999999998972</v>
      </c>
      <c r="AF1358">
        <v>0.6511117802691001</v>
      </c>
    </row>
    <row r="1359" spans="4:32" x14ac:dyDescent="0.35">
      <c r="D1359">
        <v>-1.2089559999999999</v>
      </c>
      <c r="M1359">
        <f t="shared" si="174"/>
        <v>1358</v>
      </c>
      <c r="N1359">
        <f t="shared" si="175"/>
        <v>1993.0833333332305</v>
      </c>
      <c r="O1359">
        <f t="shared" si="170"/>
        <v>0</v>
      </c>
      <c r="P1359">
        <f t="array" ref="P1359">+SUM($G$2:$G$18*SIN(2*PI()*(N1359)*$B$1/$F$2:$F$18+$H$2:$H$18))</f>
        <v>6.5340707595209241E-2</v>
      </c>
      <c r="Q1359">
        <f t="shared" si="171"/>
        <v>0</v>
      </c>
      <c r="R1359">
        <f t="shared" si="172"/>
        <v>2.09102221835685E-2</v>
      </c>
      <c r="S1359">
        <f t="array" ref="S1359">+$B$2*SIN(R1359*$B$3+$B$4)+0*R1359+ SUM($J$2:$J$20*SIN(2*PI()*N1359*$I$2:$I$20+$K$2:$K$20))</f>
        <v>0.6533897193295326</v>
      </c>
      <c r="U1359" s="3">
        <f t="shared" si="168"/>
        <v>1993.0833333332305</v>
      </c>
      <c r="V1359" s="3">
        <f t="shared" si="169"/>
        <v>1.637694</v>
      </c>
      <c r="Z1359" s="1">
        <v>1993.125</v>
      </c>
      <c r="AA1359" s="2">
        <f t="shared" si="173"/>
        <v>-0.75628200000000012</v>
      </c>
      <c r="AB1359">
        <v>-37.814100000000003</v>
      </c>
      <c r="AE1359">
        <v>1993.0833333332305</v>
      </c>
      <c r="AF1359">
        <v>0.6533897193295326</v>
      </c>
    </row>
    <row r="1360" spans="4:32" x14ac:dyDescent="0.35">
      <c r="D1360">
        <v>-0.92723600000000006</v>
      </c>
      <c r="M1360">
        <f t="shared" si="174"/>
        <v>1359</v>
      </c>
      <c r="N1360">
        <f t="shared" si="175"/>
        <v>1993.1666666665637</v>
      </c>
      <c r="O1360">
        <f t="shared" si="170"/>
        <v>0</v>
      </c>
      <c r="P1360">
        <f t="array" ref="P1360">+SUM($G$2:$G$18*SIN(2*PI()*(N1360)*$B$1/$F$2:$F$18+$H$2:$H$18))</f>
        <v>7.5541883737146348E-2</v>
      </c>
      <c r="Q1360">
        <f t="shared" si="171"/>
        <v>0</v>
      </c>
      <c r="R1360">
        <f t="shared" si="172"/>
        <v>2.0878059314967397E-2</v>
      </c>
      <c r="S1360">
        <f t="array" ref="S1360">+$B$2*SIN(R1360*$B$3+$B$4)+0*R1360+ SUM($J$2:$J$20*SIN(2*PI()*N1360*$I$2:$I$20+$K$2:$K$20))</f>
        <v>0.65564019339016077</v>
      </c>
      <c r="U1360" s="3">
        <f t="shared" si="168"/>
        <v>1993.1666666665637</v>
      </c>
      <c r="V1360" s="3">
        <f t="shared" si="169"/>
        <v>1.3317679999999998</v>
      </c>
      <c r="Z1360" s="1">
        <v>1993.2083</v>
      </c>
      <c r="AA1360" s="2">
        <f t="shared" si="173"/>
        <v>-0.64840799999999998</v>
      </c>
      <c r="AB1360">
        <v>-32.420400000000001</v>
      </c>
      <c r="AE1360">
        <v>1993.1666666665637</v>
      </c>
      <c r="AF1360">
        <v>0.65564019339016077</v>
      </c>
    </row>
    <row r="1361" spans="4:32" x14ac:dyDescent="0.35">
      <c r="D1361">
        <v>-0.75628200000000012</v>
      </c>
      <c r="M1361">
        <f t="shared" si="174"/>
        <v>1360</v>
      </c>
      <c r="N1361">
        <f t="shared" si="175"/>
        <v>1993.249999999897</v>
      </c>
      <c r="O1361">
        <f t="shared" si="170"/>
        <v>0</v>
      </c>
      <c r="P1361">
        <f t="array" ref="P1361">+SUM($G$2:$G$18*SIN(2*PI()*(N1361)*$B$1/$F$2:$F$18+$H$2:$H$18))</f>
        <v>0.28013443623890644</v>
      </c>
      <c r="Q1361">
        <f t="shared" si="171"/>
        <v>0</v>
      </c>
      <c r="R1361">
        <f t="shared" si="172"/>
        <v>2.0845945917390921E-2</v>
      </c>
      <c r="S1361">
        <f t="array" ref="S1361">+$B$2*SIN(R1361*$B$3+$B$4)+0*R1361+ SUM($J$2:$J$20*SIN(2*PI()*N1361*$I$2:$I$20+$K$2:$K$20))</f>
        <v>0.65786323607383834</v>
      </c>
      <c r="U1361" s="3">
        <f t="shared" si="168"/>
        <v>1993.249999999897</v>
      </c>
      <c r="V1361" s="3">
        <f t="shared" si="169"/>
        <v>1.2673840000000001</v>
      </c>
      <c r="Z1361" s="1">
        <v>1993.2917</v>
      </c>
      <c r="AA1361" s="2">
        <f t="shared" si="173"/>
        <v>-0.889768</v>
      </c>
      <c r="AB1361">
        <v>-44.488399999999999</v>
      </c>
      <c r="AE1361">
        <v>1993.249999999897</v>
      </c>
      <c r="AF1361">
        <v>0.65786323607383834</v>
      </c>
    </row>
    <row r="1362" spans="4:32" x14ac:dyDescent="0.35">
      <c r="D1362">
        <v>-0.64840799999999998</v>
      </c>
      <c r="M1362">
        <f t="shared" si="174"/>
        <v>1361</v>
      </c>
      <c r="N1362">
        <f t="shared" si="175"/>
        <v>1993.3333333332303</v>
      </c>
      <c r="O1362">
        <f t="shared" si="170"/>
        <v>0</v>
      </c>
      <c r="P1362">
        <f t="array" ref="P1362">+SUM($G$2:$G$18*SIN(2*PI()*(N1362)*$B$1/$F$2:$F$18+$H$2:$H$18))</f>
        <v>0.38643081178293431</v>
      </c>
      <c r="Q1362">
        <f t="shared" si="171"/>
        <v>0</v>
      </c>
      <c r="R1362">
        <f t="shared" si="172"/>
        <v>2.0813881914745667E-2</v>
      </c>
      <c r="S1362">
        <f t="array" ref="S1362">+$B$2*SIN(R1362*$B$3+$B$4)+0*R1362+ SUM($J$2:$J$20*SIN(2*PI()*N1362*$I$2:$I$20+$K$2:$K$20))</f>
        <v>0.66005888223091236</v>
      </c>
      <c r="U1362" s="3">
        <f t="shared" si="168"/>
        <v>1993.3333333332303</v>
      </c>
      <c r="V1362" s="3">
        <f t="shared" si="169"/>
        <v>1.4276140000000002</v>
      </c>
      <c r="Z1362" s="1">
        <v>1993.375</v>
      </c>
      <c r="AA1362" s="2">
        <f t="shared" si="173"/>
        <v>-0.96805000000000008</v>
      </c>
      <c r="AB1362">
        <v>-48.402500000000003</v>
      </c>
      <c r="AE1362">
        <v>1993.3333333332303</v>
      </c>
      <c r="AF1362">
        <v>0.66005888223091236</v>
      </c>
    </row>
    <row r="1363" spans="4:32" x14ac:dyDescent="0.35">
      <c r="D1363">
        <v>-0.889768</v>
      </c>
      <c r="M1363">
        <f t="shared" si="174"/>
        <v>1362</v>
      </c>
      <c r="N1363">
        <f t="shared" si="175"/>
        <v>1993.4166666665635</v>
      </c>
      <c r="O1363">
        <f t="shared" si="170"/>
        <v>0</v>
      </c>
      <c r="P1363">
        <f t="array" ref="P1363">+SUM($G$2:$G$18*SIN(2*PI()*(N1363)*$B$1/$F$2:$F$18+$H$2:$H$18))</f>
        <v>0.21240668020574352</v>
      </c>
      <c r="Q1363">
        <f t="shared" si="171"/>
        <v>0</v>
      </c>
      <c r="R1363">
        <f t="shared" si="172"/>
        <v>2.0781867231055271E-2</v>
      </c>
      <c r="S1363">
        <f t="array" ref="S1363">+$B$2*SIN(R1363*$B$3+$B$4)+0*R1363+ SUM($J$2:$J$20*SIN(2*PI()*N1363*$I$2:$I$20+$K$2:$K$20))</f>
        <v>0.6622271679252133</v>
      </c>
      <c r="U1363" s="3">
        <f t="shared" si="168"/>
        <v>1993.4166666665635</v>
      </c>
      <c r="V1363" s="3">
        <f t="shared" si="169"/>
        <v>1.4632239999999999</v>
      </c>
      <c r="Z1363" s="1">
        <v>1993.4583</v>
      </c>
      <c r="AA1363" s="2">
        <f t="shared" si="173"/>
        <v>-1.097102</v>
      </c>
      <c r="AB1363">
        <v>-54.8551</v>
      </c>
      <c r="AE1363">
        <v>1993.4166666665635</v>
      </c>
      <c r="AF1363">
        <v>0.6622271679252133</v>
      </c>
    </row>
    <row r="1364" spans="4:32" x14ac:dyDescent="0.35">
      <c r="D1364">
        <v>-0.96805000000000008</v>
      </c>
      <c r="M1364">
        <f t="shared" si="174"/>
        <v>1363</v>
      </c>
      <c r="N1364">
        <f t="shared" si="175"/>
        <v>1993.4999999998968</v>
      </c>
      <c r="O1364">
        <f t="shared" si="170"/>
        <v>0</v>
      </c>
      <c r="P1364">
        <f t="array" ref="P1364">+SUM($G$2:$G$18*SIN(2*PI()*(N1364)*$B$1/$F$2:$F$18+$H$2:$H$18))</f>
        <v>-0.23090535991231831</v>
      </c>
      <c r="Q1364">
        <f t="shared" si="171"/>
        <v>0</v>
      </c>
      <c r="R1364">
        <f t="shared" si="172"/>
        <v>2.0749901790460226E-2</v>
      </c>
      <c r="S1364">
        <f t="array" ref="S1364">+$B$2*SIN(R1364*$B$3+$B$4)+0*R1364+ SUM($J$2:$J$20*SIN(2*PI()*N1364*$I$2:$I$20+$K$2:$K$20))</f>
        <v>0.66436813042010212</v>
      </c>
      <c r="U1364" s="3">
        <f t="shared" si="168"/>
        <v>1993.4999999998968</v>
      </c>
      <c r="V1364" s="3">
        <f t="shared" si="169"/>
        <v>1.274222</v>
      </c>
      <c r="Z1364" s="1">
        <v>1993.5417</v>
      </c>
      <c r="AA1364" s="2">
        <f t="shared" si="173"/>
        <v>-0.9030800000000001</v>
      </c>
      <c r="AB1364">
        <v>-45.154000000000003</v>
      </c>
      <c r="AE1364">
        <v>1993.4999999998968</v>
      </c>
      <c r="AF1364">
        <v>0.66436813042010212</v>
      </c>
    </row>
    <row r="1365" spans="4:32" x14ac:dyDescent="0.35">
      <c r="D1365">
        <v>-1.097102</v>
      </c>
      <c r="M1365">
        <f t="shared" si="174"/>
        <v>1364</v>
      </c>
      <c r="N1365">
        <f t="shared" si="175"/>
        <v>1993.58333333323</v>
      </c>
      <c r="O1365">
        <f t="shared" si="170"/>
        <v>0</v>
      </c>
      <c r="P1365">
        <f t="array" ref="P1365">+SUM($G$2:$G$18*SIN(2*PI()*(N1365)*$B$1/$F$2:$F$18+$H$2:$H$18))</f>
        <v>-0.61871441510802017</v>
      </c>
      <c r="Q1365">
        <f t="shared" si="171"/>
        <v>0</v>
      </c>
      <c r="R1365">
        <f t="shared" si="172"/>
        <v>2.0717985517217714E-2</v>
      </c>
      <c r="S1365">
        <f t="array" ref="S1365">+$B$2*SIN(R1365*$B$3+$B$4)+0*R1365+ SUM($J$2:$J$20*SIN(2*PI()*N1365*$I$2:$I$20+$K$2:$K$20))</f>
        <v>0.66648180816457414</v>
      </c>
      <c r="U1365" s="3">
        <f t="shared" si="168"/>
        <v>1993.58333333323</v>
      </c>
      <c r="V1365" s="3">
        <f t="shared" si="169"/>
        <v>1.260602</v>
      </c>
      <c r="Z1365" s="1">
        <v>1993.625</v>
      </c>
      <c r="AA1365" s="2">
        <f t="shared" si="173"/>
        <v>-0.73367199999999999</v>
      </c>
      <c r="AB1365">
        <v>-36.683599999999998</v>
      </c>
      <c r="AE1365">
        <v>1993.58333333323</v>
      </c>
      <c r="AF1365">
        <v>0.66648180816457414</v>
      </c>
    </row>
    <row r="1366" spans="4:32" x14ac:dyDescent="0.35">
      <c r="D1366">
        <v>-0.9030800000000001</v>
      </c>
      <c r="M1366">
        <f t="shared" si="174"/>
        <v>1365</v>
      </c>
      <c r="N1366">
        <f t="shared" si="175"/>
        <v>1993.6666666665633</v>
      </c>
      <c r="O1366">
        <f t="shared" si="170"/>
        <v>0</v>
      </c>
      <c r="P1366">
        <f t="array" ref="P1366">+SUM($G$2:$G$18*SIN(2*PI()*(N1366)*$B$1/$F$2:$F$18+$H$2:$H$18))</f>
        <v>-0.43466058837442406</v>
      </c>
      <c r="Q1366">
        <f t="shared" si="171"/>
        <v>0</v>
      </c>
      <c r="R1366">
        <f t="shared" si="172"/>
        <v>2.0686118335701418E-2</v>
      </c>
      <c r="S1366">
        <f t="array" ref="S1366">+$B$2*SIN(R1366*$B$3+$B$4)+0*R1366+ SUM($J$2:$J$20*SIN(2*PI()*N1366*$I$2:$I$20+$K$2:$K$20))</f>
        <v>0.66856824077942312</v>
      </c>
      <c r="U1366" s="3">
        <f t="shared" si="168"/>
        <v>1993.6666666665633</v>
      </c>
      <c r="V1366" s="3">
        <f t="shared" si="169"/>
        <v>1.3762080000000001</v>
      </c>
      <c r="Z1366" s="1">
        <v>1993.7083</v>
      </c>
      <c r="AA1366" s="2">
        <f t="shared" si="173"/>
        <v>-1.0888819999999999</v>
      </c>
      <c r="AB1366">
        <v>-54.444099999999999</v>
      </c>
      <c r="AE1366">
        <v>1993.6666666665633</v>
      </c>
      <c r="AF1366">
        <v>0.66856824077942312</v>
      </c>
    </row>
    <row r="1367" spans="4:32" x14ac:dyDescent="0.35">
      <c r="D1367">
        <v>-0.73367199999999999</v>
      </c>
      <c r="M1367">
        <f t="shared" si="174"/>
        <v>1366</v>
      </c>
      <c r="N1367">
        <f t="shared" si="175"/>
        <v>1993.7499999998965</v>
      </c>
      <c r="O1367">
        <f t="shared" si="170"/>
        <v>0</v>
      </c>
      <c r="P1367">
        <f t="array" ref="P1367">+SUM($G$2:$G$18*SIN(2*PI()*(N1367)*$B$1/$F$2:$F$18+$H$2:$H$18))</f>
        <v>-5.9281287353101952E-2</v>
      </c>
      <c r="Q1367">
        <f t="shared" si="171"/>
        <v>0</v>
      </c>
      <c r="R1367">
        <f t="shared" si="172"/>
        <v>2.0654300170401343E-2</v>
      </c>
      <c r="S1367">
        <f t="array" ref="S1367">+$B$2*SIN(R1367*$B$3+$B$4)+0*R1367+ SUM($J$2:$J$20*SIN(2*PI()*N1367*$I$2:$I$20+$K$2:$K$20))</f>
        <v>0.67062746904346293</v>
      </c>
      <c r="U1367" s="3">
        <f t="shared" si="168"/>
        <v>1993.7499999998965</v>
      </c>
      <c r="V1367" s="3">
        <f t="shared" si="169"/>
        <v>1.393356</v>
      </c>
      <c r="Z1367" s="1">
        <v>1993.7917</v>
      </c>
      <c r="AA1367" s="2">
        <f t="shared" si="173"/>
        <v>-1.03948</v>
      </c>
      <c r="AB1367">
        <v>-51.973999999999997</v>
      </c>
      <c r="AE1367">
        <v>1993.7499999998965</v>
      </c>
      <c r="AF1367">
        <v>0.67062746904346293</v>
      </c>
    </row>
    <row r="1368" spans="4:32" x14ac:dyDescent="0.35">
      <c r="D1368">
        <v>-1.0888819999999999</v>
      </c>
      <c r="M1368">
        <f t="shared" si="174"/>
        <v>1367</v>
      </c>
      <c r="N1368">
        <f t="shared" si="175"/>
        <v>1993.8333333332298</v>
      </c>
      <c r="O1368">
        <f t="shared" si="170"/>
        <v>0</v>
      </c>
      <c r="P1368">
        <f t="array" ref="P1368">+SUM($G$2:$G$18*SIN(2*PI()*(N1368)*$B$1/$F$2:$F$18+$H$2:$H$18))</f>
        <v>-3.5454261942143878E-2</v>
      </c>
      <c r="Q1368">
        <f t="shared" si="171"/>
        <v>0</v>
      </c>
      <c r="R1368">
        <f t="shared" si="172"/>
        <v>2.0622530945923642E-2</v>
      </c>
      <c r="S1368">
        <f t="array" ref="S1368">+$B$2*SIN(R1368*$B$3+$B$4)+0*R1368+ SUM($J$2:$J$20*SIN(2*PI()*N1368*$I$2:$I$20+$K$2:$K$20))</f>
        <v>0.67265953487981045</v>
      </c>
      <c r="U1368" s="3">
        <f t="shared" si="168"/>
        <v>1993.8333333332298</v>
      </c>
      <c r="V1368" s="3">
        <f t="shared" si="169"/>
        <v>1.2274259999999999</v>
      </c>
      <c r="Z1368" s="1">
        <v>1993.875</v>
      </c>
      <c r="AA1368" s="2">
        <f t="shared" si="173"/>
        <v>-1.003922</v>
      </c>
      <c r="AB1368">
        <v>-50.196100000000001</v>
      </c>
      <c r="AE1368">
        <v>1993.8333333332298</v>
      </c>
      <c r="AF1368">
        <v>0.67265953487981045</v>
      </c>
    </row>
    <row r="1369" spans="4:32" x14ac:dyDescent="0.35">
      <c r="D1369">
        <v>-1.03948</v>
      </c>
      <c r="M1369">
        <f t="shared" si="174"/>
        <v>1368</v>
      </c>
      <c r="N1369">
        <f t="shared" si="175"/>
        <v>1993.9166666665631</v>
      </c>
      <c r="O1369">
        <f t="shared" si="170"/>
        <v>0</v>
      </c>
      <c r="P1369">
        <f t="array" ref="P1369">+SUM($G$2:$G$18*SIN(2*PI()*(N1369)*$B$1/$F$2:$F$18+$H$2:$H$18))</f>
        <v>3.7098146018604214E-2</v>
      </c>
      <c r="Q1369">
        <f t="shared" si="171"/>
        <v>0</v>
      </c>
      <c r="R1369">
        <f t="shared" si="172"/>
        <v>2.0590810586990433E-2</v>
      </c>
      <c r="S1369">
        <f t="array" ref="S1369">+$B$2*SIN(R1369*$B$3+$B$4)+0*R1369+ SUM($J$2:$J$20*SIN(2*PI()*N1369*$I$2:$I$20+$K$2:$K$20))</f>
        <v>0.67466448134222745</v>
      </c>
      <c r="U1369" s="3">
        <f t="shared" si="168"/>
        <v>1993.9166666665631</v>
      </c>
      <c r="V1369" s="3">
        <f t="shared" si="169"/>
        <v>1.1614899999999999</v>
      </c>
      <c r="Z1369" s="1">
        <v>1993.9583</v>
      </c>
      <c r="AA1369" s="2">
        <f t="shared" si="173"/>
        <v>-0.6975960000000001</v>
      </c>
      <c r="AB1369">
        <v>-34.879800000000003</v>
      </c>
      <c r="AE1369">
        <v>1993.9166666665631</v>
      </c>
      <c r="AF1369">
        <v>0.67466448134222745</v>
      </c>
    </row>
    <row r="1370" spans="4:32" x14ac:dyDescent="0.35">
      <c r="D1370">
        <v>-1.003922</v>
      </c>
      <c r="M1370">
        <f t="shared" si="174"/>
        <v>1369</v>
      </c>
      <c r="N1370">
        <f t="shared" si="175"/>
        <v>1993.9999999998963</v>
      </c>
      <c r="O1370">
        <f t="shared" si="170"/>
        <v>36.637715116165623</v>
      </c>
      <c r="P1370">
        <f t="array" ref="P1370">+SUM($G$2:$G$18*SIN(2*PI()*(N1370)*$B$1/$F$2:$F$18+$H$2:$H$18))</f>
        <v>0.29552570023196095</v>
      </c>
      <c r="Q1370">
        <f t="shared" si="171"/>
        <v>10.827386414603946</v>
      </c>
      <c r="R1370">
        <f t="shared" si="172"/>
        <v>3.7213185230342116E-2</v>
      </c>
      <c r="S1370">
        <f t="array" ref="S1370">+$B$2*SIN(R1370*$B$3+$B$4)+0*R1370+ SUM($J$2:$J$20*SIN(2*PI()*N1370*$I$2:$I$20+$K$2:$K$20))</f>
        <v>-0.67896725046261253</v>
      </c>
      <c r="U1370" s="3">
        <f t="shared" si="168"/>
        <v>1993.9999999998963</v>
      </c>
      <c r="V1370" s="3">
        <f t="shared" si="169"/>
        <v>1.1478660000000001</v>
      </c>
      <c r="Z1370" s="1">
        <v>1994.0417</v>
      </c>
      <c r="AA1370" s="2">
        <f t="shared" si="173"/>
        <v>-0.72050399999999992</v>
      </c>
      <c r="AB1370">
        <v>-36.025199999999998</v>
      </c>
      <c r="AE1370">
        <v>1993.9999999998963</v>
      </c>
      <c r="AF1370">
        <v>-0.67896725046261253</v>
      </c>
    </row>
    <row r="1371" spans="4:32" x14ac:dyDescent="0.35">
      <c r="D1371">
        <v>-0.6975960000000001</v>
      </c>
      <c r="M1371">
        <f t="shared" si="174"/>
        <v>1370</v>
      </c>
      <c r="N1371">
        <f t="shared" si="175"/>
        <v>1994.0833333332296</v>
      </c>
      <c r="O1371">
        <f t="shared" si="170"/>
        <v>0</v>
      </c>
      <c r="P1371">
        <f t="array" ref="P1371">+SUM($G$2:$G$18*SIN(2*PI()*(N1371)*$B$1/$F$2:$F$18+$H$2:$H$18))</f>
        <v>0.27584313574766284</v>
      </c>
      <c r="Q1371">
        <f t="shared" si="171"/>
        <v>0</v>
      </c>
      <c r="R1371">
        <f t="shared" si="172"/>
        <v>3.7155946106994464E-2</v>
      </c>
      <c r="S1371">
        <f t="array" ref="S1371">+$B$2*SIN(R1371*$B$3+$B$4)+0*R1371+ SUM($J$2:$J$20*SIN(2*PI()*N1371*$I$2:$I$20+$K$2:$K$20))</f>
        <v>-0.68242877261222945</v>
      </c>
      <c r="U1371" s="3">
        <f t="shared" si="168"/>
        <v>1994.0833333332296</v>
      </c>
      <c r="V1371" s="3">
        <f t="shared" si="169"/>
        <v>0.80346999999999991</v>
      </c>
      <c r="Z1371" s="1">
        <v>1994.125</v>
      </c>
      <c r="AA1371" s="2">
        <f t="shared" si="173"/>
        <v>-0.91110400000000002</v>
      </c>
      <c r="AB1371">
        <v>-45.555199999999999</v>
      </c>
      <c r="AE1371">
        <v>1994.0833333332296</v>
      </c>
      <c r="AF1371">
        <v>-0.68242877261222945</v>
      </c>
    </row>
    <row r="1372" spans="4:32" x14ac:dyDescent="0.35">
      <c r="D1372">
        <v>-0.72050399999999992</v>
      </c>
      <c r="M1372">
        <f t="shared" si="174"/>
        <v>1371</v>
      </c>
      <c r="N1372">
        <f t="shared" si="175"/>
        <v>1994.1666666665628</v>
      </c>
      <c r="O1372">
        <f t="shared" si="170"/>
        <v>0</v>
      </c>
      <c r="P1372">
        <f t="array" ref="P1372">+SUM($G$2:$G$18*SIN(2*PI()*(N1372)*$B$1/$F$2:$F$18+$H$2:$H$18))</f>
        <v>-0.11513505408091212</v>
      </c>
      <c r="Q1372">
        <f t="shared" si="171"/>
        <v>0</v>
      </c>
      <c r="R1372">
        <f t="shared" si="172"/>
        <v>3.7098795025485243E-2</v>
      </c>
      <c r="S1372">
        <f t="array" ref="S1372">+$B$2*SIN(R1372*$B$3+$B$4)+0*R1372+ SUM($J$2:$J$20*SIN(2*PI()*N1372*$I$2:$I$20+$K$2:$K$20))</f>
        <v>-0.68580595175043901</v>
      </c>
      <c r="U1372" s="3">
        <f t="shared" si="168"/>
        <v>1994.1666666665628</v>
      </c>
      <c r="V1372" s="3">
        <f t="shared" si="169"/>
        <v>0.50368599999999997</v>
      </c>
      <c r="Z1372" s="1">
        <v>1994.2083</v>
      </c>
      <c r="AA1372" s="2">
        <f t="shared" si="173"/>
        <v>-1.1355500000000001</v>
      </c>
      <c r="AB1372">
        <v>-56.777500000000003</v>
      </c>
      <c r="AE1372">
        <v>1994.1666666665628</v>
      </c>
      <c r="AF1372">
        <v>-0.68580595175043901</v>
      </c>
    </row>
    <row r="1373" spans="4:32" x14ac:dyDescent="0.35">
      <c r="D1373">
        <v>-0.91110400000000002</v>
      </c>
      <c r="M1373">
        <f t="shared" si="174"/>
        <v>1372</v>
      </c>
      <c r="N1373">
        <f t="shared" si="175"/>
        <v>1994.2499999998961</v>
      </c>
      <c r="O1373">
        <f t="shared" si="170"/>
        <v>0</v>
      </c>
      <c r="P1373">
        <f t="array" ref="P1373">+SUM($G$2:$G$18*SIN(2*PI()*(N1373)*$B$1/$F$2:$F$18+$H$2:$H$18))</f>
        <v>-0.62726058941217711</v>
      </c>
      <c r="Q1373">
        <f t="shared" si="171"/>
        <v>0</v>
      </c>
      <c r="R1373">
        <f t="shared" si="172"/>
        <v>3.7041731850393701E-2</v>
      </c>
      <c r="S1373">
        <f t="array" ref="S1373">+$B$2*SIN(R1373*$B$3+$B$4)+0*R1373+ SUM($J$2:$J$20*SIN(2*PI()*N1373*$I$2:$I$20+$K$2:$K$20))</f>
        <v>-0.68909877065428982</v>
      </c>
      <c r="U1373" s="3">
        <f t="shared" si="168"/>
        <v>1994.2499999998961</v>
      </c>
      <c r="V1373" s="3">
        <f t="shared" si="169"/>
        <v>0.43774799999999997</v>
      </c>
      <c r="Z1373" s="1">
        <v>1994.2917</v>
      </c>
      <c r="AA1373" s="2">
        <f t="shared" si="173"/>
        <v>-1.2923079999999998</v>
      </c>
      <c r="AB1373">
        <v>-64.615399999999994</v>
      </c>
      <c r="AE1373">
        <v>1994.2499999998961</v>
      </c>
      <c r="AF1373">
        <v>-0.68909877065428982</v>
      </c>
    </row>
    <row r="1374" spans="4:32" x14ac:dyDescent="0.35">
      <c r="D1374">
        <v>-1.1355500000000001</v>
      </c>
      <c r="M1374">
        <f t="shared" si="174"/>
        <v>1373</v>
      </c>
      <c r="N1374">
        <f t="shared" si="175"/>
        <v>1994.3333333332293</v>
      </c>
      <c r="O1374">
        <f t="shared" si="170"/>
        <v>0</v>
      </c>
      <c r="P1374">
        <f t="array" ref="P1374">+SUM($G$2:$G$18*SIN(2*PI()*(N1374)*$B$1/$F$2:$F$18+$H$2:$H$18))</f>
        <v>-0.76956049502833523</v>
      </c>
      <c r="Q1374">
        <f t="shared" si="171"/>
        <v>0</v>
      </c>
      <c r="R1374">
        <f t="shared" si="172"/>
        <v>3.698475644650738E-2</v>
      </c>
      <c r="S1374">
        <f t="array" ref="S1374">+$B$2*SIN(R1374*$B$3+$B$4)+0*R1374+ SUM($J$2:$J$20*SIN(2*PI()*N1374*$I$2:$I$20+$K$2:$K$20))</f>
        <v>-0.6923072234855715</v>
      </c>
      <c r="U1374" s="3">
        <f t="shared" si="168"/>
        <v>1994.3333333332293</v>
      </c>
      <c r="V1374" s="3">
        <f t="shared" si="169"/>
        <v>1.9504000000000001E-2</v>
      </c>
      <c r="Z1374" s="1">
        <v>1994.375</v>
      </c>
      <c r="AA1374" s="2">
        <f t="shared" si="173"/>
        <v>-1.192142</v>
      </c>
      <c r="AB1374">
        <v>-59.607100000000003</v>
      </c>
      <c r="AE1374">
        <v>1994.3333333332293</v>
      </c>
      <c r="AF1374">
        <v>-0.6923072234855715</v>
      </c>
    </row>
    <row r="1375" spans="4:32" x14ac:dyDescent="0.35">
      <c r="D1375">
        <v>-1.2923079999999998</v>
      </c>
      <c r="M1375">
        <f t="shared" si="174"/>
        <v>1374</v>
      </c>
      <c r="N1375">
        <f t="shared" si="175"/>
        <v>1994.4166666665626</v>
      </c>
      <c r="O1375">
        <f t="shared" si="170"/>
        <v>0</v>
      </c>
      <c r="P1375">
        <f t="array" ref="P1375">+SUM($G$2:$G$18*SIN(2*PI()*(N1375)*$B$1/$F$2:$F$18+$H$2:$H$18))</f>
        <v>-0.33248464572981196</v>
      </c>
      <c r="Q1375">
        <f t="shared" si="171"/>
        <v>0</v>
      </c>
      <c r="R1375">
        <f t="shared" si="172"/>
        <v>3.6927868678821793E-2</v>
      </c>
      <c r="S1375">
        <f t="array" ref="S1375">+$B$2*SIN(R1375*$B$3+$B$4)+0*R1375+ SUM($J$2:$J$20*SIN(2*PI()*N1375*$I$2:$I$20+$K$2:$K$20))</f>
        <v>-0.69543131567569205</v>
      </c>
      <c r="U1375" s="3">
        <f t="shared" si="168"/>
        <v>1994.4166666665626</v>
      </c>
      <c r="V1375" s="3">
        <f t="shared" si="169"/>
        <v>-0.49874600000000002</v>
      </c>
      <c r="Z1375" s="1">
        <v>1994.4583</v>
      </c>
      <c r="AA1375" s="2">
        <f t="shared" si="173"/>
        <v>-1.00736</v>
      </c>
      <c r="AB1375">
        <v>-50.368000000000002</v>
      </c>
      <c r="AE1375">
        <v>1994.4166666665626</v>
      </c>
      <c r="AF1375">
        <v>-0.69543131567569205</v>
      </c>
    </row>
    <row r="1376" spans="4:32" x14ac:dyDescent="0.35">
      <c r="D1376">
        <v>-1.192142</v>
      </c>
      <c r="M1376">
        <f t="shared" si="174"/>
        <v>1375</v>
      </c>
      <c r="N1376">
        <f t="shared" si="175"/>
        <v>1994.4999999998959</v>
      </c>
      <c r="O1376">
        <f t="shared" si="170"/>
        <v>0</v>
      </c>
      <c r="P1376">
        <f t="array" ref="P1376">+SUM($G$2:$G$18*SIN(2*PI()*(N1376)*$B$1/$F$2:$F$18+$H$2:$H$18))</f>
        <v>2.3815812730566183E-2</v>
      </c>
      <c r="Q1376">
        <f t="shared" si="171"/>
        <v>0</v>
      </c>
      <c r="R1376">
        <f t="shared" si="172"/>
        <v>3.6871068412540113E-2</v>
      </c>
      <c r="S1376">
        <f t="array" ref="S1376">+$B$2*SIN(R1376*$B$3+$B$4)+0*R1376+ SUM($J$2:$J$20*SIN(2*PI()*N1376*$I$2:$I$20+$K$2:$K$20))</f>
        <v>-0.69847106381002488</v>
      </c>
      <c r="U1376" s="3">
        <f t="shared" si="168"/>
        <v>1994.4999999998959</v>
      </c>
      <c r="V1376" s="3">
        <f t="shared" si="169"/>
        <v>-0.7200700000000001</v>
      </c>
      <c r="Z1376" s="1">
        <v>1994.5417</v>
      </c>
      <c r="AA1376" s="2">
        <f t="shared" si="173"/>
        <v>-0.67642999999999998</v>
      </c>
      <c r="AB1376">
        <v>-33.8215</v>
      </c>
      <c r="AE1376">
        <v>1994.4999999998959</v>
      </c>
      <c r="AF1376">
        <v>-0.69847106381002488</v>
      </c>
    </row>
    <row r="1377" spans="4:32" x14ac:dyDescent="0.35">
      <c r="D1377">
        <v>-1.00736</v>
      </c>
      <c r="M1377">
        <f t="shared" si="174"/>
        <v>1376</v>
      </c>
      <c r="N1377">
        <f t="shared" si="175"/>
        <v>1994.5833333332291</v>
      </c>
      <c r="O1377">
        <f t="shared" si="170"/>
        <v>0</v>
      </c>
      <c r="P1377">
        <f t="array" ref="P1377">+SUM($G$2:$G$18*SIN(2*PI()*(N1377)*$B$1/$F$2:$F$18+$H$2:$H$18))</f>
        <v>3.5679773666051032E-2</v>
      </c>
      <c r="Q1377">
        <f t="shared" si="171"/>
        <v>0</v>
      </c>
      <c r="R1377">
        <f t="shared" si="172"/>
        <v>3.6814355513072848E-2</v>
      </c>
      <c r="S1377">
        <f t="array" ref="S1377">+$B$2*SIN(R1377*$B$3+$B$4)+0*R1377+ SUM($J$2:$J$20*SIN(2*PI()*N1377*$I$2:$I$20+$K$2:$K$20))</f>
        <v>-0.70142649551175507</v>
      </c>
      <c r="U1377" s="3">
        <f t="shared" si="168"/>
        <v>1994.5833333332291</v>
      </c>
      <c r="V1377" s="3">
        <f t="shared" si="169"/>
        <v>-0.63524199999999997</v>
      </c>
      <c r="Z1377" s="1">
        <v>1994.625</v>
      </c>
      <c r="AA1377" s="2">
        <f t="shared" si="173"/>
        <v>-0.50857600000000003</v>
      </c>
      <c r="AB1377">
        <v>-25.428799999999999</v>
      </c>
      <c r="AE1377">
        <v>1994.5833333332291</v>
      </c>
      <c r="AF1377">
        <v>-0.70142649551175507</v>
      </c>
    </row>
    <row r="1378" spans="4:32" x14ac:dyDescent="0.35">
      <c r="D1378">
        <v>-0.67642999999999998</v>
      </c>
      <c r="M1378">
        <f t="shared" si="174"/>
        <v>1377</v>
      </c>
      <c r="N1378">
        <f t="shared" si="175"/>
        <v>1994.6666666665624</v>
      </c>
      <c r="O1378">
        <f t="shared" si="170"/>
        <v>0</v>
      </c>
      <c r="P1378">
        <f t="array" ref="P1378">+SUM($G$2:$G$18*SIN(2*PI()*(N1378)*$B$1/$F$2:$F$18+$H$2:$H$18))</f>
        <v>0.19884531090022178</v>
      </c>
      <c r="Q1378">
        <f t="shared" si="171"/>
        <v>0</v>
      </c>
      <c r="R1378">
        <f t="shared" si="172"/>
        <v>3.6757729846037528E-2</v>
      </c>
      <c r="S1378">
        <f t="array" ref="S1378">+$B$2*SIN(R1378*$B$3+$B$4)+0*R1378+ SUM($J$2:$J$20*SIN(2*PI()*N1378*$I$2:$I$20+$K$2:$K$20))</f>
        <v>-0.70429764932525385</v>
      </c>
      <c r="U1378" s="3">
        <f t="shared" si="168"/>
        <v>1994.6666666665624</v>
      </c>
      <c r="V1378" s="3">
        <f t="shared" si="169"/>
        <v>-0.59349400000000008</v>
      </c>
      <c r="Z1378" s="1">
        <v>1994.7083</v>
      </c>
      <c r="AA1378" s="2">
        <f t="shared" si="173"/>
        <v>-0.45918199999999998</v>
      </c>
      <c r="AB1378">
        <v>-22.959099999999999</v>
      </c>
      <c r="AE1378">
        <v>1994.6666666665624</v>
      </c>
      <c r="AF1378">
        <v>-0.70429764932525385</v>
      </c>
    </row>
    <row r="1379" spans="4:32" x14ac:dyDescent="0.35">
      <c r="D1379">
        <v>-0.50857600000000003</v>
      </c>
      <c r="M1379">
        <f t="shared" si="174"/>
        <v>1378</v>
      </c>
      <c r="N1379">
        <f t="shared" si="175"/>
        <v>1994.7499999998956</v>
      </c>
      <c r="O1379">
        <f t="shared" si="170"/>
        <v>0</v>
      </c>
      <c r="P1379">
        <f t="array" ref="P1379">+SUM($G$2:$G$18*SIN(2*PI()*(N1379)*$B$1/$F$2:$F$18+$H$2:$H$18))</f>
        <v>0.37270345267090538</v>
      </c>
      <c r="Q1379">
        <f t="shared" si="171"/>
        <v>0</v>
      </c>
      <c r="R1379">
        <f t="shared" si="172"/>
        <v>3.6701191277258377E-2</v>
      </c>
      <c r="S1379">
        <f t="array" ref="S1379">+$B$2*SIN(R1379*$B$3+$B$4)+0*R1379+ SUM($J$2:$J$20*SIN(2*PI()*N1379*$I$2:$I$20+$K$2:$K$20))</f>
        <v>-0.70708457459901597</v>
      </c>
      <c r="U1379" s="3">
        <f t="shared" si="168"/>
        <v>1994.7499999998956</v>
      </c>
      <c r="V1379" s="3">
        <f t="shared" si="169"/>
        <v>-0.65174599999999994</v>
      </c>
      <c r="Z1379" s="1">
        <v>1994.7917</v>
      </c>
      <c r="AA1379" s="2">
        <f t="shared" si="173"/>
        <v>-3.64E-3</v>
      </c>
      <c r="AB1379">
        <v>-0.182</v>
      </c>
      <c r="AE1379">
        <v>1994.7499999998956</v>
      </c>
      <c r="AF1379">
        <v>-0.70708457459901597</v>
      </c>
    </row>
    <row r="1380" spans="4:32" x14ac:dyDescent="0.35">
      <c r="D1380">
        <v>-0.45918199999999998</v>
      </c>
      <c r="M1380">
        <f t="shared" si="174"/>
        <v>1379</v>
      </c>
      <c r="N1380">
        <f t="shared" si="175"/>
        <v>1994.8333333332289</v>
      </c>
      <c r="O1380">
        <f t="shared" si="170"/>
        <v>0</v>
      </c>
      <c r="P1380">
        <f t="array" ref="P1380">+SUM($G$2:$G$18*SIN(2*PI()*(N1380)*$B$1/$F$2:$F$18+$H$2:$H$18))</f>
        <v>0.12112778061732346</v>
      </c>
      <c r="Q1380">
        <f t="shared" si="171"/>
        <v>0</v>
      </c>
      <c r="R1380">
        <f t="shared" si="172"/>
        <v>3.6644739672766005E-2</v>
      </c>
      <c r="S1380">
        <f t="array" ref="S1380">+$B$2*SIN(R1380*$B$3+$B$4)+0*R1380+ SUM($J$2:$J$20*SIN(2*PI()*N1380*$I$2:$I$20+$K$2:$K$20))</f>
        <v>-0.70978733136818373</v>
      </c>
      <c r="U1380" s="3">
        <f t="shared" si="168"/>
        <v>1994.8333333332289</v>
      </c>
      <c r="V1380" s="3">
        <f t="shared" si="169"/>
        <v>-0.64999799999999996</v>
      </c>
      <c r="Z1380" s="1">
        <v>1994.875</v>
      </c>
      <c r="AA1380" s="2">
        <f t="shared" si="173"/>
        <v>7.190400000000001E-2</v>
      </c>
      <c r="AB1380">
        <v>3.5952000000000002</v>
      </c>
      <c r="AE1380">
        <v>1994.8333333332289</v>
      </c>
      <c r="AF1380">
        <v>-0.70978733136818373</v>
      </c>
    </row>
    <row r="1381" spans="4:32" x14ac:dyDescent="0.35">
      <c r="D1381">
        <v>-3.64E-3</v>
      </c>
      <c r="M1381">
        <f t="shared" si="174"/>
        <v>1380</v>
      </c>
      <c r="N1381">
        <f t="shared" si="175"/>
        <v>1994.9166666665622</v>
      </c>
      <c r="O1381">
        <f t="shared" si="170"/>
        <v>0</v>
      </c>
      <c r="P1381">
        <f t="array" ref="P1381">+SUM($G$2:$G$18*SIN(2*PI()*(N1381)*$B$1/$F$2:$F$18+$H$2:$H$18))</f>
        <v>-0.39604533283091858</v>
      </c>
      <c r="Q1381">
        <f t="shared" si="171"/>
        <v>0</v>
      </c>
      <c r="R1381">
        <f t="shared" si="172"/>
        <v>3.6588374898797078E-2</v>
      </c>
      <c r="S1381">
        <f t="array" ref="S1381">+$B$2*SIN(R1381*$B$3+$B$4)+0*R1381+ SUM($J$2:$J$20*SIN(2*PI()*N1381*$I$2:$I$20+$K$2:$K$20))</f>
        <v>-0.71240599023669238</v>
      </c>
      <c r="U1381" s="3">
        <f t="shared" si="168"/>
        <v>1994.9166666665622</v>
      </c>
      <c r="V1381" s="3">
        <f t="shared" si="169"/>
        <v>-0.73286799999999996</v>
      </c>
      <c r="Z1381" s="1">
        <v>1994.9583</v>
      </c>
      <c r="AA1381" s="2">
        <f t="shared" si="173"/>
        <v>0.16744800000000001</v>
      </c>
      <c r="AB1381">
        <v>8.3724000000000007</v>
      </c>
      <c r="AE1381">
        <v>1994.9166666665622</v>
      </c>
      <c r="AF1381">
        <v>-0.71240599023669238</v>
      </c>
    </row>
    <row r="1382" spans="4:32" x14ac:dyDescent="0.35">
      <c r="D1382">
        <v>7.190400000000001E-2</v>
      </c>
      <c r="M1382">
        <f t="shared" si="174"/>
        <v>1381</v>
      </c>
      <c r="N1382">
        <f t="shared" si="175"/>
        <v>1994.9999999998954</v>
      </c>
      <c r="O1382">
        <f t="shared" si="170"/>
        <v>36.637715116165623</v>
      </c>
      <c r="P1382">
        <f t="array" ref="P1382">+SUM($G$2:$G$18*SIN(2*PI()*(N1382)*$B$1/$F$2:$F$18+$H$2:$H$18))</f>
        <v>-0.77250558966835403</v>
      </c>
      <c r="Q1382">
        <f t="shared" si="171"/>
        <v>-28.302839719914694</v>
      </c>
      <c r="R1382">
        <f t="shared" si="172"/>
        <v>-7.0016593936269231E-3</v>
      </c>
      <c r="S1382">
        <f t="array" ref="S1382">+$B$2*SIN(R1382*$B$3+$B$4)+0*R1382+ SUM($J$2:$J$20*SIN(2*PI()*N1382*$I$2:$I$20+$K$2:$K$20))</f>
        <v>1.6088241613334001E-2</v>
      </c>
      <c r="U1382" s="3">
        <f t="shared" si="168"/>
        <v>1994.9999999998954</v>
      </c>
      <c r="V1382" s="3">
        <f t="shared" si="169"/>
        <v>-1.021892</v>
      </c>
      <c r="Z1382" s="1">
        <v>1995.0417</v>
      </c>
      <c r="AA1382" s="2">
        <f t="shared" si="173"/>
        <v>0.15068000000000001</v>
      </c>
      <c r="AB1382">
        <v>7.5339999999999998</v>
      </c>
      <c r="AE1382">
        <v>1994.9999999998954</v>
      </c>
      <c r="AF1382">
        <v>1.6088241613334001E-2</v>
      </c>
    </row>
    <row r="1383" spans="4:32" x14ac:dyDescent="0.35">
      <c r="D1383">
        <v>0.16744800000000001</v>
      </c>
      <c r="M1383">
        <f t="shared" si="174"/>
        <v>1382</v>
      </c>
      <c r="N1383">
        <f t="shared" si="175"/>
        <v>1995.0833333332287</v>
      </c>
      <c r="O1383">
        <f t="shared" si="170"/>
        <v>0</v>
      </c>
      <c r="P1383">
        <f t="array" ref="P1383">+SUM($G$2:$G$18*SIN(2*PI()*(N1383)*$B$1/$F$2:$F$18+$H$2:$H$18))</f>
        <v>-0.61341657199359756</v>
      </c>
      <c r="Q1383">
        <f t="shared" si="171"/>
        <v>0</v>
      </c>
      <c r="R1383">
        <f t="shared" si="172"/>
        <v>-6.9908898547339374E-3</v>
      </c>
      <c r="S1383">
        <f t="array" ref="S1383">+$B$2*SIN(R1383*$B$3+$B$4)+0*R1383+ SUM($J$2:$J$20*SIN(2*PI()*N1383*$I$2:$I$20+$K$2:$K$20))</f>
        <v>1.4562803062548663E-2</v>
      </c>
      <c r="U1383" s="3">
        <f t="shared" si="168"/>
        <v>1995.0833333332287</v>
      </c>
      <c r="V1383" s="3">
        <f t="shared" si="169"/>
        <v>-1.2186079999999999</v>
      </c>
      <c r="Z1383" s="1">
        <v>1995.125</v>
      </c>
      <c r="AA1383" s="2">
        <f t="shared" si="173"/>
        <v>0.17083600000000002</v>
      </c>
      <c r="AB1383">
        <v>8.5418000000000003</v>
      </c>
      <c r="AE1383">
        <v>1995.0833333332287</v>
      </c>
      <c r="AF1383">
        <v>1.4562803062548663E-2</v>
      </c>
    </row>
    <row r="1384" spans="4:32" x14ac:dyDescent="0.35">
      <c r="D1384">
        <v>0.15068000000000001</v>
      </c>
      <c r="M1384">
        <f t="shared" si="174"/>
        <v>1383</v>
      </c>
      <c r="N1384">
        <f t="shared" si="175"/>
        <v>1995.1666666665619</v>
      </c>
      <c r="O1384">
        <f t="shared" si="170"/>
        <v>0</v>
      </c>
      <c r="P1384">
        <f t="array" ref="P1384">+SUM($G$2:$G$18*SIN(2*PI()*(N1384)*$B$1/$F$2:$F$18+$H$2:$H$18))</f>
        <v>-7.707976077102574E-2</v>
      </c>
      <c r="Q1384">
        <f t="shared" si="171"/>
        <v>0</v>
      </c>
      <c r="R1384">
        <f t="shared" si="172"/>
        <v>-6.9801368809095229E-3</v>
      </c>
      <c r="S1384">
        <f t="array" ref="S1384">+$B$2*SIN(R1384*$B$3+$B$4)+0*R1384+ SUM($J$2:$J$20*SIN(2*PI()*N1384*$I$2:$I$20+$K$2:$K$20))</f>
        <v>1.3039651153988868E-2</v>
      </c>
      <c r="U1384" s="3">
        <f t="shared" si="168"/>
        <v>1995.1666666665619</v>
      </c>
      <c r="V1384" s="3">
        <f t="shared" si="169"/>
        <v>-0.95686800000000005</v>
      </c>
      <c r="Z1384" s="1">
        <v>1995.2083</v>
      </c>
      <c r="AA1384" s="2">
        <f t="shared" si="173"/>
        <v>0.135606</v>
      </c>
      <c r="AB1384">
        <v>6.7803000000000004</v>
      </c>
      <c r="AE1384">
        <v>1995.1666666665619</v>
      </c>
      <c r="AF1384">
        <v>1.3039651153988868E-2</v>
      </c>
    </row>
    <row r="1385" spans="4:32" x14ac:dyDescent="0.35">
      <c r="D1385">
        <v>0.17083600000000002</v>
      </c>
      <c r="M1385">
        <f t="shared" si="174"/>
        <v>1384</v>
      </c>
      <c r="N1385">
        <f t="shared" si="175"/>
        <v>1995.2499999998952</v>
      </c>
      <c r="O1385">
        <f t="shared" si="170"/>
        <v>0</v>
      </c>
      <c r="P1385">
        <f t="array" ref="P1385">+SUM($G$2:$G$18*SIN(2*PI()*(N1385)*$B$1/$F$2:$F$18+$H$2:$H$18))</f>
        <v>0.17391126539130911</v>
      </c>
      <c r="Q1385">
        <f t="shared" si="171"/>
        <v>0</v>
      </c>
      <c r="R1385">
        <f t="shared" si="172"/>
        <v>-6.9694004466742693E-3</v>
      </c>
      <c r="S1385">
        <f t="array" ref="S1385">+$B$2*SIN(R1385*$B$3+$B$4)+0*R1385+ SUM($J$2:$J$20*SIN(2*PI()*N1385*$I$2:$I$20+$K$2:$K$20))</f>
        <v>1.151878877830902E-2</v>
      </c>
      <c r="U1385" s="3">
        <f t="shared" si="168"/>
        <v>1995.2499999998952</v>
      </c>
      <c r="V1385" s="3">
        <f t="shared" si="169"/>
        <v>-0.75051000000000001</v>
      </c>
      <c r="Z1385" s="1">
        <v>1995.2917</v>
      </c>
      <c r="AA1385" s="2">
        <f t="shared" si="173"/>
        <v>0.19729600000000003</v>
      </c>
      <c r="AB1385">
        <v>9.8648000000000007</v>
      </c>
      <c r="AE1385">
        <v>1995.2499999998952</v>
      </c>
      <c r="AF1385">
        <v>1.151878877830902E-2</v>
      </c>
    </row>
    <row r="1386" spans="4:32" x14ac:dyDescent="0.35">
      <c r="D1386">
        <v>0.135606</v>
      </c>
      <c r="M1386">
        <f t="shared" si="174"/>
        <v>1385</v>
      </c>
      <c r="N1386">
        <f t="shared" si="175"/>
        <v>1995.3333333332284</v>
      </c>
      <c r="O1386">
        <f t="shared" si="170"/>
        <v>0</v>
      </c>
      <c r="P1386">
        <f t="array" ref="P1386">+SUM($G$2:$G$18*SIN(2*PI()*(N1386)*$B$1/$F$2:$F$18+$H$2:$H$18))</f>
        <v>0.22575605057799591</v>
      </c>
      <c r="Q1386">
        <f t="shared" si="171"/>
        <v>0</v>
      </c>
      <c r="R1386">
        <f t="shared" si="172"/>
        <v>-6.9586805265879582E-3</v>
      </c>
      <c r="S1386">
        <f t="array" ref="S1386">+$B$2*SIN(R1386*$B$3+$B$4)+0*R1386+ SUM($J$2:$J$20*SIN(2*PI()*N1386*$I$2:$I$20+$K$2:$K$20))</f>
        <v>1.0000218773560493E-2</v>
      </c>
      <c r="U1386" s="3">
        <f t="shared" si="168"/>
        <v>1995.3333333332284</v>
      </c>
      <c r="V1386" s="3">
        <f t="shared" si="169"/>
        <v>-0.61646199999999995</v>
      </c>
      <c r="Z1386" s="1">
        <v>1995.375</v>
      </c>
      <c r="AA1386" s="2">
        <f t="shared" si="173"/>
        <v>0.44206400000000001</v>
      </c>
      <c r="AB1386">
        <v>22.103200000000001</v>
      </c>
      <c r="AE1386">
        <v>1995.3333333332284</v>
      </c>
      <c r="AF1386">
        <v>1.0000218773560493E-2</v>
      </c>
    </row>
    <row r="1387" spans="4:32" x14ac:dyDescent="0.35">
      <c r="D1387">
        <v>0.19729600000000003</v>
      </c>
      <c r="M1387">
        <f t="shared" si="174"/>
        <v>1386</v>
      </c>
      <c r="N1387">
        <f t="shared" si="175"/>
        <v>1995.4166666665617</v>
      </c>
      <c r="O1387">
        <f t="shared" si="170"/>
        <v>0</v>
      </c>
      <c r="P1387">
        <f t="array" ref="P1387">+SUM($G$2:$G$18*SIN(2*PI()*(N1387)*$B$1/$F$2:$F$18+$H$2:$H$18))</f>
        <v>0.4377443452554089</v>
      </c>
      <c r="Q1387">
        <f t="shared" si="171"/>
        <v>0</v>
      </c>
      <c r="R1387">
        <f t="shared" si="172"/>
        <v>-6.9479770952495011E-3</v>
      </c>
      <c r="S1387">
        <f t="array" ref="S1387">+$B$2*SIN(R1387*$B$3+$B$4)+0*R1387+ SUM($J$2:$J$20*SIN(2*PI()*N1387*$I$2:$I$20+$K$2:$K$20))</f>
        <v>8.483943925523733E-3</v>
      </c>
      <c r="U1387" s="3">
        <f t="shared" si="168"/>
        <v>1995.4166666665617</v>
      </c>
      <c r="V1387" s="3">
        <f t="shared" si="169"/>
        <v>-0.35011000000000003</v>
      </c>
      <c r="Z1387" s="1">
        <v>1995.4583</v>
      </c>
      <c r="AA1387" s="2">
        <f t="shared" si="173"/>
        <v>0.38529400000000003</v>
      </c>
      <c r="AB1387">
        <v>19.264700000000001</v>
      </c>
      <c r="AE1387">
        <v>1995.4166666665617</v>
      </c>
      <c r="AF1387">
        <v>8.483943925523733E-3</v>
      </c>
    </row>
    <row r="1388" spans="4:32" x14ac:dyDescent="0.35">
      <c r="D1388">
        <v>0.44206400000000001</v>
      </c>
      <c r="M1388">
        <f t="shared" si="174"/>
        <v>1387</v>
      </c>
      <c r="N1388">
        <f t="shared" si="175"/>
        <v>1995.499999999895</v>
      </c>
      <c r="O1388">
        <f t="shared" si="170"/>
        <v>0</v>
      </c>
      <c r="P1388">
        <f t="array" ref="P1388">+SUM($G$2:$G$18*SIN(2*PI()*(N1388)*$B$1/$F$2:$F$18+$H$2:$H$18))</f>
        <v>0.39695275962203153</v>
      </c>
      <c r="Q1388">
        <f t="shared" si="171"/>
        <v>0</v>
      </c>
      <c r="R1388">
        <f t="shared" si="172"/>
        <v>-6.9372901272968792E-3</v>
      </c>
      <c r="S1388">
        <f t="array" ref="S1388">+$B$2*SIN(R1388*$B$3+$B$4)+0*R1388+ SUM($J$2:$J$20*SIN(2*PI()*N1388*$I$2:$I$20+$K$2:$K$20))</f>
        <v>6.969966968042242E-3</v>
      </c>
      <c r="U1388" s="3">
        <f t="shared" si="168"/>
        <v>1995.499999999895</v>
      </c>
      <c r="V1388" s="3">
        <f t="shared" si="169"/>
        <v>-0.29298600000000002</v>
      </c>
      <c r="Z1388" s="1">
        <v>1995.5417</v>
      </c>
      <c r="AA1388" s="2">
        <f t="shared" si="173"/>
        <v>0.13621</v>
      </c>
      <c r="AB1388">
        <v>6.8105000000000002</v>
      </c>
      <c r="AE1388">
        <v>1995.499999999895</v>
      </c>
      <c r="AF1388">
        <v>6.969966968042242E-3</v>
      </c>
    </row>
    <row r="1389" spans="4:32" x14ac:dyDescent="0.35">
      <c r="D1389">
        <v>0.38529400000000003</v>
      </c>
      <c r="M1389">
        <f t="shared" si="174"/>
        <v>1388</v>
      </c>
      <c r="N1389">
        <f t="shared" si="175"/>
        <v>1995.5833333332282</v>
      </c>
      <c r="O1389">
        <f t="shared" si="170"/>
        <v>0</v>
      </c>
      <c r="P1389">
        <f t="array" ref="P1389">+SUM($G$2:$G$18*SIN(2*PI()*(N1389)*$B$1/$F$2:$F$18+$H$2:$H$18))</f>
        <v>-9.8917753523525831E-2</v>
      </c>
      <c r="Q1389">
        <f t="shared" si="171"/>
        <v>0</v>
      </c>
      <c r="R1389">
        <f t="shared" si="172"/>
        <v>-6.9266195974070858E-3</v>
      </c>
      <c r="S1389">
        <f t="array" ref="S1389">+$B$2*SIN(R1389*$B$3+$B$4)+0*R1389+ SUM($J$2:$J$20*SIN(2*PI()*N1389*$I$2:$I$20+$K$2:$K$20))</f>
        <v>5.4582905833508166E-3</v>
      </c>
      <c r="U1389" s="3">
        <f t="shared" si="168"/>
        <v>1995.5833333332282</v>
      </c>
      <c r="V1389" s="3">
        <f t="shared" si="169"/>
        <v>-0.33432400000000001</v>
      </c>
      <c r="Z1389" s="1">
        <v>1995.625</v>
      </c>
      <c r="AA1389" s="2">
        <f t="shared" si="173"/>
        <v>-0.26363999999999999</v>
      </c>
      <c r="AB1389">
        <v>-13.182</v>
      </c>
      <c r="AE1389">
        <v>1995.5833333332282</v>
      </c>
      <c r="AF1389">
        <v>5.4582905833508166E-3</v>
      </c>
    </row>
    <row r="1390" spans="4:32" x14ac:dyDescent="0.35">
      <c r="D1390">
        <v>0.13621</v>
      </c>
      <c r="M1390">
        <f t="shared" si="174"/>
        <v>1389</v>
      </c>
      <c r="N1390">
        <f t="shared" si="175"/>
        <v>1995.6666666665615</v>
      </c>
      <c r="O1390">
        <f t="shared" si="170"/>
        <v>0</v>
      </c>
      <c r="P1390">
        <f t="array" ref="P1390">+SUM($G$2:$G$18*SIN(2*PI()*(N1390)*$B$1/$F$2:$F$18+$H$2:$H$18))</f>
        <v>-0.60265005371639913</v>
      </c>
      <c r="Q1390">
        <f t="shared" si="171"/>
        <v>0</v>
      </c>
      <c r="R1390">
        <f t="shared" si="172"/>
        <v>-6.915965480296063E-3</v>
      </c>
      <c r="S1390">
        <f t="array" ref="S1390">+$B$2*SIN(R1390*$B$3+$B$4)+0*R1390+ SUM($J$2:$J$20*SIN(2*PI()*N1390*$I$2:$I$20+$K$2:$K$20))</f>
        <v>3.9489174024073537E-3</v>
      </c>
      <c r="U1390" s="3">
        <f t="shared" si="168"/>
        <v>1995.6666666665615</v>
      </c>
      <c r="V1390" s="3">
        <f t="shared" si="169"/>
        <v>-0.35259200000000002</v>
      </c>
      <c r="Z1390" s="1">
        <v>1995.7083</v>
      </c>
      <c r="AA1390" s="2">
        <f t="shared" si="173"/>
        <v>-0.67118399999999989</v>
      </c>
      <c r="AB1390">
        <v>-33.559199999999997</v>
      </c>
      <c r="AE1390">
        <v>1995.6666666665615</v>
      </c>
      <c r="AF1390">
        <v>3.9489174024073537E-3</v>
      </c>
    </row>
    <row r="1391" spans="4:32" x14ac:dyDescent="0.35">
      <c r="D1391">
        <v>-0.26363999999999999</v>
      </c>
      <c r="M1391">
        <f t="shared" si="174"/>
        <v>1390</v>
      </c>
      <c r="N1391">
        <f t="shared" si="175"/>
        <v>1995.7499999998947</v>
      </c>
      <c r="O1391">
        <f t="shared" si="170"/>
        <v>0</v>
      </c>
      <c r="P1391">
        <f t="array" ref="P1391">+SUM($G$2:$G$18*SIN(2*PI()*(N1391)*$B$1/$F$2:$F$18+$H$2:$H$18))</f>
        <v>-0.70857305570061091</v>
      </c>
      <c r="Q1391">
        <f t="shared" si="171"/>
        <v>0</v>
      </c>
      <c r="R1391">
        <f t="shared" si="172"/>
        <v>-6.9053277507186445E-3</v>
      </c>
      <c r="S1391">
        <f t="array" ref="S1391">+$B$2*SIN(R1391*$B$3+$B$4)+0*R1391+ SUM($J$2:$J$20*SIN(2*PI()*N1391*$I$2:$I$20+$K$2:$K$20))</f>
        <v>2.4418500052188932E-3</v>
      </c>
      <c r="U1391" s="3">
        <f t="shared" si="168"/>
        <v>1995.7499999998947</v>
      </c>
      <c r="V1391" s="3">
        <f t="shared" si="169"/>
        <v>-0.36931800000000004</v>
      </c>
      <c r="Z1391" s="1">
        <v>1995.7917</v>
      </c>
      <c r="AA1391" s="2">
        <f t="shared" si="173"/>
        <v>-0.90334800000000004</v>
      </c>
      <c r="AB1391">
        <v>-45.167400000000001</v>
      </c>
      <c r="AE1391">
        <v>1995.7499999998947</v>
      </c>
      <c r="AF1391">
        <v>2.4418500052188932E-3</v>
      </c>
    </row>
    <row r="1392" spans="4:32" x14ac:dyDescent="0.35">
      <c r="D1392">
        <v>-0.67118399999999989</v>
      </c>
      <c r="M1392">
        <f t="shared" si="174"/>
        <v>1391</v>
      </c>
      <c r="N1392">
        <f t="shared" si="175"/>
        <v>1995.833333333228</v>
      </c>
      <c r="O1392">
        <f t="shared" si="170"/>
        <v>0</v>
      </c>
      <c r="P1392">
        <f t="array" ref="P1392">+SUM($G$2:$G$18*SIN(2*PI()*(N1392)*$B$1/$F$2:$F$18+$H$2:$H$18))</f>
        <v>-0.29344311829913317</v>
      </c>
      <c r="Q1392">
        <f t="shared" si="171"/>
        <v>0</v>
      </c>
      <c r="R1392">
        <f t="shared" si="172"/>
        <v>-6.8947063834684944E-3</v>
      </c>
      <c r="S1392">
        <f t="array" ref="S1392">+$B$2*SIN(R1392*$B$3+$B$4)+0*R1392+ SUM($J$2:$J$20*SIN(2*PI()*N1392*$I$2:$I$20+$K$2:$K$20))</f>
        <v>9.3709092117025348E-4</v>
      </c>
      <c r="U1392" s="3">
        <f t="shared" si="168"/>
        <v>1995.833333333228</v>
      </c>
      <c r="V1392" s="3">
        <f t="shared" si="169"/>
        <v>-0.35527399999999998</v>
      </c>
      <c r="Z1392" s="1">
        <v>1995.875</v>
      </c>
      <c r="AA1392" s="2">
        <f t="shared" si="173"/>
        <v>-1.23397</v>
      </c>
      <c r="AB1392">
        <v>-61.698500000000003</v>
      </c>
      <c r="AE1392">
        <v>1995.833333333228</v>
      </c>
      <c r="AF1392">
        <v>9.3709092117025348E-4</v>
      </c>
    </row>
    <row r="1393" spans="4:32" x14ac:dyDescent="0.35">
      <c r="D1393">
        <v>-0.90334800000000004</v>
      </c>
      <c r="M1393">
        <f t="shared" si="174"/>
        <v>1392</v>
      </c>
      <c r="N1393">
        <f t="shared" si="175"/>
        <v>1995.9166666665612</v>
      </c>
      <c r="O1393">
        <f t="shared" si="170"/>
        <v>0</v>
      </c>
      <c r="P1393">
        <f t="array" ref="P1393">+SUM($G$2:$G$18*SIN(2*PI()*(N1393)*$B$1/$F$2:$F$18+$H$2:$H$18))</f>
        <v>0.18749804533187259</v>
      </c>
      <c r="Q1393">
        <f t="shared" si="171"/>
        <v>0</v>
      </c>
      <c r="R1393">
        <f t="shared" si="172"/>
        <v>-6.8841013533780466E-3</v>
      </c>
      <c r="S1393">
        <f t="array" ref="S1393">+$B$2*SIN(R1393*$B$3+$B$4)+0*R1393+ SUM($J$2:$J$20*SIN(2*PI()*N1393*$I$2:$I$20+$K$2:$K$20))</f>
        <v>-5.6535737065376999E-4</v>
      </c>
      <c r="U1393" s="3">
        <f t="shared" si="168"/>
        <v>1995.9166666665612</v>
      </c>
      <c r="V1393" s="3">
        <f t="shared" si="169"/>
        <v>-0.57816000000000001</v>
      </c>
      <c r="Z1393" s="1">
        <v>1995.9583</v>
      </c>
      <c r="AA1393" s="2">
        <f t="shared" si="173"/>
        <v>-1.3261320000000001</v>
      </c>
      <c r="AB1393">
        <v>-66.306600000000003</v>
      </c>
      <c r="AE1393">
        <v>1995.9166666665612</v>
      </c>
      <c r="AF1393">
        <v>-5.6535737065376999E-4</v>
      </c>
    </row>
    <row r="1394" spans="4:32" x14ac:dyDescent="0.35">
      <c r="D1394">
        <v>-1.23397</v>
      </c>
      <c r="M1394">
        <f t="shared" si="174"/>
        <v>1393</v>
      </c>
      <c r="N1394">
        <f t="shared" si="175"/>
        <v>1995.9999999998945</v>
      </c>
      <c r="O1394">
        <f t="shared" si="170"/>
        <v>36.637715116165623</v>
      </c>
      <c r="P1394">
        <f t="array" ref="P1394">+SUM($G$2:$G$18*SIN(2*PI()*(N1394)*$B$1/$F$2:$F$18+$H$2:$H$18))</f>
        <v>0.28351066872246744</v>
      </c>
      <c r="Q1394">
        <f t="shared" si="171"/>
        <v>10.387183113047369</v>
      </c>
      <c r="R1394">
        <f t="shared" si="172"/>
        <v>9.1034388608300185E-3</v>
      </c>
      <c r="S1394">
        <f t="array" ref="S1394">+$B$2*SIN(R1394*$B$3+$B$4)+0*R1394+ SUM($J$2:$J$20*SIN(2*PI()*N1394*$I$2:$I$20+$K$2:$K$20))</f>
        <v>-9.8919221172989916E-2</v>
      </c>
      <c r="U1394" s="3">
        <f t="shared" si="168"/>
        <v>1995.9999999998945</v>
      </c>
      <c r="V1394" s="3">
        <f t="shared" si="169"/>
        <v>-0.74104400000000004</v>
      </c>
      <c r="Z1394" s="1">
        <v>1996.0417</v>
      </c>
      <c r="AA1394" s="2">
        <f t="shared" si="173"/>
        <v>-1.1521460000000001</v>
      </c>
      <c r="AB1394">
        <v>-57.607300000000002</v>
      </c>
      <c r="AE1394">
        <v>1995.9999999998945</v>
      </c>
      <c r="AF1394">
        <v>-9.8919221172989916E-2</v>
      </c>
    </row>
    <row r="1395" spans="4:32" x14ac:dyDescent="0.35">
      <c r="D1395">
        <v>-1.3261320000000001</v>
      </c>
      <c r="M1395">
        <f t="shared" si="174"/>
        <v>1394</v>
      </c>
      <c r="N1395">
        <f t="shared" si="175"/>
        <v>1996.0833333332278</v>
      </c>
      <c r="O1395">
        <f t="shared" si="170"/>
        <v>0</v>
      </c>
      <c r="P1395">
        <f t="array" ref="P1395">+SUM($G$2:$G$18*SIN(2*PI()*(N1395)*$B$1/$F$2:$F$18+$H$2:$H$18))</f>
        <v>0.36517406913068406</v>
      </c>
      <c r="Q1395">
        <f t="shared" si="171"/>
        <v>0</v>
      </c>
      <c r="R1395">
        <f t="shared" si="172"/>
        <v>9.0894364889121757E-3</v>
      </c>
      <c r="S1395">
        <f t="array" ref="S1395">+$B$2*SIN(R1395*$B$3+$B$4)+0*R1395+ SUM($J$2:$J$20*SIN(2*PI()*N1395*$I$2:$I$20+$K$2:$K$20))</f>
        <v>-0.10088543235816864</v>
      </c>
      <c r="U1395" s="3">
        <f t="shared" si="168"/>
        <v>1996.0833333332278</v>
      </c>
      <c r="V1395" s="3">
        <f t="shared" si="169"/>
        <v>-0.82392799999999999</v>
      </c>
      <c r="Z1395" s="1">
        <v>1996.125</v>
      </c>
      <c r="AA1395" s="2">
        <f t="shared" si="173"/>
        <v>-1.230464</v>
      </c>
      <c r="AB1395">
        <v>-61.523200000000003</v>
      </c>
      <c r="AE1395">
        <v>1996.0833333332278</v>
      </c>
      <c r="AF1395">
        <v>-0.10088543235816864</v>
      </c>
    </row>
    <row r="1396" spans="4:32" x14ac:dyDescent="0.35">
      <c r="D1396">
        <v>-1.1521460000000001</v>
      </c>
      <c r="M1396">
        <f t="shared" si="174"/>
        <v>1395</v>
      </c>
      <c r="N1396">
        <f t="shared" si="175"/>
        <v>1996.166666666561</v>
      </c>
      <c r="O1396">
        <f t="shared" si="170"/>
        <v>0</v>
      </c>
      <c r="P1396">
        <f t="array" ref="P1396">+SUM($G$2:$G$18*SIN(2*PI()*(N1396)*$B$1/$F$2:$F$18+$H$2:$H$18))</f>
        <v>0.52783855532040136</v>
      </c>
      <c r="Q1396">
        <f t="shared" si="171"/>
        <v>0</v>
      </c>
      <c r="R1396">
        <f t="shared" si="172"/>
        <v>9.0754556546156998E-3</v>
      </c>
      <c r="S1396">
        <f t="array" ref="S1396">+$B$2*SIN(R1396*$B$3+$B$4)+0*R1396+ SUM($J$2:$J$20*SIN(2*PI()*N1396*$I$2:$I$20+$K$2:$K$20))</f>
        <v>-0.10284792016610159</v>
      </c>
      <c r="U1396" s="3">
        <f t="shared" si="168"/>
        <v>1996.166666666561</v>
      </c>
      <c r="V1396" s="3">
        <f t="shared" si="169"/>
        <v>-0.94681599999999999</v>
      </c>
      <c r="Z1396" s="1">
        <v>1996.2083</v>
      </c>
      <c r="AA1396" s="2">
        <f t="shared" si="173"/>
        <v>-1.3164760000000002</v>
      </c>
      <c r="AB1396">
        <v>-65.823800000000006</v>
      </c>
      <c r="AE1396">
        <v>1996.166666666561</v>
      </c>
      <c r="AF1396">
        <v>-0.10284792016610159</v>
      </c>
    </row>
    <row r="1397" spans="4:32" x14ac:dyDescent="0.35">
      <c r="D1397">
        <v>-1.230464</v>
      </c>
      <c r="M1397">
        <f t="shared" si="174"/>
        <v>1396</v>
      </c>
      <c r="N1397">
        <f t="shared" si="175"/>
        <v>1996.2499999998943</v>
      </c>
      <c r="O1397">
        <f t="shared" si="170"/>
        <v>0</v>
      </c>
      <c r="P1397">
        <f t="array" ref="P1397">+SUM($G$2:$G$18*SIN(2*PI()*(N1397)*$B$1/$F$2:$F$18+$H$2:$H$18))</f>
        <v>0.24143790684739702</v>
      </c>
      <c r="Q1397">
        <f t="shared" si="171"/>
        <v>0</v>
      </c>
      <c r="R1397">
        <f t="shared" si="172"/>
        <v>9.0614963248126946E-3</v>
      </c>
      <c r="S1397">
        <f t="array" ref="S1397">+$B$2*SIN(R1397*$B$3+$B$4)+0*R1397+ SUM($J$2:$J$20*SIN(2*PI()*N1397*$I$2:$I$20+$K$2:$K$20))</f>
        <v>-0.10480667891568933</v>
      </c>
      <c r="U1397" s="3">
        <f t="shared" si="168"/>
        <v>1996.2499999998943</v>
      </c>
      <c r="V1397" s="3">
        <f t="shared" si="169"/>
        <v>-0.85278000000000009</v>
      </c>
      <c r="Z1397" s="1">
        <v>1996.2917</v>
      </c>
      <c r="AA1397" s="2">
        <f t="shared" si="173"/>
        <v>-1.3901859999999999</v>
      </c>
      <c r="AB1397">
        <v>-69.509299999999996</v>
      </c>
      <c r="AE1397">
        <v>1996.2499999998943</v>
      </c>
      <c r="AF1397">
        <v>-0.10480667891568933</v>
      </c>
    </row>
    <row r="1398" spans="4:32" x14ac:dyDescent="0.35">
      <c r="D1398">
        <v>-1.3164760000000002</v>
      </c>
      <c r="M1398">
        <f t="shared" si="174"/>
        <v>1397</v>
      </c>
      <c r="N1398">
        <f t="shared" si="175"/>
        <v>1996.3333333332275</v>
      </c>
      <c r="O1398">
        <f t="shared" si="170"/>
        <v>0</v>
      </c>
      <c r="P1398">
        <f t="array" ref="P1398">+SUM($G$2:$G$18*SIN(2*PI()*(N1398)*$B$1/$F$2:$F$18+$H$2:$H$18))</f>
        <v>-0.37194688292398959</v>
      </c>
      <c r="Q1398">
        <f t="shared" si="171"/>
        <v>0</v>
      </c>
      <c r="R1398">
        <f t="shared" si="172"/>
        <v>9.0475584664262178E-3</v>
      </c>
      <c r="S1398">
        <f t="array" ref="S1398">+$B$2*SIN(R1398*$B$3+$B$4)+0*R1398+ SUM($J$2:$J$20*SIN(2*PI()*N1398*$I$2:$I$20+$K$2:$K$20))</f>
        <v>-0.10676170303699314</v>
      </c>
      <c r="U1398" s="3">
        <f t="shared" si="168"/>
        <v>1996.3333333332275</v>
      </c>
      <c r="V1398" s="3">
        <f t="shared" si="169"/>
        <v>-0.995668</v>
      </c>
      <c r="Z1398" s="1">
        <v>1996.375</v>
      </c>
      <c r="AA1398" s="2">
        <f t="shared" si="173"/>
        <v>-1.3838919999999999</v>
      </c>
      <c r="AB1398">
        <v>-69.194599999999994</v>
      </c>
      <c r="AE1398">
        <v>1996.3333333332275</v>
      </c>
      <c r="AF1398">
        <v>-0.10676170303699314</v>
      </c>
    </row>
    <row r="1399" spans="4:32" x14ac:dyDescent="0.35">
      <c r="D1399">
        <v>-1.3901859999999999</v>
      </c>
      <c r="M1399">
        <f t="shared" si="174"/>
        <v>1398</v>
      </c>
      <c r="N1399">
        <f t="shared" si="175"/>
        <v>1996.4166666665608</v>
      </c>
      <c r="O1399">
        <f t="shared" si="170"/>
        <v>0</v>
      </c>
      <c r="P1399">
        <f t="array" ref="P1399">+SUM($G$2:$G$18*SIN(2*PI()*(N1399)*$B$1/$F$2:$F$18+$H$2:$H$18))</f>
        <v>-0.73023583098525857</v>
      </c>
      <c r="Q1399">
        <f t="shared" si="171"/>
        <v>0</v>
      </c>
      <c r="R1399">
        <f t="shared" si="172"/>
        <v>9.0336420464302049E-3</v>
      </c>
      <c r="S1399">
        <f t="array" ref="S1399">+$B$2*SIN(R1399*$B$3+$B$4)+0*R1399+ SUM($J$2:$J$20*SIN(2*PI()*N1399*$I$2:$I$20+$K$2:$K$20))</f>
        <v>-0.10871298707050163</v>
      </c>
      <c r="U1399" s="3">
        <f t="shared" si="168"/>
        <v>1996.4166666665608</v>
      </c>
      <c r="V1399" s="3">
        <f t="shared" si="169"/>
        <v>-1.1631740000000002</v>
      </c>
      <c r="Z1399" s="1">
        <v>1996.4583</v>
      </c>
      <c r="AA1399" s="2">
        <f t="shared" si="173"/>
        <v>-1.6683699999999999</v>
      </c>
      <c r="AB1399">
        <v>-83.418499999999995</v>
      </c>
      <c r="AE1399">
        <v>1996.4166666665608</v>
      </c>
      <c r="AF1399">
        <v>-0.10871298707050163</v>
      </c>
    </row>
    <row r="1400" spans="4:32" x14ac:dyDescent="0.35">
      <c r="D1400">
        <v>-1.3838919999999999</v>
      </c>
      <c r="M1400">
        <f t="shared" si="174"/>
        <v>1399</v>
      </c>
      <c r="N1400">
        <f t="shared" si="175"/>
        <v>1996.499999999894</v>
      </c>
      <c r="O1400">
        <f t="shared" si="170"/>
        <v>0</v>
      </c>
      <c r="P1400">
        <f t="array" ref="P1400">+SUM($G$2:$G$18*SIN(2*PI()*(N1400)*$B$1/$F$2:$F$18+$H$2:$H$18))</f>
        <v>-0.56214218218945411</v>
      </c>
      <c r="Q1400">
        <f t="shared" si="171"/>
        <v>0</v>
      </c>
      <c r="R1400">
        <f t="shared" si="172"/>
        <v>9.019747031849391E-3</v>
      </c>
      <c r="S1400">
        <f t="array" ref="S1400">+$B$2*SIN(R1400*$B$3+$B$4)+0*R1400+ SUM($J$2:$J$20*SIN(2*PI()*N1400*$I$2:$I$20+$K$2:$K$20))</f>
        <v>-0.11066052566639936</v>
      </c>
      <c r="U1400" s="3">
        <f t="shared" si="168"/>
        <v>1996.499999999894</v>
      </c>
      <c r="V1400" s="3">
        <f t="shared" si="169"/>
        <v>-1.3229880000000001</v>
      </c>
      <c r="Z1400" s="1">
        <v>1996.5417</v>
      </c>
      <c r="AA1400" s="2">
        <f t="shared" si="173"/>
        <v>-1.7251580000000002</v>
      </c>
      <c r="AB1400">
        <v>-86.257900000000006</v>
      </c>
      <c r="AE1400">
        <v>1996.499999999894</v>
      </c>
      <c r="AF1400">
        <v>-0.11066052566639936</v>
      </c>
    </row>
    <row r="1401" spans="4:32" x14ac:dyDescent="0.35">
      <c r="D1401">
        <v>-1.6683699999999999</v>
      </c>
      <c r="M1401">
        <f t="shared" si="174"/>
        <v>1400</v>
      </c>
      <c r="N1401">
        <f t="shared" si="175"/>
        <v>1996.5833333332273</v>
      </c>
      <c r="O1401">
        <f t="shared" si="170"/>
        <v>0</v>
      </c>
      <c r="P1401">
        <f t="array" ref="P1401">+SUM($G$2:$G$18*SIN(2*PI()*(N1401)*$B$1/$F$2:$F$18+$H$2:$H$18))</f>
        <v>-3.0719039330264764E-3</v>
      </c>
      <c r="Q1401">
        <f t="shared" si="171"/>
        <v>0</v>
      </c>
      <c r="R1401">
        <f t="shared" si="172"/>
        <v>9.0058733897592294E-3</v>
      </c>
      <c r="S1401">
        <f t="array" ref="S1401">+$B$2*SIN(R1401*$B$3+$B$4)+0*R1401+ SUM($J$2:$J$20*SIN(2*PI()*N1401*$I$2:$I$20+$K$2:$K$20))</f>
        <v>-0.11260431358384065</v>
      </c>
      <c r="U1401" s="3">
        <f t="shared" si="168"/>
        <v>1996.5833333332273</v>
      </c>
      <c r="V1401" s="3">
        <f t="shared" si="169"/>
        <v>-1.2089559999999999</v>
      </c>
      <c r="Z1401" s="1">
        <v>1996.625</v>
      </c>
      <c r="AA1401" s="2">
        <f t="shared" si="173"/>
        <v>-1.5804060000000002</v>
      </c>
      <c r="AB1401">
        <v>-79.020300000000006</v>
      </c>
      <c r="AE1401">
        <v>1996.5833333332273</v>
      </c>
      <c r="AF1401">
        <v>-0.11260431358384065</v>
      </c>
    </row>
    <row r="1402" spans="4:32" x14ac:dyDescent="0.35">
      <c r="D1402">
        <v>-1.7251580000000002</v>
      </c>
      <c r="M1402">
        <f t="shared" si="174"/>
        <v>1401</v>
      </c>
      <c r="N1402">
        <f t="shared" si="175"/>
        <v>1996.6666666665606</v>
      </c>
      <c r="O1402">
        <f t="shared" si="170"/>
        <v>0</v>
      </c>
      <c r="P1402">
        <f t="array" ref="P1402">+SUM($G$2:$G$18*SIN(2*PI()*(N1402)*$B$1/$F$2:$F$18+$H$2:$H$18))</f>
        <v>0.34431300864916126</v>
      </c>
      <c r="Q1402">
        <f t="shared" si="171"/>
        <v>0</v>
      </c>
      <c r="R1402">
        <f t="shared" si="172"/>
        <v>8.9920210872858185E-3</v>
      </c>
      <c r="S1402">
        <f t="array" ref="S1402">+$B$2*SIN(R1402*$B$3+$B$4)+0*R1402+ SUM($J$2:$J$20*SIN(2*PI()*N1402*$I$2:$I$20+$K$2:$K$20))</f>
        <v>-0.11454434569022248</v>
      </c>
      <c r="U1402" s="3">
        <f t="shared" si="168"/>
        <v>1996.6666666665606</v>
      </c>
      <c r="V1402" s="3">
        <f t="shared" si="169"/>
        <v>-0.92723600000000006</v>
      </c>
      <c r="Z1402" s="1">
        <v>1996.7083</v>
      </c>
      <c r="AA1402" s="2">
        <f t="shared" si="173"/>
        <v>-1.2633479999999999</v>
      </c>
      <c r="AB1402">
        <v>-63.167400000000001</v>
      </c>
      <c r="AE1402">
        <v>1996.6666666665606</v>
      </c>
      <c r="AF1402">
        <v>-0.11454434569022248</v>
      </c>
    </row>
    <row r="1403" spans="4:32" x14ac:dyDescent="0.35">
      <c r="D1403">
        <v>-1.5804060000000002</v>
      </c>
      <c r="M1403">
        <f t="shared" si="174"/>
        <v>1402</v>
      </c>
      <c r="N1403">
        <f t="shared" si="175"/>
        <v>1996.7499999998938</v>
      </c>
      <c r="O1403">
        <f t="shared" si="170"/>
        <v>0</v>
      </c>
      <c r="P1403">
        <f t="array" ref="P1403">+SUM($G$2:$G$18*SIN(2*PI()*(N1403)*$B$1/$F$2:$F$18+$H$2:$H$18))</f>
        <v>0.29025920878594508</v>
      </c>
      <c r="Q1403">
        <f t="shared" si="171"/>
        <v>0</v>
      </c>
      <c r="R1403">
        <f t="shared" si="172"/>
        <v>8.9781900916058206E-3</v>
      </c>
      <c r="S1403">
        <f t="array" ref="S1403">+$B$2*SIN(R1403*$B$3+$B$4)+0*R1403+ SUM($J$2:$J$20*SIN(2*PI()*N1403*$I$2:$I$20+$K$2:$K$20))</f>
        <v>-0.11648061696046404</v>
      </c>
      <c r="U1403" s="3">
        <f t="shared" ref="U1403:U1466" si="176">+N1403</f>
        <v>1996.7499999998938</v>
      </c>
      <c r="V1403" s="3">
        <f t="shared" ref="V1403:V1466" si="177">+D1361</f>
        <v>-0.75628200000000012</v>
      </c>
      <c r="Z1403" s="1">
        <v>1996.7917</v>
      </c>
      <c r="AA1403" s="2">
        <f t="shared" si="173"/>
        <v>-0.747834</v>
      </c>
      <c r="AB1403">
        <v>-37.3917</v>
      </c>
      <c r="AE1403">
        <v>1996.7499999998938</v>
      </c>
      <c r="AF1403">
        <v>-0.11648061696046404</v>
      </c>
    </row>
    <row r="1404" spans="4:32" x14ac:dyDescent="0.35">
      <c r="D1404">
        <v>-1.2633479999999999</v>
      </c>
      <c r="M1404">
        <f t="shared" si="174"/>
        <v>1403</v>
      </c>
      <c r="N1404">
        <f t="shared" si="175"/>
        <v>1996.8333333332271</v>
      </c>
      <c r="O1404">
        <f t="shared" si="170"/>
        <v>0</v>
      </c>
      <c r="P1404">
        <f t="array" ref="P1404">+SUM($G$2:$G$18*SIN(2*PI()*(N1404)*$B$1/$F$2:$F$18+$H$2:$H$18))</f>
        <v>0.33100545912252216</v>
      </c>
      <c r="Q1404">
        <f t="shared" si="171"/>
        <v>0</v>
      </c>
      <c r="R1404">
        <f t="shared" si="172"/>
        <v>8.9643803699463835E-3</v>
      </c>
      <c r="S1404">
        <f t="array" ref="S1404">+$B$2*SIN(R1404*$B$3+$B$4)+0*R1404+ SUM($J$2:$J$20*SIN(2*PI()*N1404*$I$2:$I$20+$K$2:$K$20))</f>
        <v>-0.11841312247628706</v>
      </c>
      <c r="U1404" s="3">
        <f t="shared" si="176"/>
        <v>1996.8333333332271</v>
      </c>
      <c r="V1404" s="3">
        <f t="shared" si="177"/>
        <v>-0.64840799999999998</v>
      </c>
      <c r="Z1404" s="1">
        <v>1996.875</v>
      </c>
      <c r="AA1404" s="2">
        <f t="shared" si="173"/>
        <v>-0.52000800000000003</v>
      </c>
      <c r="AB1404">
        <v>-26.000399999999999</v>
      </c>
      <c r="AE1404">
        <v>1996.8333333332271</v>
      </c>
      <c r="AF1404">
        <v>-0.11841312247628706</v>
      </c>
    </row>
    <row r="1405" spans="4:32" x14ac:dyDescent="0.35">
      <c r="D1405">
        <v>-0.747834</v>
      </c>
      <c r="M1405">
        <f t="shared" si="174"/>
        <v>1404</v>
      </c>
      <c r="N1405">
        <f t="shared" si="175"/>
        <v>1996.9166666665603</v>
      </c>
      <c r="O1405">
        <f t="shared" si="170"/>
        <v>0</v>
      </c>
      <c r="P1405">
        <f t="array" ref="P1405">+SUM($G$2:$G$18*SIN(2*PI()*(N1405)*$B$1/$F$2:$F$18+$H$2:$H$18))</f>
        <v>0.34783840279728429</v>
      </c>
      <c r="Q1405">
        <f t="shared" si="171"/>
        <v>0</v>
      </c>
      <c r="R1405">
        <f t="shared" si="172"/>
        <v>8.9505918895850661E-3</v>
      </c>
      <c r="S1405">
        <f t="array" ref="S1405">+$B$2*SIN(R1405*$B$3+$B$4)+0*R1405+ SUM($J$2:$J$20*SIN(2*PI()*N1405*$I$2:$I$20+$K$2:$K$20))</f>
        <v>-0.12034185742549941</v>
      </c>
      <c r="U1405" s="3">
        <f t="shared" si="176"/>
        <v>1996.9166666665603</v>
      </c>
      <c r="V1405" s="3">
        <f t="shared" si="177"/>
        <v>-0.889768</v>
      </c>
      <c r="Z1405" s="1">
        <v>1996.9583</v>
      </c>
      <c r="AA1405" s="2">
        <f t="shared" si="173"/>
        <v>-0.49218400000000001</v>
      </c>
      <c r="AB1405">
        <v>-24.609200000000001</v>
      </c>
      <c r="AE1405">
        <v>1996.9166666665603</v>
      </c>
      <c r="AF1405">
        <v>-0.12034185742549941</v>
      </c>
    </row>
    <row r="1406" spans="4:32" x14ac:dyDescent="0.35">
      <c r="D1406">
        <v>-0.52000800000000003</v>
      </c>
      <c r="M1406">
        <f t="shared" si="174"/>
        <v>1405</v>
      </c>
      <c r="N1406">
        <f t="shared" si="175"/>
        <v>1996.9999999998936</v>
      </c>
      <c r="O1406">
        <f t="shared" si="170"/>
        <v>36.637715116165623</v>
      </c>
      <c r="P1406">
        <f t="array" ref="P1406">+SUM($G$2:$G$18*SIN(2*PI()*(N1406)*$B$1/$F$2:$F$18+$H$2:$H$18))</f>
        <v>-7.1134917269559381E-2</v>
      </c>
      <c r="Q1406">
        <f t="shared" si="171"/>
        <v>-2.6062208337341266</v>
      </c>
      <c r="R1406">
        <f t="shared" si="172"/>
        <v>4.9280896802208736E-3</v>
      </c>
      <c r="S1406">
        <f t="array" ref="S1406">+$B$2*SIN(R1406*$B$3+$B$4)+0*R1406+ SUM($J$2:$J$20*SIN(2*PI()*N1406*$I$2:$I$20+$K$2:$K$20))</f>
        <v>-0.59779953982326961</v>
      </c>
      <c r="U1406" s="3">
        <f t="shared" si="176"/>
        <v>1996.9999999998936</v>
      </c>
      <c r="V1406" s="3">
        <f t="shared" si="177"/>
        <v>-0.96805000000000008</v>
      </c>
      <c r="Z1406" s="1">
        <v>1997.0417</v>
      </c>
      <c r="AA1406" s="2">
        <f t="shared" si="173"/>
        <v>-0.496672</v>
      </c>
      <c r="AB1406">
        <v>-24.833600000000001</v>
      </c>
      <c r="AE1406">
        <v>1996.9999999998936</v>
      </c>
      <c r="AF1406">
        <v>-0.59779953982326961</v>
      </c>
    </row>
    <row r="1407" spans="4:32" x14ac:dyDescent="0.35">
      <c r="D1407">
        <v>-0.49218400000000001</v>
      </c>
      <c r="M1407">
        <f t="shared" si="174"/>
        <v>1406</v>
      </c>
      <c r="N1407">
        <f t="shared" si="175"/>
        <v>1997.0833333332268</v>
      </c>
      <c r="O1407">
        <f t="shared" si="170"/>
        <v>0</v>
      </c>
      <c r="P1407">
        <f t="array" ref="P1407">+SUM($G$2:$G$18*SIN(2*PI()*(N1407)*$B$1/$F$2:$F$18+$H$2:$H$18))</f>
        <v>-0.57719863913687486</v>
      </c>
      <c r="Q1407">
        <f t="shared" si="171"/>
        <v>0</v>
      </c>
      <c r="R1407">
        <f t="shared" si="172"/>
        <v>4.9205095837757985E-3</v>
      </c>
      <c r="S1407">
        <f t="array" ref="S1407">+$B$2*SIN(R1407*$B$3+$B$4)+0*R1407+ SUM($J$2:$J$20*SIN(2*PI()*N1407*$I$2:$I$20+$K$2:$K$20))</f>
        <v>-0.59845152919928291</v>
      </c>
      <c r="U1407" s="3">
        <f t="shared" si="176"/>
        <v>1997.0833333332268</v>
      </c>
      <c r="V1407" s="3">
        <f t="shared" si="177"/>
        <v>-1.097102</v>
      </c>
      <c r="Z1407" s="1">
        <v>1997.125</v>
      </c>
      <c r="AA1407" s="2">
        <f t="shared" si="173"/>
        <v>-0.71500399999999997</v>
      </c>
      <c r="AB1407">
        <v>-35.7502</v>
      </c>
      <c r="AE1407">
        <v>1997.0833333332268</v>
      </c>
      <c r="AF1407">
        <v>-0.59845152919928291</v>
      </c>
    </row>
    <row r="1408" spans="4:32" x14ac:dyDescent="0.35">
      <c r="D1408">
        <v>-0.496672</v>
      </c>
      <c r="M1408">
        <f t="shared" si="174"/>
        <v>1407</v>
      </c>
      <c r="N1408">
        <f t="shared" si="175"/>
        <v>1997.1666666665601</v>
      </c>
      <c r="O1408">
        <f t="shared" si="170"/>
        <v>0</v>
      </c>
      <c r="P1408">
        <f t="array" ref="P1408">+SUM($G$2:$G$18*SIN(2*PI()*(N1408)*$B$1/$F$2:$F$18+$H$2:$H$18))</f>
        <v>-0.72775501874896631</v>
      </c>
      <c r="Q1408">
        <f t="shared" si="171"/>
        <v>0</v>
      </c>
      <c r="R1408">
        <f t="shared" si="172"/>
        <v>4.9129411465873209E-3</v>
      </c>
      <c r="S1408">
        <f t="array" ref="S1408">+$B$2*SIN(R1408*$B$3+$B$4)+0*R1408+ SUM($J$2:$J$20*SIN(2*PI()*N1408*$I$2:$I$20+$K$2:$K$20))</f>
        <v>-0.59910130046136501</v>
      </c>
      <c r="U1408" s="3">
        <f t="shared" si="176"/>
        <v>1997.1666666665601</v>
      </c>
      <c r="V1408" s="3">
        <f t="shared" si="177"/>
        <v>-0.9030800000000001</v>
      </c>
      <c r="Z1408" s="1">
        <v>1997.2083</v>
      </c>
      <c r="AA1408" s="2">
        <f t="shared" si="173"/>
        <v>-0.60410799999999998</v>
      </c>
      <c r="AB1408">
        <v>-30.205400000000001</v>
      </c>
      <c r="AE1408">
        <v>1997.1666666665601</v>
      </c>
      <c r="AF1408">
        <v>-0.59910130046136501</v>
      </c>
    </row>
    <row r="1409" spans="4:32" x14ac:dyDescent="0.35">
      <c r="D1409">
        <v>-0.71500399999999997</v>
      </c>
      <c r="M1409">
        <f t="shared" si="174"/>
        <v>1408</v>
      </c>
      <c r="N1409">
        <f t="shared" si="175"/>
        <v>1997.2499999998934</v>
      </c>
      <c r="O1409">
        <f t="shared" si="170"/>
        <v>0</v>
      </c>
      <c r="P1409">
        <f t="array" ref="P1409">+SUM($G$2:$G$18*SIN(2*PI()*(N1409)*$B$1/$F$2:$F$18+$H$2:$H$18))</f>
        <v>-0.40555194776803682</v>
      </c>
      <c r="Q1409">
        <f t="shared" si="171"/>
        <v>0</v>
      </c>
      <c r="R1409">
        <f t="shared" si="172"/>
        <v>4.9053843507218609E-3</v>
      </c>
      <c r="S1409">
        <f t="array" ref="S1409">+$B$2*SIN(R1409*$B$3+$B$4)+0*R1409+ SUM($J$2:$J$20*SIN(2*PI()*N1409*$I$2:$I$20+$K$2:$K$20))</f>
        <v>-0.59974885944147849</v>
      </c>
      <c r="U1409" s="3">
        <f t="shared" si="176"/>
        <v>1997.2499999998934</v>
      </c>
      <c r="V1409" s="3">
        <f t="shared" si="177"/>
        <v>-0.73367199999999999</v>
      </c>
      <c r="Z1409" s="1">
        <v>1997.2917</v>
      </c>
      <c r="AA1409" s="2">
        <f t="shared" si="173"/>
        <v>-0.20705999999999999</v>
      </c>
      <c r="AB1409">
        <v>-10.353</v>
      </c>
      <c r="AE1409">
        <v>1997.2499999998934</v>
      </c>
      <c r="AF1409">
        <v>-0.59974885944147849</v>
      </c>
    </row>
    <row r="1410" spans="4:32" x14ac:dyDescent="0.35">
      <c r="D1410">
        <v>-0.60410799999999998</v>
      </c>
      <c r="M1410">
        <f t="shared" si="174"/>
        <v>1409</v>
      </c>
      <c r="N1410">
        <f t="shared" si="175"/>
        <v>1997.3333333332266</v>
      </c>
      <c r="O1410">
        <f t="shared" ref="O1410:O1473" si="178">+IF(MOD(M1410,$B$5)=1, $B$6, 0)</f>
        <v>0</v>
      </c>
      <c r="P1410">
        <f t="array" ref="P1410">+SUM($G$2:$G$18*SIN(2*PI()*(N1410)*$B$1/$F$2:$F$18+$H$2:$H$18))</f>
        <v>0.17582952192480619</v>
      </c>
      <c r="Q1410">
        <f t="shared" si="171"/>
        <v>0</v>
      </c>
      <c r="R1410">
        <f t="shared" si="172"/>
        <v>4.8978391782734231E-3</v>
      </c>
      <c r="S1410">
        <f t="array" ref="S1410">+$B$2*SIN(R1410*$B$3+$B$4)+0*R1410+ SUM($J$2:$J$20*SIN(2*PI()*N1410*$I$2:$I$20+$K$2:$K$20))</f>
        <v>-0.60039421196368403</v>
      </c>
      <c r="U1410" s="3">
        <f t="shared" si="176"/>
        <v>1997.3333333332266</v>
      </c>
      <c r="V1410" s="3">
        <f t="shared" si="177"/>
        <v>-1.0888819999999999</v>
      </c>
      <c r="Z1410" s="1">
        <v>1997.375</v>
      </c>
      <c r="AA1410" s="2">
        <f t="shared" si="173"/>
        <v>-8.6934000000000011E-2</v>
      </c>
      <c r="AB1410">
        <v>-4.3467000000000002</v>
      </c>
      <c r="AE1410">
        <v>1997.3333333332266</v>
      </c>
      <c r="AF1410">
        <v>-0.60039421196368403</v>
      </c>
    </row>
    <row r="1411" spans="4:32" x14ac:dyDescent="0.35">
      <c r="D1411">
        <v>-0.20705999999999999</v>
      </c>
      <c r="M1411">
        <f t="shared" si="174"/>
        <v>1410</v>
      </c>
      <c r="N1411">
        <f t="shared" si="175"/>
        <v>1997.4166666665599</v>
      </c>
      <c r="O1411">
        <f t="shared" si="178"/>
        <v>0</v>
      </c>
      <c r="P1411">
        <f t="array" ref="P1411">+SUM($G$2:$G$18*SIN(2*PI()*(N1411)*$B$1/$F$2:$F$18+$H$2:$H$18))</f>
        <v>0.40434025925089978</v>
      </c>
      <c r="Q1411">
        <f t="shared" ref="Q1411:Q1474" si="179">+O1411*P1411</f>
        <v>0</v>
      </c>
      <c r="R1411">
        <f t="shared" ref="R1411:R1474" si="180">+(1-$B$7)*R1410+($B$7)*Q1411</f>
        <v>4.8903056113635537E-3</v>
      </c>
      <c r="S1411">
        <f t="array" ref="S1411">+$B$2*SIN(R1411*$B$3+$B$4)+0*R1411+ SUM($J$2:$J$20*SIN(2*PI()*N1411*$I$2:$I$20+$K$2:$K$20))</f>
        <v>-0.60103736384409845</v>
      </c>
      <c r="U1411" s="3">
        <f t="shared" si="176"/>
        <v>1997.4166666665599</v>
      </c>
      <c r="V1411" s="3">
        <f t="shared" si="177"/>
        <v>-1.03948</v>
      </c>
      <c r="Z1411" s="1">
        <v>1997.4583</v>
      </c>
      <c r="AA1411" s="2">
        <f t="shared" ref="AA1411:AA1474" si="181">+AB1411/50</f>
        <v>-0.20219400000000001</v>
      </c>
      <c r="AB1411">
        <v>-10.1097</v>
      </c>
      <c r="AE1411">
        <v>1997.4166666665599</v>
      </c>
      <c r="AF1411">
        <v>-0.60103736384409845</v>
      </c>
    </row>
    <row r="1412" spans="4:32" x14ac:dyDescent="0.35">
      <c r="D1412">
        <v>-8.6934000000000011E-2</v>
      </c>
      <c r="M1412">
        <f t="shared" ref="M1412:M1475" si="182">+M1411+1</f>
        <v>1411</v>
      </c>
      <c r="N1412">
        <f t="shared" ref="N1412:N1475" si="183">+N1411+1/12</f>
        <v>1997.4999999998931</v>
      </c>
      <c r="O1412">
        <f t="shared" si="178"/>
        <v>0</v>
      </c>
      <c r="P1412">
        <f t="array" ref="P1412">+SUM($G$2:$G$18*SIN(2*PI()*(N1412)*$B$1/$F$2:$F$18+$H$2:$H$18))</f>
        <v>0.24079267004333738</v>
      </c>
      <c r="Q1412">
        <f t="shared" si="179"/>
        <v>0</v>
      </c>
      <c r="R1412">
        <f t="shared" si="180"/>
        <v>4.8827836321412993E-3</v>
      </c>
      <c r="S1412">
        <f t="array" ref="S1412">+$B$2*SIN(R1412*$B$3+$B$4)+0*R1412+ SUM($J$2:$J$20*SIN(2*PI()*N1412*$I$2:$I$20+$K$2:$K$20))</f>
        <v>-0.60167832089085171</v>
      </c>
      <c r="U1412" s="3">
        <f t="shared" si="176"/>
        <v>1997.4999999998931</v>
      </c>
      <c r="V1412" s="3">
        <f t="shared" si="177"/>
        <v>-1.003922</v>
      </c>
      <c r="Z1412" s="1">
        <v>1997.5417</v>
      </c>
      <c r="AA1412" s="2">
        <f t="shared" si="181"/>
        <v>-0.10976599999999999</v>
      </c>
      <c r="AB1412">
        <v>-5.4882999999999997</v>
      </c>
      <c r="AE1412">
        <v>1997.4999999998931</v>
      </c>
      <c r="AF1412">
        <v>-0.60167832089085171</v>
      </c>
    </row>
    <row r="1413" spans="4:32" x14ac:dyDescent="0.35">
      <c r="D1413">
        <v>-0.20219400000000001</v>
      </c>
      <c r="M1413">
        <f t="shared" si="182"/>
        <v>1412</v>
      </c>
      <c r="N1413">
        <f t="shared" si="183"/>
        <v>1997.5833333332264</v>
      </c>
      <c r="O1413">
        <f t="shared" si="178"/>
        <v>0</v>
      </c>
      <c r="P1413">
        <f t="array" ref="P1413">+SUM($G$2:$G$18*SIN(2*PI()*(N1413)*$B$1/$F$2:$F$18+$H$2:$H$18))</f>
        <v>0.14721561471133526</v>
      </c>
      <c r="Q1413">
        <f t="shared" si="179"/>
        <v>0</v>
      </c>
      <c r="R1413">
        <f t="shared" si="180"/>
        <v>4.8752732227831629E-3</v>
      </c>
      <c r="S1413">
        <f t="array" ref="S1413">+$B$2*SIN(R1413*$B$3+$B$4)+0*R1413+ SUM($J$2:$J$20*SIN(2*PI()*N1413*$I$2:$I$20+$K$2:$K$20))</f>
        <v>-0.60231708890404645</v>
      </c>
      <c r="U1413" s="3">
        <f t="shared" si="176"/>
        <v>1997.5833333332264</v>
      </c>
      <c r="V1413" s="3">
        <f t="shared" si="177"/>
        <v>-0.6975960000000001</v>
      </c>
      <c r="Z1413" s="1">
        <v>1997.625</v>
      </c>
      <c r="AA1413" s="2">
        <f t="shared" si="181"/>
        <v>4.8818E-2</v>
      </c>
      <c r="AB1413">
        <v>2.4409000000000001</v>
      </c>
      <c r="AE1413">
        <v>1997.5833333332264</v>
      </c>
      <c r="AF1413">
        <v>-0.60231708890404645</v>
      </c>
    </row>
    <row r="1414" spans="4:32" x14ac:dyDescent="0.35">
      <c r="D1414">
        <v>-0.10976599999999999</v>
      </c>
      <c r="M1414">
        <f t="shared" si="182"/>
        <v>1413</v>
      </c>
      <c r="N1414">
        <f t="shared" si="183"/>
        <v>1997.6666666665596</v>
      </c>
      <c r="O1414">
        <f t="shared" si="178"/>
        <v>0</v>
      </c>
      <c r="P1414">
        <f t="array" ref="P1414">+SUM($G$2:$G$18*SIN(2*PI()*(N1414)*$B$1/$F$2:$F$18+$H$2:$H$18))</f>
        <v>-1.5950352759342208E-2</v>
      </c>
      <c r="Q1414">
        <f t="shared" si="179"/>
        <v>0</v>
      </c>
      <c r="R1414">
        <f t="shared" si="180"/>
        <v>4.867774365493063E-3</v>
      </c>
      <c r="S1414">
        <f t="array" ref="S1414">+$B$2*SIN(R1414*$B$3+$B$4)+0*R1414+ SUM($J$2:$J$20*SIN(2*PI()*N1414*$I$2:$I$20+$K$2:$K$20))</f>
        <v>-0.60295367367571528</v>
      </c>
      <c r="U1414" s="3">
        <f t="shared" si="176"/>
        <v>1997.6666666665596</v>
      </c>
      <c r="V1414" s="3">
        <f t="shared" si="177"/>
        <v>-0.72050399999999992</v>
      </c>
      <c r="Z1414" s="1">
        <v>1997.7083</v>
      </c>
      <c r="AA1414" s="2">
        <f t="shared" si="181"/>
        <v>0.32740000000000002</v>
      </c>
      <c r="AB1414">
        <v>16.37</v>
      </c>
      <c r="AE1414">
        <v>1997.6666666665596</v>
      </c>
      <c r="AF1414">
        <v>-0.60295367367571528</v>
      </c>
    </row>
    <row r="1415" spans="4:32" x14ac:dyDescent="0.35">
      <c r="D1415">
        <v>4.8818E-2</v>
      </c>
      <c r="M1415">
        <f t="shared" si="182"/>
        <v>1414</v>
      </c>
      <c r="N1415">
        <f t="shared" si="183"/>
        <v>1997.7499999998929</v>
      </c>
      <c r="O1415">
        <f t="shared" si="178"/>
        <v>0</v>
      </c>
      <c r="P1415">
        <f t="array" ref="P1415">+SUM($G$2:$G$18*SIN(2*PI()*(N1415)*$B$1/$F$2:$F$18+$H$2:$H$18))</f>
        <v>-0.3541349645819819</v>
      </c>
      <c r="Q1415">
        <f t="shared" si="179"/>
        <v>0</v>
      </c>
      <c r="R1415">
        <f t="shared" si="180"/>
        <v>4.8602870425022912E-3</v>
      </c>
      <c r="S1415">
        <f t="array" ref="S1415">+$B$2*SIN(R1415*$B$3+$B$4)+0*R1415+ SUM($J$2:$J$20*SIN(2*PI()*N1415*$I$2:$I$20+$K$2:$K$20))</f>
        <v>-0.60358808098978123</v>
      </c>
      <c r="U1415" s="3">
        <f t="shared" si="176"/>
        <v>1997.7499999998929</v>
      </c>
      <c r="V1415" s="3">
        <f t="shared" si="177"/>
        <v>-0.91110400000000002</v>
      </c>
      <c r="Z1415" s="1">
        <v>1997.7917</v>
      </c>
      <c r="AA1415" s="2">
        <f t="shared" si="181"/>
        <v>0.241364</v>
      </c>
      <c r="AB1415">
        <v>12.068199999999999</v>
      </c>
      <c r="AE1415">
        <v>1997.7499999998929</v>
      </c>
      <c r="AF1415">
        <v>-0.60358808098978123</v>
      </c>
    </row>
    <row r="1416" spans="4:32" x14ac:dyDescent="0.35">
      <c r="D1416">
        <v>0.32740000000000002</v>
      </c>
      <c r="M1416">
        <f t="shared" si="182"/>
        <v>1415</v>
      </c>
      <c r="N1416">
        <f t="shared" si="183"/>
        <v>1997.8333333332262</v>
      </c>
      <c r="O1416">
        <f t="shared" si="178"/>
        <v>0</v>
      </c>
      <c r="P1416">
        <f t="array" ref="P1416">+SUM($G$2:$G$18*SIN(2*PI()*(N1416)*$B$1/$F$2:$F$18+$H$2:$H$18))</f>
        <v>-0.54402133949165188</v>
      </c>
      <c r="Q1416">
        <f t="shared" si="179"/>
        <v>0</v>
      </c>
      <c r="R1416">
        <f t="shared" si="180"/>
        <v>4.8528112360694698E-3</v>
      </c>
      <c r="S1416">
        <f t="array" ref="S1416">+$B$2*SIN(R1416*$B$3+$B$4)+0*R1416+ SUM($J$2:$J$20*SIN(2*PI()*N1416*$I$2:$I$20+$K$2:$K$20))</f>
        <v>-0.60422031662201703</v>
      </c>
      <c r="U1416" s="3">
        <f t="shared" si="176"/>
        <v>1997.8333333332262</v>
      </c>
      <c r="V1416" s="3">
        <f t="shared" si="177"/>
        <v>-1.1355500000000001</v>
      </c>
      <c r="Z1416" s="1">
        <v>1997.875</v>
      </c>
      <c r="AA1416" s="2">
        <f t="shared" si="181"/>
        <v>3.0714000000000002E-2</v>
      </c>
      <c r="AB1416">
        <v>1.5357000000000001</v>
      </c>
      <c r="AE1416">
        <v>1997.8333333332262</v>
      </c>
      <c r="AF1416">
        <v>-0.60422031662201703</v>
      </c>
    </row>
    <row r="1417" spans="4:32" x14ac:dyDescent="0.35">
      <c r="D1417">
        <v>0.241364</v>
      </c>
      <c r="M1417">
        <f t="shared" si="182"/>
        <v>1416</v>
      </c>
      <c r="N1417">
        <f t="shared" si="183"/>
        <v>1997.9166666665594</v>
      </c>
      <c r="O1417">
        <f t="shared" si="178"/>
        <v>0</v>
      </c>
      <c r="P1417">
        <f t="array" ref="P1417">+SUM($G$2:$G$18*SIN(2*PI()*(N1417)*$B$1/$F$2:$F$18+$H$2:$H$18))</f>
        <v>-0.52705066658431943</v>
      </c>
      <c r="Q1417">
        <f t="shared" si="179"/>
        <v>0</v>
      </c>
      <c r="R1417">
        <f t="shared" si="180"/>
        <v>4.845346928480509E-3</v>
      </c>
      <c r="S1417">
        <f t="array" ref="S1417">+$B$2*SIN(R1417*$B$3+$B$4)+0*R1417+ SUM($J$2:$J$20*SIN(2*PI()*N1417*$I$2:$I$20+$K$2:$K$20))</f>
        <v>-0.60485038634000621</v>
      </c>
      <c r="U1417" s="3">
        <f t="shared" si="176"/>
        <v>1997.9166666665594</v>
      </c>
      <c r="V1417" s="3">
        <f t="shared" si="177"/>
        <v>-1.2923079999999998</v>
      </c>
      <c r="Z1417" s="1">
        <v>1997.9583</v>
      </c>
      <c r="AA1417" s="2">
        <f t="shared" si="181"/>
        <v>-2.7629999999999998E-2</v>
      </c>
      <c r="AB1417">
        <v>-1.3815</v>
      </c>
      <c r="AE1417">
        <v>1997.9166666665594</v>
      </c>
      <c r="AF1417">
        <v>-0.60485038634000621</v>
      </c>
    </row>
    <row r="1418" spans="4:32" x14ac:dyDescent="0.35">
      <c r="D1418">
        <v>3.0714000000000002E-2</v>
      </c>
      <c r="M1418">
        <f t="shared" si="182"/>
        <v>1417</v>
      </c>
      <c r="N1418">
        <f t="shared" si="183"/>
        <v>1997.9999999998927</v>
      </c>
      <c r="O1418">
        <f t="shared" si="178"/>
        <v>36.637715116165623</v>
      </c>
      <c r="P1418">
        <f t="array" ref="P1418">+SUM($G$2:$G$18*SIN(2*PI()*(N1418)*$B$1/$F$2:$F$18+$H$2:$H$18))</f>
        <v>-0.22750610293439605</v>
      </c>
      <c r="Q1418">
        <f t="shared" si="179"/>
        <v>-8.3353037864994537</v>
      </c>
      <c r="R1418">
        <f t="shared" si="180"/>
        <v>-7.9829778180089284E-3</v>
      </c>
      <c r="S1418">
        <f t="array" ref="S1418">+$B$2*SIN(R1418*$B$3+$B$4)+0*R1418+ SUM($J$2:$J$20*SIN(2*PI()*N1418*$I$2:$I$20+$K$2:$K$20))</f>
        <v>0.15402048390852191</v>
      </c>
      <c r="U1418" s="3">
        <f t="shared" si="176"/>
        <v>1997.9999999998927</v>
      </c>
      <c r="V1418" s="3">
        <f t="shared" si="177"/>
        <v>-1.192142</v>
      </c>
      <c r="Z1418" s="1">
        <v>1998.0417</v>
      </c>
      <c r="AA1418" s="2">
        <f t="shared" si="181"/>
        <v>0.1971</v>
      </c>
      <c r="AB1418">
        <v>9.8550000000000004</v>
      </c>
      <c r="AE1418">
        <v>1997.9999999998927</v>
      </c>
      <c r="AF1418">
        <v>0.15402048390852191</v>
      </c>
    </row>
    <row r="1419" spans="4:32" x14ac:dyDescent="0.35">
      <c r="D1419">
        <v>-2.7629999999999998E-2</v>
      </c>
      <c r="M1419">
        <f t="shared" si="182"/>
        <v>1418</v>
      </c>
      <c r="N1419">
        <f t="shared" si="183"/>
        <v>1998.0833333332259</v>
      </c>
      <c r="O1419">
        <f t="shared" si="178"/>
        <v>0</v>
      </c>
      <c r="P1419">
        <f t="array" ref="P1419">+SUM($G$2:$G$18*SIN(2*PI()*(N1419)*$B$1/$F$2:$F$18+$H$2:$H$18))</f>
        <v>0.28393557207281472</v>
      </c>
      <c r="Q1419">
        <f t="shared" si="179"/>
        <v>0</v>
      </c>
      <c r="R1419">
        <f t="shared" si="180"/>
        <v>-7.9706988730817961E-3</v>
      </c>
      <c r="S1419">
        <f t="array" ref="S1419">+$B$2*SIN(R1419*$B$3+$B$4)+0*R1419+ SUM($J$2:$J$20*SIN(2*PI()*N1419*$I$2:$I$20+$K$2:$K$20))</f>
        <v>0.15231728223341645</v>
      </c>
      <c r="U1419" s="3">
        <f t="shared" si="176"/>
        <v>1998.0833333332259</v>
      </c>
      <c r="V1419" s="3">
        <f t="shared" si="177"/>
        <v>-1.00736</v>
      </c>
      <c r="Z1419" s="1">
        <v>1998.125</v>
      </c>
      <c r="AA1419" s="2">
        <f t="shared" si="181"/>
        <v>0.51567600000000002</v>
      </c>
      <c r="AB1419">
        <v>25.783799999999999</v>
      </c>
      <c r="AE1419">
        <v>1998.0833333332259</v>
      </c>
      <c r="AF1419">
        <v>0.15231728223341645</v>
      </c>
    </row>
    <row r="1420" spans="4:32" x14ac:dyDescent="0.35">
      <c r="D1420">
        <v>0.1971</v>
      </c>
      <c r="M1420">
        <f t="shared" si="182"/>
        <v>1419</v>
      </c>
      <c r="N1420">
        <f t="shared" si="183"/>
        <v>1998.1666666665592</v>
      </c>
      <c r="O1420">
        <f t="shared" si="178"/>
        <v>0</v>
      </c>
      <c r="P1420">
        <f t="array" ref="P1420">+SUM($G$2:$G$18*SIN(2*PI()*(N1420)*$B$1/$F$2:$F$18+$H$2:$H$18))</f>
        <v>0.45097629433787395</v>
      </c>
      <c r="Q1420">
        <f t="shared" si="179"/>
        <v>0</v>
      </c>
      <c r="R1420">
        <f t="shared" si="180"/>
        <v>-7.9584388149024354E-3</v>
      </c>
      <c r="S1420">
        <f t="array" ref="S1420">+$B$2*SIN(R1420*$B$3+$B$4)+0*R1420+ SUM($J$2:$J$20*SIN(2*PI()*N1420*$I$2:$I$20+$K$2:$K$20))</f>
        <v>0.15061588867865444</v>
      </c>
      <c r="U1420" s="3">
        <f t="shared" si="176"/>
        <v>1998.1666666665592</v>
      </c>
      <c r="V1420" s="3">
        <f t="shared" si="177"/>
        <v>-0.67642999999999998</v>
      </c>
      <c r="Z1420" s="1">
        <v>1998.2083</v>
      </c>
      <c r="AA1420" s="2">
        <f t="shared" si="181"/>
        <v>0.75117599999999995</v>
      </c>
      <c r="AB1420">
        <v>37.558799999999998</v>
      </c>
      <c r="AE1420">
        <v>1998.1666666665592</v>
      </c>
      <c r="AF1420">
        <v>0.15061588867865444</v>
      </c>
    </row>
    <row r="1421" spans="4:32" x14ac:dyDescent="0.35">
      <c r="D1421">
        <v>0.51567600000000002</v>
      </c>
      <c r="M1421">
        <f t="shared" si="182"/>
        <v>1420</v>
      </c>
      <c r="N1421">
        <f t="shared" si="183"/>
        <v>1998.2499999998925</v>
      </c>
      <c r="O1421">
        <f t="shared" si="178"/>
        <v>0</v>
      </c>
      <c r="P1421">
        <f t="array" ref="P1421">+SUM($G$2:$G$18*SIN(2*PI()*(N1421)*$B$1/$F$2:$F$18+$H$2:$H$18))</f>
        <v>0.21980599726748906</v>
      </c>
      <c r="Q1421">
        <f t="shared" si="179"/>
        <v>0</v>
      </c>
      <c r="R1421">
        <f t="shared" si="180"/>
        <v>-7.9461976144203673E-3</v>
      </c>
      <c r="S1421">
        <f t="array" ref="S1421">+$B$2*SIN(R1421*$B$3+$B$4)+0*R1421+ SUM($J$2:$J$20*SIN(2*PI()*N1421*$I$2:$I$20+$K$2:$K$20))</f>
        <v>0.14891631199621297</v>
      </c>
      <c r="U1421" s="3">
        <f t="shared" si="176"/>
        <v>1998.2499999998925</v>
      </c>
      <c r="V1421" s="3">
        <f t="shared" si="177"/>
        <v>-0.50857600000000003</v>
      </c>
      <c r="Z1421" s="1">
        <v>1998.2917</v>
      </c>
      <c r="AA1421" s="2">
        <f t="shared" si="181"/>
        <v>0.42205599999999999</v>
      </c>
      <c r="AB1421">
        <v>21.102799999999998</v>
      </c>
      <c r="AE1421">
        <v>1998.2499999998925</v>
      </c>
      <c r="AF1421">
        <v>0.14891631199621297</v>
      </c>
    </row>
    <row r="1422" spans="4:32" x14ac:dyDescent="0.35">
      <c r="D1422">
        <v>0.75117599999999995</v>
      </c>
      <c r="M1422">
        <f t="shared" si="182"/>
        <v>1421</v>
      </c>
      <c r="N1422">
        <f t="shared" si="183"/>
        <v>1998.3333333332257</v>
      </c>
      <c r="O1422">
        <f t="shared" si="178"/>
        <v>0</v>
      </c>
      <c r="P1422">
        <f t="array" ref="P1422">+SUM($G$2:$G$18*SIN(2*PI()*(N1422)*$B$1/$F$2:$F$18+$H$2:$H$18))</f>
        <v>-6.6657181532244092E-2</v>
      </c>
      <c r="Q1422">
        <f t="shared" si="179"/>
        <v>0</v>
      </c>
      <c r="R1422">
        <f t="shared" si="180"/>
        <v>-7.9339752426297958E-3</v>
      </c>
      <c r="S1422">
        <f t="array" ref="S1422">+$B$2*SIN(R1422*$B$3+$B$4)+0*R1422+ SUM($J$2:$J$20*SIN(2*PI()*N1422*$I$2:$I$20+$K$2:$K$20))</f>
        <v>0.14721856085175136</v>
      </c>
      <c r="U1422" s="3">
        <f t="shared" si="176"/>
        <v>1998.3333333332257</v>
      </c>
      <c r="V1422" s="3">
        <f t="shared" si="177"/>
        <v>-0.45918199999999998</v>
      </c>
      <c r="Z1422" s="1">
        <v>1998.375</v>
      </c>
      <c r="AA1422" s="2">
        <f t="shared" si="181"/>
        <v>0.33909</v>
      </c>
      <c r="AB1422">
        <v>16.954499999999999</v>
      </c>
      <c r="AE1422">
        <v>1998.3333333332257</v>
      </c>
      <c r="AF1422">
        <v>0.14721856085175136</v>
      </c>
    </row>
    <row r="1423" spans="4:32" x14ac:dyDescent="0.35">
      <c r="D1423">
        <v>0.42205599999999999</v>
      </c>
      <c r="M1423">
        <f t="shared" si="182"/>
        <v>1422</v>
      </c>
      <c r="N1423">
        <f t="shared" si="183"/>
        <v>1998.416666666559</v>
      </c>
      <c r="O1423">
        <f t="shared" si="178"/>
        <v>0</v>
      </c>
      <c r="P1423">
        <f t="array" ref="P1423">+SUM($G$2:$G$18*SIN(2*PI()*(N1423)*$B$1/$F$2:$F$18+$H$2:$H$18))</f>
        <v>-0.35795807391600443</v>
      </c>
      <c r="Q1423">
        <f t="shared" si="179"/>
        <v>0</v>
      </c>
      <c r="R1423">
        <f t="shared" si="180"/>
        <v>-7.9217716705695402E-3</v>
      </c>
      <c r="S1423">
        <f t="array" ref="S1423">+$B$2*SIN(R1423*$B$3+$B$4)+0*R1423+ SUM($J$2:$J$20*SIN(2*PI()*N1423*$I$2:$I$20+$K$2:$K$20))</f>
        <v>0.14552264382506608</v>
      </c>
      <c r="U1423" s="3">
        <f t="shared" si="176"/>
        <v>1998.416666666559</v>
      </c>
      <c r="V1423" s="3">
        <f t="shared" si="177"/>
        <v>-3.64E-3</v>
      </c>
      <c r="Z1423" s="1">
        <v>1998.4583</v>
      </c>
      <c r="AA1423" s="2">
        <f t="shared" si="181"/>
        <v>0.32843200000000006</v>
      </c>
      <c r="AB1423">
        <v>16.421600000000002</v>
      </c>
      <c r="AE1423">
        <v>1998.416666666559</v>
      </c>
      <c r="AF1423">
        <v>0.14552264382506608</v>
      </c>
    </row>
    <row r="1424" spans="4:32" x14ac:dyDescent="0.35">
      <c r="D1424">
        <v>0.33909</v>
      </c>
      <c r="M1424">
        <f t="shared" si="182"/>
        <v>1423</v>
      </c>
      <c r="N1424">
        <f t="shared" si="183"/>
        <v>1998.4999999998922</v>
      </c>
      <c r="O1424">
        <f t="shared" si="178"/>
        <v>0</v>
      </c>
      <c r="P1424">
        <f t="array" ref="P1424">+SUM($G$2:$G$18*SIN(2*PI()*(N1424)*$B$1/$F$2:$F$18+$H$2:$H$18))</f>
        <v>-0.41558316322999789</v>
      </c>
      <c r="Q1424">
        <f t="shared" si="179"/>
        <v>0</v>
      </c>
      <c r="R1424">
        <f t="shared" si="180"/>
        <v>-7.9095868693229657E-3</v>
      </c>
      <c r="S1424">
        <f t="array" ref="S1424">+$B$2*SIN(R1424*$B$3+$B$4)+0*R1424+ SUM($J$2:$J$20*SIN(2*PI()*N1424*$I$2:$I$20+$K$2:$K$20))</f>
        <v>0.14382856941054539</v>
      </c>
      <c r="U1424" s="3">
        <f t="shared" si="176"/>
        <v>1998.4999999998922</v>
      </c>
      <c r="V1424" s="3">
        <f t="shared" si="177"/>
        <v>7.190400000000001E-2</v>
      </c>
      <c r="Z1424" s="1">
        <v>1998.5417</v>
      </c>
      <c r="AA1424" s="2">
        <f t="shared" si="181"/>
        <v>0.53776999999999997</v>
      </c>
      <c r="AB1424">
        <v>26.888500000000001</v>
      </c>
      <c r="AE1424">
        <v>1998.4999999998922</v>
      </c>
      <c r="AF1424">
        <v>0.14382856941054539</v>
      </c>
    </row>
    <row r="1425" spans="4:32" x14ac:dyDescent="0.35">
      <c r="D1425">
        <v>0.32843200000000006</v>
      </c>
      <c r="M1425">
        <f t="shared" si="182"/>
        <v>1424</v>
      </c>
      <c r="N1425">
        <f t="shared" si="183"/>
        <v>1998.5833333332255</v>
      </c>
      <c r="O1425">
        <f t="shared" si="178"/>
        <v>0</v>
      </c>
      <c r="P1425">
        <f t="array" ref="P1425">+SUM($G$2:$G$18*SIN(2*PI()*(N1425)*$B$1/$F$2:$F$18+$H$2:$H$18))</f>
        <v>-0.21441431970709951</v>
      </c>
      <c r="Q1425">
        <f t="shared" si="179"/>
        <v>0</v>
      </c>
      <c r="R1425">
        <f t="shared" si="180"/>
        <v>-7.8974208100179161E-3</v>
      </c>
      <c r="S1425">
        <f t="array" ref="S1425">+$B$2*SIN(R1425*$B$3+$B$4)+0*R1425+ SUM($J$2:$J$20*SIN(2*PI()*N1425*$I$2:$I$20+$K$2:$K$20))</f>
        <v>0.1421363460176209</v>
      </c>
      <c r="U1425" s="3">
        <f t="shared" si="176"/>
        <v>1998.5833333332255</v>
      </c>
      <c r="V1425" s="3">
        <f t="shared" si="177"/>
        <v>0.16744800000000001</v>
      </c>
      <c r="Z1425" s="1">
        <v>1998.625</v>
      </c>
      <c r="AA1425" s="2">
        <f t="shared" si="181"/>
        <v>0.64710999999999996</v>
      </c>
      <c r="AB1425">
        <v>32.355499999999999</v>
      </c>
      <c r="AE1425">
        <v>1998.5833333332255</v>
      </c>
      <c r="AF1425">
        <v>0.1421363460176209</v>
      </c>
    </row>
    <row r="1426" spans="4:32" x14ac:dyDescent="0.35">
      <c r="D1426">
        <v>0.53776999999999997</v>
      </c>
      <c r="M1426">
        <f t="shared" si="182"/>
        <v>1425</v>
      </c>
      <c r="N1426">
        <f t="shared" si="183"/>
        <v>1998.6666666665587</v>
      </c>
      <c r="O1426">
        <f t="shared" si="178"/>
        <v>0</v>
      </c>
      <c r="P1426">
        <f t="array" ref="P1426">+SUM($G$2:$G$18*SIN(2*PI()*(N1426)*$B$1/$F$2:$F$18+$H$2:$H$18))</f>
        <v>-0.14985785472842081</v>
      </c>
      <c r="Q1426">
        <f t="shared" si="179"/>
        <v>0</v>
      </c>
      <c r="R1426">
        <f t="shared" si="180"/>
        <v>-7.8852734638266437E-3</v>
      </c>
      <c r="S1426">
        <f t="array" ref="S1426">+$B$2*SIN(R1426*$B$3+$B$4)+0*R1426+ SUM($J$2:$J$20*SIN(2*PI()*N1426*$I$2:$I$20+$K$2:$K$20))</f>
        <v>0.14044598197122163</v>
      </c>
      <c r="U1426" s="3">
        <f t="shared" si="176"/>
        <v>1998.6666666665587</v>
      </c>
      <c r="V1426" s="3">
        <f t="shared" si="177"/>
        <v>0.15068000000000001</v>
      </c>
      <c r="Z1426" s="1">
        <v>1998.7083</v>
      </c>
      <c r="AA1426" s="2">
        <f t="shared" si="181"/>
        <v>0.67029399999999995</v>
      </c>
      <c r="AB1426">
        <v>33.514699999999998</v>
      </c>
      <c r="AE1426">
        <v>1998.6666666665587</v>
      </c>
      <c r="AF1426">
        <v>0.14044598197122163</v>
      </c>
    </row>
    <row r="1427" spans="4:32" x14ac:dyDescent="0.35">
      <c r="D1427">
        <v>0.64710999999999996</v>
      </c>
      <c r="M1427">
        <f t="shared" si="182"/>
        <v>1426</v>
      </c>
      <c r="N1427">
        <f t="shared" si="183"/>
        <v>1998.749999999892</v>
      </c>
      <c r="O1427">
        <f t="shared" si="178"/>
        <v>0</v>
      </c>
      <c r="P1427">
        <f t="array" ref="P1427">+SUM($G$2:$G$18*SIN(2*PI()*(N1427)*$B$1/$F$2:$F$18+$H$2:$H$18))</f>
        <v>-1.8055592779795016E-2</v>
      </c>
      <c r="Q1427">
        <f t="shared" si="179"/>
        <v>0</v>
      </c>
      <c r="R1427">
        <f t="shared" si="180"/>
        <v>-7.8731448019657424E-3</v>
      </c>
      <c r="S1427">
        <f t="array" ref="S1427">+$B$2*SIN(R1427*$B$3+$B$4)+0*R1427+ SUM($J$2:$J$20*SIN(2*PI()*N1427*$I$2:$I$20+$K$2:$K$20))</f>
        <v>0.13875748551222061</v>
      </c>
      <c r="U1427" s="3">
        <f t="shared" si="176"/>
        <v>1998.749999999892</v>
      </c>
      <c r="V1427" s="3">
        <f t="shared" si="177"/>
        <v>0.17083600000000002</v>
      </c>
      <c r="Z1427" s="1">
        <v>1998.7917</v>
      </c>
      <c r="AA1427" s="2">
        <f t="shared" si="181"/>
        <v>0.47193600000000002</v>
      </c>
      <c r="AB1427">
        <v>23.596800000000002</v>
      </c>
      <c r="AE1427">
        <v>1998.749999999892</v>
      </c>
      <c r="AF1427">
        <v>0.13875748551222061</v>
      </c>
    </row>
    <row r="1428" spans="4:32" x14ac:dyDescent="0.35">
      <c r="D1428">
        <v>0.67029399999999995</v>
      </c>
      <c r="M1428">
        <f t="shared" si="182"/>
        <v>1427</v>
      </c>
      <c r="N1428">
        <f t="shared" si="183"/>
        <v>1998.8333333332253</v>
      </c>
      <c r="O1428">
        <f t="shared" si="178"/>
        <v>0</v>
      </c>
      <c r="P1428">
        <f t="array" ref="P1428">+SUM($G$2:$G$18*SIN(2*PI()*(N1428)*$B$1/$F$2:$F$18+$H$2:$H$18))</f>
        <v>0.36598397462681553</v>
      </c>
      <c r="Q1428">
        <f t="shared" si="179"/>
        <v>0</v>
      </c>
      <c r="R1428">
        <f t="shared" si="180"/>
        <v>-7.8610347956960779E-3</v>
      </c>
      <c r="S1428">
        <f t="array" ref="S1428">+$B$2*SIN(R1428*$B$3+$B$4)+0*R1428+ SUM($J$2:$J$20*SIN(2*PI()*N1428*$I$2:$I$20+$K$2:$K$20))</f>
        <v>0.13707086479788691</v>
      </c>
      <c r="U1428" s="3">
        <f t="shared" si="176"/>
        <v>1998.8333333332253</v>
      </c>
      <c r="V1428" s="3">
        <f t="shared" si="177"/>
        <v>0.135606</v>
      </c>
      <c r="Z1428" s="1">
        <v>1998.875</v>
      </c>
      <c r="AA1428" s="2">
        <f t="shared" si="181"/>
        <v>0.49665799999999999</v>
      </c>
      <c r="AB1428">
        <v>24.832899999999999</v>
      </c>
      <c r="AE1428">
        <v>1998.8333333332253</v>
      </c>
      <c r="AF1428">
        <v>0.13707086479788691</v>
      </c>
    </row>
    <row r="1429" spans="4:32" x14ac:dyDescent="0.35">
      <c r="D1429">
        <v>0.47193600000000002</v>
      </c>
      <c r="M1429">
        <f t="shared" si="182"/>
        <v>1428</v>
      </c>
      <c r="N1429">
        <f t="shared" si="183"/>
        <v>1998.9166666665585</v>
      </c>
      <c r="O1429">
        <f t="shared" si="178"/>
        <v>0</v>
      </c>
      <c r="P1429">
        <f t="array" ref="P1429">+SUM($G$2:$G$18*SIN(2*PI()*(N1429)*$B$1/$F$2:$F$18+$H$2:$H$18))</f>
        <v>0.50154557427376201</v>
      </c>
      <c r="Q1429">
        <f t="shared" si="179"/>
        <v>0</v>
      </c>
      <c r="R1429">
        <f t="shared" si="180"/>
        <v>-7.8489434163227217E-3</v>
      </c>
      <c r="S1429">
        <f t="array" ref="S1429">+$B$2*SIN(R1429*$B$3+$B$4)+0*R1429+ SUM($J$2:$J$20*SIN(2*PI()*N1429*$I$2:$I$20+$K$2:$K$20))</f>
        <v>0.13538612790233057</v>
      </c>
      <c r="U1429" s="3">
        <f t="shared" si="176"/>
        <v>1998.9166666665585</v>
      </c>
      <c r="V1429" s="3">
        <f t="shared" si="177"/>
        <v>0.19729600000000003</v>
      </c>
      <c r="Z1429" s="1">
        <v>1998.9583</v>
      </c>
      <c r="AA1429" s="2">
        <f t="shared" si="181"/>
        <v>0.46906999999999999</v>
      </c>
      <c r="AB1429">
        <v>23.453499999999998</v>
      </c>
      <c r="AE1429">
        <v>1998.9166666665585</v>
      </c>
      <c r="AF1429">
        <v>0.13538612790233057</v>
      </c>
    </row>
    <row r="1430" spans="4:32" x14ac:dyDescent="0.35">
      <c r="D1430">
        <v>0.49665799999999999</v>
      </c>
      <c r="M1430">
        <f t="shared" si="182"/>
        <v>1429</v>
      </c>
      <c r="N1430">
        <f t="shared" si="183"/>
        <v>1998.9999999998918</v>
      </c>
      <c r="O1430">
        <f t="shared" si="178"/>
        <v>36.637715116165623</v>
      </c>
      <c r="P1430">
        <f t="array" ref="P1430">+SUM($G$2:$G$18*SIN(2*PI()*(N1430)*$B$1/$F$2:$F$18+$H$2:$H$18))</f>
        <v>0.23063958705925919</v>
      </c>
      <c r="Q1430">
        <f t="shared" si="179"/>
        <v>8.4501074851872175</v>
      </c>
      <c r="R1430">
        <f t="shared" si="180"/>
        <v>5.1605855527580031E-3</v>
      </c>
      <c r="S1430">
        <f t="array" ref="S1430">+$B$2*SIN(R1430*$B$3+$B$4)+0*R1430+ SUM($J$2:$J$20*SIN(2*PI()*N1430*$I$2:$I$20+$K$2:$K$20))</f>
        <v>-0.57721727087044239</v>
      </c>
      <c r="U1430" s="3">
        <f t="shared" si="176"/>
        <v>1998.9999999998918</v>
      </c>
      <c r="V1430" s="3">
        <f t="shared" si="177"/>
        <v>0.44206400000000001</v>
      </c>
      <c r="Z1430" s="1">
        <v>1999.0417</v>
      </c>
      <c r="AA1430" s="2">
        <f t="shared" si="181"/>
        <v>0.521478</v>
      </c>
      <c r="AB1430">
        <v>26.073899999999998</v>
      </c>
      <c r="AE1430">
        <v>1998.9999999998918</v>
      </c>
      <c r="AF1430">
        <v>-0.57721727087044239</v>
      </c>
    </row>
    <row r="1431" spans="4:32" x14ac:dyDescent="0.35">
      <c r="D1431">
        <v>0.46906999999999999</v>
      </c>
      <c r="M1431">
        <f t="shared" si="182"/>
        <v>1430</v>
      </c>
      <c r="N1431">
        <f t="shared" si="183"/>
        <v>1999.083333333225</v>
      </c>
      <c r="O1431">
        <f t="shared" si="178"/>
        <v>0</v>
      </c>
      <c r="P1431">
        <f t="array" ref="P1431">+SUM($G$2:$G$18*SIN(2*PI()*(N1431)*$B$1/$F$2:$F$18+$H$2:$H$18))</f>
        <v>-0.22272539514831807</v>
      </c>
      <c r="Q1431">
        <f t="shared" si="179"/>
        <v>0</v>
      </c>
      <c r="R1431">
        <f t="shared" si="180"/>
        <v>5.1526478448952646E-3</v>
      </c>
      <c r="S1431">
        <f t="array" ref="S1431">+$B$2*SIN(R1431*$B$3+$B$4)+0*R1431+ SUM($J$2:$J$20*SIN(2*PI()*N1431*$I$2:$I$20+$K$2:$K$20))</f>
        <v>-0.57793842636780379</v>
      </c>
      <c r="U1431" s="3">
        <f t="shared" si="176"/>
        <v>1999.083333333225</v>
      </c>
      <c r="V1431" s="3">
        <f t="shared" si="177"/>
        <v>0.38529400000000003</v>
      </c>
      <c r="Z1431" s="1">
        <v>1999.125</v>
      </c>
      <c r="AA1431" s="2">
        <f t="shared" si="181"/>
        <v>0.36158000000000001</v>
      </c>
      <c r="AB1431">
        <v>18.079000000000001</v>
      </c>
      <c r="AE1431">
        <v>1999.083333333225</v>
      </c>
      <c r="AF1431">
        <v>-0.57793842636780379</v>
      </c>
    </row>
    <row r="1432" spans="4:32" x14ac:dyDescent="0.35">
      <c r="D1432">
        <v>0.521478</v>
      </c>
      <c r="M1432">
        <f t="shared" si="182"/>
        <v>1431</v>
      </c>
      <c r="N1432">
        <f t="shared" si="183"/>
        <v>1999.1666666665583</v>
      </c>
      <c r="O1432">
        <f t="shared" si="178"/>
        <v>0</v>
      </c>
      <c r="P1432">
        <f t="array" ref="P1432">+SUM($G$2:$G$18*SIN(2*PI()*(N1432)*$B$1/$F$2:$F$18+$H$2:$H$18))</f>
        <v>-0.53023244012512549</v>
      </c>
      <c r="Q1432">
        <f t="shared" si="179"/>
        <v>0</v>
      </c>
      <c r="R1432">
        <f t="shared" si="180"/>
        <v>5.1447223463458825E-3</v>
      </c>
      <c r="S1432">
        <f t="array" ref="S1432">+$B$2*SIN(R1432*$B$3+$B$4)+0*R1432+ SUM($J$2:$J$20*SIN(2*PI()*N1432*$I$2:$I$20+$K$2:$K$20))</f>
        <v>-0.57865718567137203</v>
      </c>
      <c r="U1432" s="3">
        <f t="shared" si="176"/>
        <v>1999.1666666665583</v>
      </c>
      <c r="V1432" s="3">
        <f t="shared" si="177"/>
        <v>0.13621</v>
      </c>
      <c r="Z1432" s="1">
        <v>1999.2083</v>
      </c>
      <c r="AA1432" s="2">
        <f t="shared" si="181"/>
        <v>3.8603999999999999E-2</v>
      </c>
      <c r="AB1432">
        <v>1.9301999999999999</v>
      </c>
      <c r="AE1432">
        <v>1999.1666666665583</v>
      </c>
      <c r="AF1432">
        <v>-0.57865718567137203</v>
      </c>
    </row>
    <row r="1433" spans="4:32" x14ac:dyDescent="0.35">
      <c r="D1433">
        <v>0.36158000000000001</v>
      </c>
      <c r="M1433">
        <f t="shared" si="182"/>
        <v>1432</v>
      </c>
      <c r="N1433">
        <f t="shared" si="183"/>
        <v>1999.2499999998915</v>
      </c>
      <c r="O1433">
        <f t="shared" si="178"/>
        <v>0</v>
      </c>
      <c r="P1433">
        <f t="array" ref="P1433">+SUM($G$2:$G$18*SIN(2*PI()*(N1433)*$B$1/$F$2:$F$18+$H$2:$H$18))</f>
        <v>-0.23563783605645591</v>
      </c>
      <c r="Q1433">
        <f t="shared" si="179"/>
        <v>0</v>
      </c>
      <c r="R1433">
        <f t="shared" si="180"/>
        <v>5.1368090383302114E-3</v>
      </c>
      <c r="S1433">
        <f t="array" ref="S1433">+$B$2*SIN(R1433*$B$3+$B$4)+0*R1433+ SUM($J$2:$J$20*SIN(2*PI()*N1433*$I$2:$I$20+$K$2:$K$20))</f>
        <v>-0.57937355482720276</v>
      </c>
      <c r="U1433" s="3">
        <f t="shared" si="176"/>
        <v>1999.2499999998915</v>
      </c>
      <c r="V1433" s="3">
        <f t="shared" si="177"/>
        <v>-0.26363999999999999</v>
      </c>
      <c r="Z1433" s="1">
        <v>1999.2917</v>
      </c>
      <c r="AA1433" s="2">
        <f t="shared" si="181"/>
        <v>-0.11053</v>
      </c>
      <c r="AB1433">
        <v>-5.5265000000000004</v>
      </c>
      <c r="AE1433">
        <v>1999.2499999998915</v>
      </c>
      <c r="AF1433">
        <v>-0.57937355482720276</v>
      </c>
    </row>
    <row r="1434" spans="4:32" x14ac:dyDescent="0.35">
      <c r="D1434">
        <v>3.8603999999999999E-2</v>
      </c>
      <c r="M1434">
        <f t="shared" si="182"/>
        <v>1433</v>
      </c>
      <c r="N1434">
        <f t="shared" si="183"/>
        <v>1999.3333333332248</v>
      </c>
      <c r="O1434">
        <f t="shared" si="178"/>
        <v>0</v>
      </c>
      <c r="P1434">
        <f t="array" ref="P1434">+SUM($G$2:$G$18*SIN(2*PI()*(N1434)*$B$1/$F$2:$F$18+$H$2:$H$18))</f>
        <v>0.25400700751430572</v>
      </c>
      <c r="Q1434">
        <f t="shared" si="179"/>
        <v>0</v>
      </c>
      <c r="R1434">
        <f t="shared" si="180"/>
        <v>5.1289079020974933E-3</v>
      </c>
      <c r="S1434">
        <f t="array" ref="S1434">+$B$2*SIN(R1434*$B$3+$B$4)+0*R1434+ SUM($J$2:$J$20*SIN(2*PI()*N1434*$I$2:$I$20+$K$2:$K$20))</f>
        <v>-0.58008753987499051</v>
      </c>
      <c r="U1434" s="3">
        <f t="shared" si="176"/>
        <v>1999.3333333332248</v>
      </c>
      <c r="V1434" s="3">
        <f t="shared" si="177"/>
        <v>-0.67118399999999989</v>
      </c>
      <c r="Z1434" s="1">
        <v>1999.375</v>
      </c>
      <c r="AA1434" s="2">
        <f t="shared" si="181"/>
        <v>8.1876000000000004E-2</v>
      </c>
      <c r="AB1434">
        <v>4.0937999999999999</v>
      </c>
      <c r="AE1434">
        <v>1999.3333333332248</v>
      </c>
      <c r="AF1434">
        <v>-0.58008753987499051</v>
      </c>
    </row>
    <row r="1435" spans="4:32" x14ac:dyDescent="0.35">
      <c r="D1435">
        <v>-0.11053</v>
      </c>
      <c r="M1435">
        <f t="shared" si="182"/>
        <v>1434</v>
      </c>
      <c r="N1435">
        <f t="shared" si="183"/>
        <v>1999.4166666665581</v>
      </c>
      <c r="O1435">
        <f t="shared" si="178"/>
        <v>0</v>
      </c>
      <c r="P1435">
        <f t="array" ref="P1435">+SUM($G$2:$G$18*SIN(2*PI()*(N1435)*$B$1/$F$2:$F$18+$H$2:$H$18))</f>
        <v>0.24029829803406438</v>
      </c>
      <c r="Q1435">
        <f t="shared" si="179"/>
        <v>0</v>
      </c>
      <c r="R1435">
        <f t="shared" si="180"/>
        <v>5.1210189189258102E-3</v>
      </c>
      <c r="S1435">
        <f t="array" ref="S1435">+$B$2*SIN(R1435*$B$3+$B$4)+0*R1435+ SUM($J$2:$J$20*SIN(2*PI()*N1435*$I$2:$I$20+$K$2:$K$20))</f>
        <v>-0.58079914684800904</v>
      </c>
      <c r="U1435" s="3">
        <f t="shared" si="176"/>
        <v>1999.4166666665581</v>
      </c>
      <c r="V1435" s="3">
        <f t="shared" si="177"/>
        <v>-0.90334800000000004</v>
      </c>
      <c r="Z1435" s="1">
        <v>1999.4583</v>
      </c>
      <c r="AA1435" s="2">
        <f t="shared" si="181"/>
        <v>-0.242642</v>
      </c>
      <c r="AB1435">
        <v>-12.132099999999999</v>
      </c>
      <c r="AE1435">
        <v>1999.4166666665581</v>
      </c>
      <c r="AF1435">
        <v>-0.58079914684800904</v>
      </c>
    </row>
    <row r="1436" spans="4:32" x14ac:dyDescent="0.35">
      <c r="D1436">
        <v>8.1876000000000004E-2</v>
      </c>
      <c r="M1436">
        <f t="shared" si="182"/>
        <v>1435</v>
      </c>
      <c r="N1436">
        <f t="shared" si="183"/>
        <v>1999.4999999998913</v>
      </c>
      <c r="O1436">
        <f t="shared" si="178"/>
        <v>0</v>
      </c>
      <c r="P1436">
        <f t="array" ref="P1436">+SUM($G$2:$G$18*SIN(2*PI()*(N1436)*$B$1/$F$2:$F$18+$H$2:$H$18))</f>
        <v>0.15772768490951883</v>
      </c>
      <c r="Q1436">
        <f t="shared" si="179"/>
        <v>0</v>
      </c>
      <c r="R1436">
        <f t="shared" si="180"/>
        <v>5.1131420701220412E-3</v>
      </c>
      <c r="S1436">
        <f t="array" ref="S1436">+$B$2*SIN(R1436*$B$3+$B$4)+0*R1436+ SUM($J$2:$J$20*SIN(2*PI()*N1436*$I$2:$I$20+$K$2:$K$20))</f>
        <v>-0.58150838177305153</v>
      </c>
      <c r="U1436" s="3">
        <f t="shared" si="176"/>
        <v>1999.4999999998913</v>
      </c>
      <c r="V1436" s="3">
        <f t="shared" si="177"/>
        <v>-1.23397</v>
      </c>
      <c r="Z1436" s="1">
        <v>1999.5417</v>
      </c>
      <c r="AA1436" s="2">
        <f t="shared" si="181"/>
        <v>-0.134856</v>
      </c>
      <c r="AB1436">
        <v>-6.7427999999999999</v>
      </c>
      <c r="AE1436">
        <v>1999.4999999998913</v>
      </c>
      <c r="AF1436">
        <v>-0.58150838177305153</v>
      </c>
    </row>
    <row r="1437" spans="4:32" x14ac:dyDescent="0.35">
      <c r="D1437">
        <v>-0.242642</v>
      </c>
      <c r="M1437">
        <f t="shared" si="182"/>
        <v>1436</v>
      </c>
      <c r="N1437">
        <f t="shared" si="183"/>
        <v>1999.5833333332246</v>
      </c>
      <c r="O1437">
        <f t="shared" si="178"/>
        <v>0</v>
      </c>
      <c r="P1437">
        <f t="array" ref="P1437">+SUM($G$2:$G$18*SIN(2*PI()*(N1437)*$B$1/$F$2:$F$18+$H$2:$H$18))</f>
        <v>0.37759392273972947</v>
      </c>
      <c r="Q1437">
        <f t="shared" si="179"/>
        <v>0</v>
      </c>
      <c r="R1437">
        <f t="shared" si="180"/>
        <v>5.1052773370218185E-3</v>
      </c>
      <c r="S1437">
        <f t="array" ref="S1437">+$B$2*SIN(R1437*$B$3+$B$4)+0*R1437+ SUM($J$2:$J$20*SIN(2*PI()*N1437*$I$2:$I$20+$K$2:$K$20))</f>
        <v>-0.58221525067037205</v>
      </c>
      <c r="U1437" s="3">
        <f t="shared" si="176"/>
        <v>1999.5833333332246</v>
      </c>
      <c r="V1437" s="3">
        <f t="shared" si="177"/>
        <v>-1.3261320000000001</v>
      </c>
      <c r="Z1437" s="1">
        <v>1999.625</v>
      </c>
      <c r="AA1437" s="2">
        <f t="shared" si="181"/>
        <v>-4.8605999999999996E-2</v>
      </c>
      <c r="AB1437">
        <v>-2.4302999999999999</v>
      </c>
      <c r="AE1437">
        <v>1999.5833333332246</v>
      </c>
      <c r="AF1437">
        <v>-0.58221525067037205</v>
      </c>
    </row>
    <row r="1438" spans="4:32" x14ac:dyDescent="0.35">
      <c r="D1438">
        <v>-0.134856</v>
      </c>
      <c r="M1438">
        <f t="shared" si="182"/>
        <v>1437</v>
      </c>
      <c r="N1438">
        <f t="shared" si="183"/>
        <v>1999.6666666665578</v>
      </c>
      <c r="O1438">
        <f t="shared" si="178"/>
        <v>0</v>
      </c>
      <c r="P1438">
        <f t="array" ref="P1438">+SUM($G$2:$G$18*SIN(2*PI()*(N1438)*$B$1/$F$2:$F$18+$H$2:$H$18))</f>
        <v>0.45338204488593625</v>
      </c>
      <c r="Q1438">
        <f t="shared" si="179"/>
        <v>0</v>
      </c>
      <c r="R1438">
        <f t="shared" si="180"/>
        <v>5.0974247009894832E-3</v>
      </c>
      <c r="S1438">
        <f t="array" ref="S1438">+$B$2*SIN(R1438*$B$3+$B$4)+0*R1438+ SUM($J$2:$J$20*SIN(2*PI()*N1438*$I$2:$I$20+$K$2:$K$20))</f>
        <v>-0.58291975955362696</v>
      </c>
      <c r="U1438" s="3">
        <f t="shared" si="176"/>
        <v>1999.6666666665578</v>
      </c>
      <c r="V1438" s="3">
        <f t="shared" si="177"/>
        <v>-1.1521460000000001</v>
      </c>
      <c r="Z1438" s="1">
        <v>1999.7083</v>
      </c>
      <c r="AA1438" s="2">
        <f t="shared" si="181"/>
        <v>1.4563999999999999E-2</v>
      </c>
      <c r="AB1438">
        <v>0.72819999999999996</v>
      </c>
      <c r="AE1438">
        <v>1999.6666666665578</v>
      </c>
      <c r="AF1438">
        <v>-0.58291975955362696</v>
      </c>
    </row>
    <row r="1439" spans="4:32" x14ac:dyDescent="0.35">
      <c r="D1439">
        <v>-4.8605999999999996E-2</v>
      </c>
      <c r="M1439">
        <f t="shared" si="182"/>
        <v>1438</v>
      </c>
      <c r="N1439">
        <f t="shared" si="183"/>
        <v>1999.7499999998911</v>
      </c>
      <c r="O1439">
        <f t="shared" si="178"/>
        <v>0</v>
      </c>
      <c r="P1439">
        <f t="array" ref="P1439">+SUM($G$2:$G$18*SIN(2*PI()*(N1439)*$B$1/$F$2:$F$18+$H$2:$H$18))</f>
        <v>0.17546327602662931</v>
      </c>
      <c r="Q1439">
        <f t="shared" si="179"/>
        <v>0</v>
      </c>
      <c r="R1439">
        <f t="shared" si="180"/>
        <v>5.089584143418039E-3</v>
      </c>
      <c r="S1439">
        <f t="array" ref="S1439">+$B$2*SIN(R1439*$B$3+$B$4)+0*R1439+ SUM($J$2:$J$20*SIN(2*PI()*N1439*$I$2:$I$20+$K$2:$K$20))</f>
        <v>-0.58362191442981737</v>
      </c>
      <c r="U1439" s="3">
        <f t="shared" si="176"/>
        <v>1999.7499999998911</v>
      </c>
      <c r="V1439" s="3">
        <f t="shared" si="177"/>
        <v>-1.230464</v>
      </c>
      <c r="Z1439" s="1">
        <v>1999.7917</v>
      </c>
      <c r="AA1439" s="2">
        <f t="shared" si="181"/>
        <v>-7.3037999999999992E-2</v>
      </c>
      <c r="AB1439">
        <v>-3.6518999999999999</v>
      </c>
      <c r="AE1439">
        <v>1999.7499999998911</v>
      </c>
      <c r="AF1439">
        <v>-0.58362191442981737</v>
      </c>
    </row>
    <row r="1440" spans="4:32" x14ac:dyDescent="0.35">
      <c r="D1440">
        <v>1.4563999999999999E-2</v>
      </c>
      <c r="M1440">
        <f t="shared" si="182"/>
        <v>1439</v>
      </c>
      <c r="N1440">
        <f t="shared" si="183"/>
        <v>1999.8333333332243</v>
      </c>
      <c r="O1440">
        <f t="shared" si="178"/>
        <v>0</v>
      </c>
      <c r="P1440">
        <f t="array" ref="P1440">+SUM($G$2:$G$18*SIN(2*PI()*(N1440)*$B$1/$F$2:$F$18+$H$2:$H$18))</f>
        <v>-0.3219106513090762</v>
      </c>
      <c r="Q1440">
        <f t="shared" si="179"/>
        <v>0</v>
      </c>
      <c r="R1440">
        <f t="shared" si="180"/>
        <v>5.081755645729112E-3</v>
      </c>
      <c r="S1440">
        <f t="array" ref="S1440">+$B$2*SIN(R1440*$B$3+$B$4)+0*R1440+ SUM($J$2:$J$20*SIN(2*PI()*N1440*$I$2:$I$20+$K$2:$K$20))</f>
        <v>-0.58432172129923199</v>
      </c>
      <c r="U1440" s="3">
        <f t="shared" si="176"/>
        <v>1999.8333333332243</v>
      </c>
      <c r="V1440" s="3">
        <f t="shared" si="177"/>
        <v>-1.3164760000000002</v>
      </c>
      <c r="Z1440" s="1">
        <v>1999.875</v>
      </c>
      <c r="AA1440" s="2">
        <f t="shared" si="181"/>
        <v>-0.22832999999999998</v>
      </c>
      <c r="AB1440">
        <v>-11.416499999999999</v>
      </c>
      <c r="AE1440">
        <v>1999.8333333332243</v>
      </c>
      <c r="AF1440">
        <v>-0.58432172129923199</v>
      </c>
    </row>
    <row r="1441" spans="4:32" x14ac:dyDescent="0.35">
      <c r="D1441">
        <v>-7.3037999999999992E-2</v>
      </c>
      <c r="M1441">
        <f t="shared" si="182"/>
        <v>1440</v>
      </c>
      <c r="N1441">
        <f t="shared" si="183"/>
        <v>1999.9166666665576</v>
      </c>
      <c r="O1441">
        <f t="shared" si="178"/>
        <v>0</v>
      </c>
      <c r="P1441">
        <f t="array" ref="P1441">+SUM($G$2:$G$18*SIN(2*PI()*(N1441)*$B$1/$F$2:$F$18+$H$2:$H$18))</f>
        <v>-0.53257664061845023</v>
      </c>
      <c r="Q1441">
        <f t="shared" si="179"/>
        <v>0</v>
      </c>
      <c r="R1441">
        <f t="shared" si="180"/>
        <v>5.0739391893729023E-3</v>
      </c>
      <c r="S1441">
        <f t="array" ref="S1441">+$B$2*SIN(R1441*$B$3+$B$4)+0*R1441+ SUM($J$2:$J$20*SIN(2*PI()*N1441*$I$2:$I$20+$K$2:$K$20))</f>
        <v>-0.58501918615539117</v>
      </c>
      <c r="U1441" s="3">
        <f t="shared" si="176"/>
        <v>1999.9166666665576</v>
      </c>
      <c r="V1441" s="3">
        <f t="shared" si="177"/>
        <v>-1.3901859999999999</v>
      </c>
      <c r="Z1441" s="1">
        <v>1999.9583</v>
      </c>
      <c r="AA1441" s="2">
        <f t="shared" si="181"/>
        <v>-9.1316000000000008E-2</v>
      </c>
      <c r="AB1441">
        <v>-4.5658000000000003</v>
      </c>
      <c r="AE1441">
        <v>1999.9166666665576</v>
      </c>
      <c r="AF1441">
        <v>-0.58501918615539117</v>
      </c>
    </row>
    <row r="1442" spans="4:32" x14ac:dyDescent="0.35">
      <c r="D1442">
        <v>-0.22832999999999998</v>
      </c>
      <c r="M1442">
        <f t="shared" si="182"/>
        <v>1441</v>
      </c>
      <c r="N1442">
        <f t="shared" si="183"/>
        <v>1999.9999999998909</v>
      </c>
      <c r="O1442">
        <f t="shared" si="178"/>
        <v>36.637715116165623</v>
      </c>
      <c r="P1442">
        <f t="array" ref="P1442">+SUM($G$2:$G$18*SIN(2*PI()*(N1442)*$B$1/$F$2:$F$18+$H$2:$H$18))</f>
        <v>1.4770232203695664E-2</v>
      </c>
      <c r="Q1442">
        <f t="shared" si="179"/>
        <v>0.54114755967861694</v>
      </c>
      <c r="R1442">
        <f t="shared" si="180"/>
        <v>5.8984959666730985E-3</v>
      </c>
      <c r="S1442">
        <f t="array" ref="S1442">+$B$2*SIN(R1442*$B$3+$B$4)+0*R1442+ SUM($J$2:$J$20*SIN(2*PI()*N1442*$I$2:$I$20+$K$2:$K$20))</f>
        <v>-0.50477440781195104</v>
      </c>
      <c r="U1442" s="3">
        <f t="shared" si="176"/>
        <v>1999.9999999998909</v>
      </c>
      <c r="V1442" s="3">
        <f t="shared" si="177"/>
        <v>-1.3838919999999999</v>
      </c>
      <c r="Z1442" s="1">
        <v>2000.0417</v>
      </c>
      <c r="AA1442" s="2">
        <f t="shared" si="181"/>
        <v>0.19954</v>
      </c>
      <c r="AB1442">
        <v>9.9770000000000003</v>
      </c>
      <c r="AE1442">
        <v>1999.9999999998909</v>
      </c>
      <c r="AF1442">
        <v>-0.50477440781195104</v>
      </c>
    </row>
    <row r="1443" spans="4:32" x14ac:dyDescent="0.35">
      <c r="D1443">
        <v>-9.1316000000000008E-2</v>
      </c>
      <c r="M1443">
        <f t="shared" si="182"/>
        <v>1442</v>
      </c>
      <c r="N1443">
        <f t="shared" si="183"/>
        <v>2000.0833333332241</v>
      </c>
      <c r="O1443">
        <f t="shared" si="178"/>
        <v>0</v>
      </c>
      <c r="P1443">
        <f t="array" ref="P1443">+SUM($G$2:$G$18*SIN(2*PI()*(N1443)*$B$1/$F$2:$F$18+$H$2:$H$18))</f>
        <v>0.57495172343609857</v>
      </c>
      <c r="Q1443">
        <f t="shared" si="179"/>
        <v>0</v>
      </c>
      <c r="R1443">
        <f t="shared" si="180"/>
        <v>5.8894232485998616E-3</v>
      </c>
      <c r="S1443">
        <f t="array" ref="S1443">+$B$2*SIN(R1443*$B$3+$B$4)+0*R1443+ SUM($J$2:$J$20*SIN(2*PI()*N1443*$I$2:$I$20+$K$2:$K$20))</f>
        <v>-0.50572718876199552</v>
      </c>
      <c r="U1443" s="3">
        <f t="shared" si="176"/>
        <v>2000.0833333332241</v>
      </c>
      <c r="V1443" s="3">
        <f t="shared" si="177"/>
        <v>-1.6683699999999999</v>
      </c>
      <c r="Z1443" s="1">
        <v>2000.125</v>
      </c>
      <c r="AA1443" s="2">
        <f t="shared" si="181"/>
        <v>0.29809000000000002</v>
      </c>
      <c r="AB1443">
        <v>14.904500000000001</v>
      </c>
      <c r="AE1443">
        <v>2000.0833333332241</v>
      </c>
      <c r="AF1443">
        <v>-0.50572718876199552</v>
      </c>
    </row>
    <row r="1444" spans="4:32" x14ac:dyDescent="0.35">
      <c r="D1444">
        <v>0.19954</v>
      </c>
      <c r="M1444">
        <f t="shared" si="182"/>
        <v>1443</v>
      </c>
      <c r="N1444">
        <f t="shared" si="183"/>
        <v>2000.1666666665574</v>
      </c>
      <c r="O1444">
        <f t="shared" si="178"/>
        <v>0</v>
      </c>
      <c r="P1444">
        <f t="array" ref="P1444">+SUM($G$2:$G$18*SIN(2*PI()*(N1444)*$B$1/$F$2:$F$18+$H$2:$H$18))</f>
        <v>0.43455953189752283</v>
      </c>
      <c r="Q1444">
        <f t="shared" si="179"/>
        <v>0</v>
      </c>
      <c r="R1444">
        <f t="shared" si="180"/>
        <v>5.8803644856456425E-3</v>
      </c>
      <c r="S1444">
        <f t="array" ref="S1444">+$B$2*SIN(R1444*$B$3+$B$4)+0*R1444+ SUM($J$2:$J$20*SIN(2*PI()*N1444*$I$2:$I$20+$K$2:$K$20))</f>
        <v>-0.50667703296400401</v>
      </c>
      <c r="U1444" s="3">
        <f t="shared" si="176"/>
        <v>2000.1666666665574</v>
      </c>
      <c r="V1444" s="3">
        <f t="shared" si="177"/>
        <v>-1.7251580000000002</v>
      </c>
      <c r="Z1444" s="1">
        <v>2000.2083</v>
      </c>
      <c r="AA1444" s="2">
        <f t="shared" si="181"/>
        <v>0.26433000000000001</v>
      </c>
      <c r="AB1444">
        <v>13.2165</v>
      </c>
      <c r="AE1444">
        <v>2000.1666666665574</v>
      </c>
      <c r="AF1444">
        <v>-0.50667703296400401</v>
      </c>
    </row>
    <row r="1445" spans="4:32" x14ac:dyDescent="0.35">
      <c r="D1445">
        <v>0.29809000000000002</v>
      </c>
      <c r="M1445">
        <f t="shared" si="182"/>
        <v>1444</v>
      </c>
      <c r="N1445">
        <f t="shared" si="183"/>
        <v>2000.2499999998906</v>
      </c>
      <c r="O1445">
        <f t="shared" si="178"/>
        <v>0</v>
      </c>
      <c r="P1445">
        <f t="array" ref="P1445">+SUM($G$2:$G$18*SIN(2*PI()*(N1445)*$B$1/$F$2:$F$18+$H$2:$H$18))</f>
        <v>0.20118067032751386</v>
      </c>
      <c r="Q1445">
        <f t="shared" si="179"/>
        <v>0</v>
      </c>
      <c r="R1445">
        <f t="shared" si="180"/>
        <v>5.8713196563455004E-3</v>
      </c>
      <c r="S1445">
        <f t="array" ref="S1445">+$B$2*SIN(R1445*$B$3+$B$4)+0*R1445+ SUM($J$2:$J$20*SIN(2*PI()*N1445*$I$2:$I$20+$K$2:$K$20))</f>
        <v>-0.50762394670281263</v>
      </c>
      <c r="U1445" s="3">
        <f t="shared" si="176"/>
        <v>2000.2499999998906</v>
      </c>
      <c r="V1445" s="3">
        <f t="shared" si="177"/>
        <v>-1.5804060000000002</v>
      </c>
      <c r="Z1445" s="1">
        <v>2000.2917</v>
      </c>
      <c r="AA1445" s="2">
        <f t="shared" si="181"/>
        <v>2.7490000000000001E-2</v>
      </c>
      <c r="AB1445">
        <v>1.3745000000000001</v>
      </c>
      <c r="AE1445">
        <v>2000.2499999998906</v>
      </c>
      <c r="AF1445">
        <v>-0.50762394670281263</v>
      </c>
    </row>
    <row r="1446" spans="4:32" x14ac:dyDescent="0.35">
      <c r="D1446">
        <v>0.26433000000000001</v>
      </c>
      <c r="M1446">
        <f t="shared" si="182"/>
        <v>1445</v>
      </c>
      <c r="N1446">
        <f t="shared" si="183"/>
        <v>2000.3333333332239</v>
      </c>
      <c r="O1446">
        <f t="shared" si="178"/>
        <v>0</v>
      </c>
      <c r="P1446">
        <f t="array" ref="P1446">+SUM($G$2:$G$18*SIN(2*PI()*(N1446)*$B$1/$F$2:$F$18+$H$2:$H$18))</f>
        <v>0.22999378170478826</v>
      </c>
      <c r="Q1446">
        <f t="shared" si="179"/>
        <v>0</v>
      </c>
      <c r="R1446">
        <f t="shared" si="180"/>
        <v>5.862288739267512E-3</v>
      </c>
      <c r="S1446">
        <f t="array" ref="S1446">+$B$2*SIN(R1446*$B$3+$B$4)+0*R1446+ SUM($J$2:$J$20*SIN(2*PI()*N1446*$I$2:$I$20+$K$2:$K$20))</f>
        <v>-0.50856793626509755</v>
      </c>
      <c r="U1446" s="3">
        <f t="shared" si="176"/>
        <v>2000.3333333332239</v>
      </c>
      <c r="V1446" s="3">
        <f t="shared" si="177"/>
        <v>-1.2633479999999999</v>
      </c>
      <c r="Z1446" s="1">
        <v>2000.375</v>
      </c>
      <c r="AA1446" s="2">
        <f t="shared" si="181"/>
        <v>-0.22165400000000002</v>
      </c>
      <c r="AB1446">
        <v>-11.082700000000001</v>
      </c>
      <c r="AE1446">
        <v>2000.3333333332239</v>
      </c>
      <c r="AF1446">
        <v>-0.50856793626509755</v>
      </c>
    </row>
    <row r="1447" spans="4:32" x14ac:dyDescent="0.35">
      <c r="D1447">
        <v>2.7490000000000001E-2</v>
      </c>
      <c r="M1447">
        <f t="shared" si="182"/>
        <v>1446</v>
      </c>
      <c r="N1447">
        <f t="shared" si="183"/>
        <v>2000.4166666665571</v>
      </c>
      <c r="O1447">
        <f t="shared" si="178"/>
        <v>0</v>
      </c>
      <c r="P1447">
        <f t="array" ref="P1447">+SUM($G$2:$G$18*SIN(2*PI()*(N1447)*$B$1/$F$2:$F$18+$H$2:$H$18))</f>
        <v>0.19158073948088628</v>
      </c>
      <c r="Q1447">
        <f t="shared" si="179"/>
        <v>0</v>
      </c>
      <c r="R1447">
        <f t="shared" si="180"/>
        <v>5.8532717130127185E-3</v>
      </c>
      <c r="S1447">
        <f t="array" ref="S1447">+$B$2*SIN(R1447*$B$3+$B$4)+0*R1447+ SUM($J$2:$J$20*SIN(2*PI()*N1447*$I$2:$I$20+$K$2:$K$20))</f>
        <v>-0.50950900793924025</v>
      </c>
      <c r="U1447" s="3">
        <f t="shared" si="176"/>
        <v>2000.4166666665571</v>
      </c>
      <c r="V1447" s="3">
        <f t="shared" si="177"/>
        <v>-0.747834</v>
      </c>
      <c r="Z1447" s="1">
        <v>2000.4583</v>
      </c>
      <c r="AA1447" s="2">
        <f t="shared" si="181"/>
        <v>-0.22156999999999999</v>
      </c>
      <c r="AB1447">
        <v>-11.0785</v>
      </c>
      <c r="AE1447">
        <v>2000.4166666665571</v>
      </c>
      <c r="AF1447">
        <v>-0.50950900793924025</v>
      </c>
    </row>
    <row r="1448" spans="4:32" x14ac:dyDescent="0.35">
      <c r="D1448">
        <v>-0.22165400000000002</v>
      </c>
      <c r="M1448">
        <f t="shared" si="182"/>
        <v>1447</v>
      </c>
      <c r="N1448">
        <f t="shared" si="183"/>
        <v>2000.4999999998904</v>
      </c>
      <c r="O1448">
        <f t="shared" si="178"/>
        <v>0</v>
      </c>
      <c r="P1448">
        <f t="array" ref="P1448">+SUM($G$2:$G$18*SIN(2*PI()*(N1448)*$B$1/$F$2:$F$18+$H$2:$H$18))</f>
        <v>-2.4105668389719254E-2</v>
      </c>
      <c r="Q1448">
        <f t="shared" si="179"/>
        <v>0</v>
      </c>
      <c r="R1448">
        <f t="shared" si="180"/>
        <v>5.8442685562150772E-3</v>
      </c>
      <c r="S1448">
        <f t="array" ref="S1448">+$B$2*SIN(R1448*$B$3+$B$4)+0*R1448+ SUM($J$2:$J$20*SIN(2*PI()*N1448*$I$2:$I$20+$K$2:$K$20))</f>
        <v>-0.51044716801519452</v>
      </c>
      <c r="U1448" s="3">
        <f t="shared" si="176"/>
        <v>2000.4999999998904</v>
      </c>
      <c r="V1448" s="3">
        <f t="shared" si="177"/>
        <v>-0.52000800000000003</v>
      </c>
      <c r="Z1448" s="1">
        <v>2000.5417</v>
      </c>
      <c r="AA1448" s="2">
        <f t="shared" si="181"/>
        <v>-0.28610600000000003</v>
      </c>
      <c r="AB1448">
        <v>-14.305300000000001</v>
      </c>
      <c r="AE1448">
        <v>2000.4999999998904</v>
      </c>
      <c r="AF1448">
        <v>-0.51044716801519452</v>
      </c>
    </row>
    <row r="1449" spans="4:32" x14ac:dyDescent="0.35">
      <c r="D1449">
        <v>-0.22156999999999999</v>
      </c>
      <c r="M1449">
        <f t="shared" si="182"/>
        <v>1448</v>
      </c>
      <c r="N1449">
        <f t="shared" si="183"/>
        <v>2000.5833333332237</v>
      </c>
      <c r="O1449">
        <f t="shared" si="178"/>
        <v>0</v>
      </c>
      <c r="P1449">
        <f t="array" ref="P1449">+SUM($G$2:$G$18*SIN(2*PI()*(N1449)*$B$1/$F$2:$F$18+$H$2:$H$18))</f>
        <v>-0.38855583281143719</v>
      </c>
      <c r="Q1449">
        <f t="shared" si="179"/>
        <v>0</v>
      </c>
      <c r="R1449">
        <f t="shared" si="180"/>
        <v>5.8352792475414072E-3</v>
      </c>
      <c r="S1449">
        <f t="array" ref="S1449">+$B$2*SIN(R1449*$B$3+$B$4)+0*R1449+ SUM($J$2:$J$20*SIN(2*PI()*N1449*$I$2:$I$20+$K$2:$K$20))</f>
        <v>-0.51138242278435442</v>
      </c>
      <c r="U1449" s="3">
        <f t="shared" si="176"/>
        <v>2000.5833333332237</v>
      </c>
      <c r="V1449" s="3">
        <f t="shared" si="177"/>
        <v>-0.49218400000000001</v>
      </c>
      <c r="Z1449" s="1">
        <v>2000.625</v>
      </c>
      <c r="AA1449" s="2">
        <f t="shared" si="181"/>
        <v>-0.44448599999999999</v>
      </c>
      <c r="AB1449">
        <v>-22.224299999999999</v>
      </c>
      <c r="AE1449">
        <v>2000.5833333332237</v>
      </c>
      <c r="AF1449">
        <v>-0.51138242278435442</v>
      </c>
    </row>
    <row r="1450" spans="4:32" x14ac:dyDescent="0.35">
      <c r="D1450">
        <v>-0.28610600000000003</v>
      </c>
      <c r="M1450">
        <f t="shared" si="182"/>
        <v>1449</v>
      </c>
      <c r="N1450">
        <f t="shared" si="183"/>
        <v>2000.6666666665569</v>
      </c>
      <c r="O1450">
        <f t="shared" si="178"/>
        <v>0</v>
      </c>
      <c r="P1450">
        <f t="array" ref="P1450">+SUM($G$2:$G$18*SIN(2*PI()*(N1450)*$B$1/$F$2:$F$18+$H$2:$H$18))</f>
        <v>-0.448917985046285</v>
      </c>
      <c r="Q1450">
        <f t="shared" si="179"/>
        <v>0</v>
      </c>
      <c r="R1450">
        <f t="shared" si="180"/>
        <v>5.8263037656913434E-3</v>
      </c>
      <c r="S1450">
        <f t="array" ref="S1450">+$B$2*SIN(R1450*$B$3+$B$4)+0*R1450+ SUM($J$2:$J$20*SIN(2*PI()*N1450*$I$2:$I$20+$K$2:$K$20))</f>
        <v>-0.51231477853942198</v>
      </c>
      <c r="U1450" s="3">
        <f t="shared" si="176"/>
        <v>2000.6666666665569</v>
      </c>
      <c r="V1450" s="3">
        <f t="shared" si="177"/>
        <v>-0.496672</v>
      </c>
      <c r="Z1450" s="1">
        <v>2000.7083</v>
      </c>
      <c r="AA1450" s="2">
        <f t="shared" si="181"/>
        <v>-0.67825199999999997</v>
      </c>
      <c r="AB1450">
        <v>-33.912599999999998</v>
      </c>
      <c r="AE1450">
        <v>2000.6666666665569</v>
      </c>
      <c r="AF1450">
        <v>-0.51231477853942198</v>
      </c>
    </row>
    <row r="1451" spans="4:32" x14ac:dyDescent="0.35">
      <c r="D1451">
        <v>-0.44448599999999999</v>
      </c>
      <c r="M1451">
        <f t="shared" si="182"/>
        <v>1450</v>
      </c>
      <c r="N1451">
        <f t="shared" si="183"/>
        <v>2000.7499999998902</v>
      </c>
      <c r="O1451">
        <f t="shared" si="178"/>
        <v>0</v>
      </c>
      <c r="P1451">
        <f t="array" ref="P1451">+SUM($G$2:$G$18*SIN(2*PI()*(N1451)*$B$1/$F$2:$F$18+$H$2:$H$18))</f>
        <v>0.13391236722623592</v>
      </c>
      <c r="Q1451">
        <f t="shared" si="179"/>
        <v>0</v>
      </c>
      <c r="R1451">
        <f t="shared" si="180"/>
        <v>5.8173420893972818E-3</v>
      </c>
      <c r="S1451">
        <f t="array" ref="S1451">+$B$2*SIN(R1451*$B$3+$B$4)+0*R1451+ SUM($J$2:$J$20*SIN(2*PI()*N1451*$I$2:$I$20+$K$2:$K$20))</f>
        <v>-0.5132442415742785</v>
      </c>
      <c r="U1451" s="3">
        <f t="shared" si="176"/>
        <v>2000.7499999998902</v>
      </c>
      <c r="V1451" s="3">
        <f t="shared" si="177"/>
        <v>-0.71500399999999997</v>
      </c>
      <c r="Z1451" s="1">
        <v>2000.7917</v>
      </c>
      <c r="AA1451" s="2">
        <f t="shared" si="181"/>
        <v>-1.0535600000000001</v>
      </c>
      <c r="AB1451">
        <v>-52.677999999999997</v>
      </c>
      <c r="AE1451">
        <v>2000.7499999998902</v>
      </c>
      <c r="AF1451">
        <v>-0.5132442415742785</v>
      </c>
    </row>
    <row r="1452" spans="4:32" x14ac:dyDescent="0.35">
      <c r="D1452">
        <v>-0.67825199999999997</v>
      </c>
      <c r="M1452">
        <f t="shared" si="182"/>
        <v>1451</v>
      </c>
      <c r="N1452">
        <f t="shared" si="183"/>
        <v>2000.8333333332234</v>
      </c>
      <c r="O1452">
        <f t="shared" si="178"/>
        <v>0</v>
      </c>
      <c r="P1452">
        <f t="array" ref="P1452">+SUM($G$2:$G$18*SIN(2*PI()*(N1452)*$B$1/$F$2:$F$18+$H$2:$H$18))</f>
        <v>0.55880703504603457</v>
      </c>
      <c r="Q1452">
        <f t="shared" si="179"/>
        <v>0</v>
      </c>
      <c r="R1452">
        <f t="shared" si="180"/>
        <v>5.8083941974243318E-3</v>
      </c>
      <c r="S1452">
        <f t="array" ref="S1452">+$B$2*SIN(R1452*$B$3+$B$4)+0*R1452+ SUM($J$2:$J$20*SIN(2*PI()*N1452*$I$2:$I$20+$K$2:$K$20))</f>
        <v>-0.51417081818385502</v>
      </c>
      <c r="U1452" s="3">
        <f t="shared" si="176"/>
        <v>2000.8333333332234</v>
      </c>
      <c r="V1452" s="3">
        <f t="shared" si="177"/>
        <v>-0.60410799999999998</v>
      </c>
      <c r="Z1452" s="1">
        <v>2000.875</v>
      </c>
      <c r="AA1452" s="2">
        <f t="shared" si="181"/>
        <v>-1.0750199999999999</v>
      </c>
      <c r="AB1452">
        <v>-53.750999999999998</v>
      </c>
      <c r="AE1452">
        <v>2000.8333333332234</v>
      </c>
      <c r="AF1452">
        <v>-0.51417081818385502</v>
      </c>
    </row>
    <row r="1453" spans="4:32" x14ac:dyDescent="0.35">
      <c r="D1453">
        <v>-1.0535600000000001</v>
      </c>
      <c r="M1453">
        <f t="shared" si="182"/>
        <v>1452</v>
      </c>
      <c r="N1453">
        <f t="shared" si="183"/>
        <v>2000.9166666665567</v>
      </c>
      <c r="O1453">
        <f t="shared" si="178"/>
        <v>0</v>
      </c>
      <c r="P1453">
        <f t="array" ref="P1453">+SUM($G$2:$G$18*SIN(2*PI()*(N1453)*$B$1/$F$2:$F$18+$H$2:$H$18))</f>
        <v>0.3573938975114811</v>
      </c>
      <c r="Q1453">
        <f t="shared" si="179"/>
        <v>0</v>
      </c>
      <c r="R1453">
        <f t="shared" si="180"/>
        <v>5.7994600685702643E-3</v>
      </c>
      <c r="S1453">
        <f t="array" ref="S1453">+$B$2*SIN(R1453*$B$3+$B$4)+0*R1453+ SUM($J$2:$J$20*SIN(2*PI()*N1453*$I$2:$I$20+$K$2:$K$20))</f>
        <v>-0.5150945146640038</v>
      </c>
      <c r="U1453" s="3">
        <f t="shared" si="176"/>
        <v>2000.9166666665567</v>
      </c>
      <c r="V1453" s="3">
        <f t="shared" si="177"/>
        <v>-0.20705999999999999</v>
      </c>
      <c r="Z1453" s="1">
        <v>2000.9583</v>
      </c>
      <c r="AA1453" s="2">
        <f t="shared" si="181"/>
        <v>-0.76417400000000002</v>
      </c>
      <c r="AB1453">
        <v>-38.2087</v>
      </c>
      <c r="AE1453">
        <v>2000.9166666665567</v>
      </c>
      <c r="AF1453">
        <v>-0.5150945146640038</v>
      </c>
    </row>
    <row r="1454" spans="4:32" x14ac:dyDescent="0.35">
      <c r="D1454">
        <v>-1.0750199999999999</v>
      </c>
      <c r="M1454">
        <f t="shared" si="182"/>
        <v>1453</v>
      </c>
      <c r="N1454">
        <f t="shared" si="183"/>
        <v>2000.99999999989</v>
      </c>
      <c r="O1454">
        <f t="shared" si="178"/>
        <v>36.637715116165623</v>
      </c>
      <c r="P1454">
        <f t="array" ref="P1454">+SUM($G$2:$G$18*SIN(2*PI()*(N1454)*$B$1/$F$2:$F$18+$H$2:$H$18))</f>
        <v>9.6715341979937905E-2</v>
      </c>
      <c r="Q1454">
        <f t="shared" si="179"/>
        <v>3.5434291468234984</v>
      </c>
      <c r="R1454">
        <f t="shared" si="180"/>
        <v>1.1240833085824844E-2</v>
      </c>
      <c r="S1454">
        <f t="array" ref="S1454">+$B$2*SIN(R1454*$B$3+$B$4)+0*R1454+ SUM($J$2:$J$20*SIN(2*PI()*N1454*$I$2:$I$20+$K$2:$K$20))</f>
        <v>0.20113161943446201</v>
      </c>
      <c r="U1454" s="3">
        <f t="shared" si="176"/>
        <v>2000.99999999989</v>
      </c>
      <c r="V1454" s="3">
        <f t="shared" si="177"/>
        <v>-8.6934000000000011E-2</v>
      </c>
      <c r="Z1454" s="1">
        <v>2001.0417</v>
      </c>
      <c r="AA1454" s="2">
        <f t="shared" si="181"/>
        <v>-0.83487</v>
      </c>
      <c r="AB1454">
        <v>-41.743499999999997</v>
      </c>
      <c r="AE1454">
        <v>2000.99999999989</v>
      </c>
      <c r="AF1454">
        <v>0.20113161943446201</v>
      </c>
    </row>
    <row r="1455" spans="4:32" x14ac:dyDescent="0.35">
      <c r="D1455">
        <v>-0.76417400000000002</v>
      </c>
      <c r="M1455">
        <f t="shared" si="182"/>
        <v>1454</v>
      </c>
      <c r="N1455">
        <f t="shared" si="183"/>
        <v>2001.0833333332232</v>
      </c>
      <c r="O1455">
        <f t="shared" si="178"/>
        <v>0</v>
      </c>
      <c r="P1455">
        <f t="array" ref="P1455">+SUM($G$2:$G$18*SIN(2*PI()*(N1455)*$B$1/$F$2:$F$18+$H$2:$H$18))</f>
        <v>-7.9435352299180154E-2</v>
      </c>
      <c r="Q1455">
        <f t="shared" si="179"/>
        <v>0</v>
      </c>
      <c r="R1455">
        <f t="shared" si="180"/>
        <v>1.1223543100365463E-2</v>
      </c>
      <c r="S1455">
        <f t="array" ref="S1455">+$B$2*SIN(R1455*$B$3+$B$4)+0*R1455+ SUM($J$2:$J$20*SIN(2*PI()*N1455*$I$2:$I$20+$K$2:$K$20))</f>
        <v>0.19877009460264244</v>
      </c>
      <c r="U1455" s="3">
        <f t="shared" si="176"/>
        <v>2001.0833333332232</v>
      </c>
      <c r="V1455" s="3">
        <f t="shared" si="177"/>
        <v>-0.20219400000000001</v>
      </c>
      <c r="Z1455" s="1">
        <v>2001.125</v>
      </c>
      <c r="AA1455" s="2">
        <f t="shared" si="181"/>
        <v>-0.96556399999999998</v>
      </c>
      <c r="AB1455">
        <v>-48.278199999999998</v>
      </c>
      <c r="AE1455">
        <v>2001.0833333332232</v>
      </c>
      <c r="AF1455">
        <v>0.19877009460264244</v>
      </c>
    </row>
    <row r="1456" spans="4:32" x14ac:dyDescent="0.35">
      <c r="D1456">
        <v>-0.83487</v>
      </c>
      <c r="M1456">
        <f t="shared" si="182"/>
        <v>1455</v>
      </c>
      <c r="N1456">
        <f t="shared" si="183"/>
        <v>2001.1666666665565</v>
      </c>
      <c r="O1456">
        <f t="shared" si="178"/>
        <v>0</v>
      </c>
      <c r="P1456">
        <f t="array" ref="P1456">+SUM($G$2:$G$18*SIN(2*PI()*(N1456)*$B$1/$F$2:$F$18+$H$2:$H$18))</f>
        <v>-0.24655092338188353</v>
      </c>
      <c r="Q1456">
        <f t="shared" si="179"/>
        <v>0</v>
      </c>
      <c r="R1456">
        <f t="shared" si="180"/>
        <v>1.12062797093404E-2</v>
      </c>
      <c r="S1456">
        <f t="array" ref="S1456">+$B$2*SIN(R1456*$B$3+$B$4)+0*R1456+ SUM($J$2:$J$20*SIN(2*PI()*N1456*$I$2:$I$20+$K$2:$K$20))</f>
        <v>0.19641010205533507</v>
      </c>
      <c r="U1456" s="3">
        <f t="shared" si="176"/>
        <v>2001.1666666665565</v>
      </c>
      <c r="V1456" s="3">
        <f t="shared" si="177"/>
        <v>-0.10976599999999999</v>
      </c>
      <c r="Z1456" s="1">
        <v>2001.2083</v>
      </c>
      <c r="AA1456" s="2">
        <f t="shared" si="181"/>
        <v>-0.78087400000000007</v>
      </c>
      <c r="AB1456">
        <v>-39.043700000000001</v>
      </c>
      <c r="AE1456">
        <v>2001.1666666665565</v>
      </c>
      <c r="AF1456">
        <v>0.19641010205533507</v>
      </c>
    </row>
    <row r="1457" spans="4:32" x14ac:dyDescent="0.35">
      <c r="D1457">
        <v>-0.96556399999999998</v>
      </c>
      <c r="M1457">
        <f t="shared" si="182"/>
        <v>1456</v>
      </c>
      <c r="N1457">
        <f t="shared" si="183"/>
        <v>2001.2499999998897</v>
      </c>
      <c r="O1457">
        <f t="shared" si="178"/>
        <v>0</v>
      </c>
      <c r="P1457">
        <f t="array" ref="P1457">+SUM($G$2:$G$18*SIN(2*PI()*(N1457)*$B$1/$F$2:$F$18+$H$2:$H$18))</f>
        <v>-0.28989448234606474</v>
      </c>
      <c r="Q1457">
        <f t="shared" si="179"/>
        <v>0</v>
      </c>
      <c r="R1457">
        <f t="shared" si="180"/>
        <v>1.1189042871843668E-2</v>
      </c>
      <c r="S1457">
        <f t="array" ref="S1457">+$B$2*SIN(R1457*$B$3+$B$4)+0*R1457+ SUM($J$2:$J$20*SIN(2*PI()*N1457*$I$2:$I$20+$K$2:$K$20))</f>
        <v>0.19405167074844779</v>
      </c>
      <c r="U1457" s="3">
        <f t="shared" si="176"/>
        <v>2001.2499999998897</v>
      </c>
      <c r="V1457" s="3">
        <f t="shared" si="177"/>
        <v>4.8818E-2</v>
      </c>
      <c r="Z1457" s="1">
        <v>2001.2917</v>
      </c>
      <c r="AA1457" s="2">
        <f t="shared" si="181"/>
        <v>-0.82080600000000004</v>
      </c>
      <c r="AB1457">
        <v>-41.040300000000002</v>
      </c>
      <c r="AE1457">
        <v>2001.2499999998897</v>
      </c>
      <c r="AF1457">
        <v>0.19405167074844779</v>
      </c>
    </row>
    <row r="1458" spans="4:32" x14ac:dyDescent="0.35">
      <c r="D1458">
        <v>-0.78087400000000007</v>
      </c>
      <c r="M1458">
        <f t="shared" si="182"/>
        <v>1457</v>
      </c>
      <c r="N1458">
        <f t="shared" si="183"/>
        <v>2001.333333333223</v>
      </c>
      <c r="O1458">
        <f t="shared" si="178"/>
        <v>0</v>
      </c>
      <c r="P1458">
        <f t="array" ref="P1458">+SUM($G$2:$G$18*SIN(2*PI()*(N1458)*$B$1/$F$2:$F$18+$H$2:$H$18))</f>
        <v>-0.37843409202799783</v>
      </c>
      <c r="Q1458">
        <f t="shared" si="179"/>
        <v>0</v>
      </c>
      <c r="R1458">
        <f t="shared" si="180"/>
        <v>1.1171832547032197E-2</v>
      </c>
      <c r="S1458">
        <f t="array" ref="S1458">+$B$2*SIN(R1458*$B$3+$B$4)+0*R1458+ SUM($J$2:$J$20*SIN(2*PI()*N1458*$I$2:$I$20+$K$2:$K$20))</f>
        <v>0.19169482940429478</v>
      </c>
      <c r="U1458" s="3">
        <f t="shared" si="176"/>
        <v>2001.333333333223</v>
      </c>
      <c r="V1458" s="3">
        <f t="shared" si="177"/>
        <v>0.32740000000000002</v>
      </c>
      <c r="Z1458" s="1">
        <v>2001.375</v>
      </c>
      <c r="AA1458" s="2">
        <f t="shared" si="181"/>
        <v>-0.20996400000000001</v>
      </c>
      <c r="AB1458">
        <v>-10.498200000000001</v>
      </c>
      <c r="AE1458">
        <v>2001.333333333223</v>
      </c>
      <c r="AF1458">
        <v>0.19169482940429478</v>
      </c>
    </row>
    <row r="1459" spans="4:32" x14ac:dyDescent="0.35">
      <c r="D1459">
        <v>-0.82080600000000004</v>
      </c>
      <c r="M1459">
        <f t="shared" si="182"/>
        <v>1458</v>
      </c>
      <c r="N1459">
        <f t="shared" si="183"/>
        <v>2001.4166666665562</v>
      </c>
      <c r="O1459">
        <f t="shared" si="178"/>
        <v>0</v>
      </c>
      <c r="P1459">
        <f t="array" ref="P1459">+SUM($G$2:$G$18*SIN(2*PI()*(N1459)*$B$1/$F$2:$F$18+$H$2:$H$18))</f>
        <v>-0.3279844231067629</v>
      </c>
      <c r="Q1459">
        <f t="shared" si="179"/>
        <v>0</v>
      </c>
      <c r="R1459">
        <f t="shared" si="180"/>
        <v>1.1154648694125741E-2</v>
      </c>
      <c r="S1459">
        <f t="array" ref="S1459">+$B$2*SIN(R1459*$B$3+$B$4)+0*R1459+ SUM($J$2:$J$20*SIN(2*PI()*N1459*$I$2:$I$20+$K$2:$K$20))</f>
        <v>0.18933960651257128</v>
      </c>
      <c r="U1459" s="3">
        <f t="shared" si="176"/>
        <v>2001.4166666665562</v>
      </c>
      <c r="V1459" s="3">
        <f t="shared" si="177"/>
        <v>0.241364</v>
      </c>
      <c r="Z1459" s="1">
        <v>2001.4583</v>
      </c>
      <c r="AA1459" s="2">
        <f t="shared" si="181"/>
        <v>0.120876</v>
      </c>
      <c r="AB1459">
        <v>6.0438000000000001</v>
      </c>
      <c r="AE1459">
        <v>2001.4166666665562</v>
      </c>
      <c r="AF1459">
        <v>0.18933960651257128</v>
      </c>
    </row>
    <row r="1460" spans="4:32" x14ac:dyDescent="0.35">
      <c r="D1460">
        <v>-0.20996400000000001</v>
      </c>
      <c r="M1460">
        <f t="shared" si="182"/>
        <v>1459</v>
      </c>
      <c r="N1460">
        <f t="shared" si="183"/>
        <v>2001.4999999998895</v>
      </c>
      <c r="O1460">
        <f t="shared" si="178"/>
        <v>0</v>
      </c>
      <c r="P1460">
        <f t="array" ref="P1460">+SUM($G$2:$G$18*SIN(2*PI()*(N1460)*$B$1/$F$2:$F$18+$H$2:$H$18))</f>
        <v>6.8931536937269028E-2</v>
      </c>
      <c r="Q1460">
        <f t="shared" si="179"/>
        <v>0</v>
      </c>
      <c r="R1460">
        <f t="shared" si="180"/>
        <v>1.1137491272406781E-2</v>
      </c>
      <c r="S1460">
        <f t="array" ref="S1460">+$B$2*SIN(R1460*$B$3+$B$4)+0*R1460+ SUM($J$2:$J$20*SIN(2*PI()*N1460*$I$2:$I$20+$K$2:$K$20))</f>
        <v>0.18698603033133063</v>
      </c>
      <c r="U1460" s="3">
        <f t="shared" si="176"/>
        <v>2001.4999999998895</v>
      </c>
      <c r="V1460" s="3">
        <f t="shared" si="177"/>
        <v>3.0714000000000002E-2</v>
      </c>
      <c r="Z1460" s="1">
        <v>2001.5417</v>
      </c>
      <c r="AA1460" s="2">
        <f t="shared" si="181"/>
        <v>0.20094200000000001</v>
      </c>
      <c r="AB1460">
        <v>10.0471</v>
      </c>
      <c r="AE1460">
        <v>2001.4999999998895</v>
      </c>
      <c r="AF1460">
        <v>0.18698603033133063</v>
      </c>
    </row>
    <row r="1461" spans="4:32" x14ac:dyDescent="0.35">
      <c r="D1461">
        <v>0.120876</v>
      </c>
      <c r="M1461">
        <f t="shared" si="182"/>
        <v>1460</v>
      </c>
      <c r="N1461">
        <f t="shared" si="183"/>
        <v>2001.5833333332228</v>
      </c>
      <c r="O1461">
        <f t="shared" si="178"/>
        <v>0</v>
      </c>
      <c r="P1461">
        <f t="array" ref="P1461">+SUM($G$2:$G$18*SIN(2*PI()*(N1461)*$B$1/$F$2:$F$18+$H$2:$H$18))</f>
        <v>0.27519168095613733</v>
      </c>
      <c r="Q1461">
        <f t="shared" si="179"/>
        <v>0</v>
      </c>
      <c r="R1461">
        <f t="shared" si="180"/>
        <v>1.1120360241220423E-2</v>
      </c>
      <c r="S1461">
        <f t="array" ref="S1461">+$B$2*SIN(R1461*$B$3+$B$4)+0*R1461+ SUM($J$2:$J$20*SIN(2*PI()*N1461*$I$2:$I$20+$K$2:$K$20))</f>
        <v>0.18463412888796016</v>
      </c>
      <c r="U1461" s="3">
        <f t="shared" si="176"/>
        <v>2001.5833333332228</v>
      </c>
      <c r="V1461" s="3">
        <f t="shared" si="177"/>
        <v>-2.7629999999999998E-2</v>
      </c>
      <c r="Z1461" s="1">
        <v>2001.625</v>
      </c>
      <c r="AA1461" s="2">
        <f t="shared" si="181"/>
        <v>0.61177799999999993</v>
      </c>
      <c r="AB1461">
        <v>30.588899999999999</v>
      </c>
      <c r="AE1461">
        <v>2001.5833333332228</v>
      </c>
      <c r="AF1461">
        <v>0.18463412888796016</v>
      </c>
    </row>
    <row r="1462" spans="4:32" x14ac:dyDescent="0.35">
      <c r="D1462">
        <v>0.20094200000000001</v>
      </c>
      <c r="M1462">
        <f t="shared" si="182"/>
        <v>1461</v>
      </c>
      <c r="N1462">
        <f t="shared" si="183"/>
        <v>2001.666666666556</v>
      </c>
      <c r="O1462">
        <f t="shared" si="178"/>
        <v>0</v>
      </c>
      <c r="P1462">
        <f t="array" ref="P1462">+SUM($G$2:$G$18*SIN(2*PI()*(N1462)*$B$1/$F$2:$F$18+$H$2:$H$18))</f>
        <v>0.15219945837801929</v>
      </c>
      <c r="Q1462">
        <f t="shared" si="179"/>
        <v>0</v>
      </c>
      <c r="R1462">
        <f t="shared" si="180"/>
        <v>1.1103255559974311E-2</v>
      </c>
      <c r="S1462">
        <f t="array" ref="S1462">+$B$2*SIN(R1462*$B$3+$B$4)+0*R1462+ SUM($J$2:$J$20*SIN(2*PI()*N1462*$I$2:$I$20+$K$2:$K$20))</f>
        <v>0.18228392998015924</v>
      </c>
      <c r="U1462" s="3">
        <f t="shared" si="176"/>
        <v>2001.666666666556</v>
      </c>
      <c r="V1462" s="3">
        <f t="shared" si="177"/>
        <v>0.1971</v>
      </c>
      <c r="Z1462" s="1">
        <v>2001.7083</v>
      </c>
      <c r="AA1462" s="2">
        <f t="shared" si="181"/>
        <v>1.0656919999999999</v>
      </c>
      <c r="AB1462">
        <v>53.284599999999998</v>
      </c>
      <c r="AE1462">
        <v>2001.666666666556</v>
      </c>
      <c r="AF1462">
        <v>0.18228392998015924</v>
      </c>
    </row>
    <row r="1463" spans="4:32" x14ac:dyDescent="0.35">
      <c r="D1463">
        <v>0.61177799999999993</v>
      </c>
      <c r="M1463">
        <f t="shared" si="182"/>
        <v>1462</v>
      </c>
      <c r="N1463">
        <f t="shared" si="183"/>
        <v>2001.7499999998893</v>
      </c>
      <c r="O1463">
        <f t="shared" si="178"/>
        <v>0</v>
      </c>
      <c r="P1463">
        <f t="array" ref="P1463">+SUM($G$2:$G$18*SIN(2*PI()*(N1463)*$B$1/$F$2:$F$18+$H$2:$H$18))</f>
        <v>-3.7504466363140226E-2</v>
      </c>
      <c r="Q1463">
        <f t="shared" si="179"/>
        <v>0</v>
      </c>
      <c r="R1463">
        <f t="shared" si="180"/>
        <v>1.1086177188138523E-2</v>
      </c>
      <c r="S1463">
        <f t="array" ref="S1463">+$B$2*SIN(R1463*$B$3+$B$4)+0*R1463+ SUM($J$2:$J$20*SIN(2*PI()*N1463*$I$2:$I$20+$K$2:$K$20))</f>
        <v>0.17993546117691514</v>
      </c>
      <c r="U1463" s="3">
        <f t="shared" si="176"/>
        <v>2001.7499999998893</v>
      </c>
      <c r="V1463" s="3">
        <f t="shared" si="177"/>
        <v>0.51567600000000002</v>
      </c>
      <c r="Z1463" s="1">
        <v>2001.7917</v>
      </c>
      <c r="AA1463" s="2">
        <f t="shared" si="181"/>
        <v>1.0965240000000001</v>
      </c>
      <c r="AB1463">
        <v>54.8262</v>
      </c>
      <c r="AE1463">
        <v>2001.7499999998893</v>
      </c>
      <c r="AF1463">
        <v>0.17993546117691514</v>
      </c>
    </row>
    <row r="1464" spans="4:32" x14ac:dyDescent="0.35">
      <c r="D1464">
        <v>1.0656919999999999</v>
      </c>
      <c r="M1464">
        <f t="shared" si="182"/>
        <v>1463</v>
      </c>
      <c r="N1464">
        <f t="shared" si="183"/>
        <v>2001.8333333332225</v>
      </c>
      <c r="O1464">
        <f t="shared" si="178"/>
        <v>0</v>
      </c>
      <c r="P1464">
        <f t="array" ref="P1464">+SUM($G$2:$G$18*SIN(2*PI()*(N1464)*$B$1/$F$2:$F$18+$H$2:$H$18))</f>
        <v>-0.40838643049811424</v>
      </c>
      <c r="Q1464">
        <f t="shared" si="179"/>
        <v>0</v>
      </c>
      <c r="R1464">
        <f t="shared" si="180"/>
        <v>1.1069125085245476E-2</v>
      </c>
      <c r="S1464">
        <f t="array" ref="S1464">+$B$2*SIN(R1464*$B$3+$B$4)+0*R1464+ SUM($J$2:$J$20*SIN(2*PI()*N1464*$I$2:$I$20+$K$2:$K$20))</f>
        <v>0.17758874981948281</v>
      </c>
      <c r="U1464" s="3">
        <f t="shared" si="176"/>
        <v>2001.8333333332225</v>
      </c>
      <c r="V1464" s="3">
        <f t="shared" si="177"/>
        <v>0.75117599999999995</v>
      </c>
      <c r="Z1464" s="1">
        <v>2001.875</v>
      </c>
      <c r="AA1464" s="2">
        <f t="shared" si="181"/>
        <v>1.228896</v>
      </c>
      <c r="AB1464">
        <v>61.444800000000001</v>
      </c>
      <c r="AE1464">
        <v>2001.8333333332225</v>
      </c>
      <c r="AF1464">
        <v>0.17758874981948281</v>
      </c>
    </row>
    <row r="1465" spans="4:32" x14ac:dyDescent="0.35">
      <c r="D1465">
        <v>1.0965240000000001</v>
      </c>
      <c r="M1465">
        <f t="shared" si="182"/>
        <v>1464</v>
      </c>
      <c r="N1465">
        <f t="shared" si="183"/>
        <v>2001.9166666665558</v>
      </c>
      <c r="O1465">
        <f t="shared" si="178"/>
        <v>0</v>
      </c>
      <c r="P1465">
        <f t="array" ref="P1465">+SUM($G$2:$G$18*SIN(2*PI()*(N1465)*$B$1/$F$2:$F$18+$H$2:$H$18))</f>
        <v>-0.63456636616613937</v>
      </c>
      <c r="Q1465">
        <f t="shared" si="179"/>
        <v>0</v>
      </c>
      <c r="R1465">
        <f t="shared" si="180"/>
        <v>1.1052099210889838E-2</v>
      </c>
      <c r="S1465">
        <f t="array" ref="S1465">+$B$2*SIN(R1465*$B$3+$B$4)+0*R1465+ SUM($J$2:$J$20*SIN(2*PI()*N1465*$I$2:$I$20+$K$2:$K$20))</f>
        <v>0.17524382302236158</v>
      </c>
      <c r="U1465" s="3">
        <f t="shared" si="176"/>
        <v>2001.9166666665558</v>
      </c>
      <c r="V1465" s="3">
        <f t="shared" si="177"/>
        <v>0.42205599999999999</v>
      </c>
      <c r="Z1465" s="1">
        <v>2001.9583</v>
      </c>
      <c r="AA1465" s="2">
        <f t="shared" si="181"/>
        <v>1.3289599999999999</v>
      </c>
      <c r="AB1465">
        <v>66.447999999999993</v>
      </c>
      <c r="AE1465">
        <v>2001.9166666665558</v>
      </c>
      <c r="AF1465">
        <v>0.17524382302236158</v>
      </c>
    </row>
    <row r="1466" spans="4:32" x14ac:dyDescent="0.35">
      <c r="D1466">
        <v>1.228896</v>
      </c>
      <c r="M1466">
        <f t="shared" si="182"/>
        <v>1465</v>
      </c>
      <c r="N1466">
        <f t="shared" si="183"/>
        <v>2001.999999999889</v>
      </c>
      <c r="O1466">
        <f t="shared" si="178"/>
        <v>36.637715116165623</v>
      </c>
      <c r="P1466">
        <f t="array" ref="P1466">+SUM($G$2:$G$18*SIN(2*PI()*(N1466)*$B$1/$F$2:$F$18+$H$2:$H$18))</f>
        <v>-0.39842251107862919</v>
      </c>
      <c r="Q1466">
        <f t="shared" si="179"/>
        <v>-14.597290456766158</v>
      </c>
      <c r="R1466">
        <f t="shared" si="180"/>
        <v>-1.1417590397527334E-2</v>
      </c>
      <c r="S1466">
        <f t="array" ref="S1466">+$B$2*SIN(R1466*$B$3+$B$4)+0*R1466+ SUM($J$2:$J$20*SIN(2*PI()*N1466*$I$2:$I$20+$K$2:$K$20))</f>
        <v>0.56675600504593837</v>
      </c>
      <c r="U1466" s="3">
        <f t="shared" si="176"/>
        <v>2001.999999999889</v>
      </c>
      <c r="V1466" s="3">
        <f t="shared" si="177"/>
        <v>0.33909</v>
      </c>
      <c r="Z1466" s="1">
        <v>2002.0417</v>
      </c>
      <c r="AA1466" s="2">
        <f t="shared" si="181"/>
        <v>1.3613280000000001</v>
      </c>
      <c r="AB1466">
        <v>68.066400000000002</v>
      </c>
      <c r="AE1466">
        <v>2001.999999999889</v>
      </c>
      <c r="AF1466">
        <v>0.56675600504593837</v>
      </c>
    </row>
    <row r="1467" spans="4:32" x14ac:dyDescent="0.35">
      <c r="D1467">
        <v>1.3289599999999999</v>
      </c>
      <c r="M1467">
        <f t="shared" si="182"/>
        <v>1466</v>
      </c>
      <c r="N1467">
        <f t="shared" si="183"/>
        <v>2002.0833333332223</v>
      </c>
      <c r="O1467">
        <f t="shared" si="178"/>
        <v>0</v>
      </c>
      <c r="P1467">
        <f t="array" ref="P1467">+SUM($G$2:$G$18*SIN(2*PI()*(N1467)*$B$1/$F$2:$F$18+$H$2:$H$18))</f>
        <v>-0.19149887909825955</v>
      </c>
      <c r="Q1467">
        <f t="shared" si="179"/>
        <v>0</v>
      </c>
      <c r="R1467">
        <f t="shared" si="180"/>
        <v>-1.1400028534412103E-2</v>
      </c>
      <c r="S1467">
        <f t="array" ref="S1467">+$B$2*SIN(R1467*$B$3+$B$4)+0*R1467+ SUM($J$2:$J$20*SIN(2*PI()*N1467*$I$2:$I$20+$K$2:$K$20))</f>
        <v>0.56511553326783026</v>
      </c>
      <c r="U1467" s="3">
        <f t="shared" ref="U1467:U1530" si="184">+N1467</f>
        <v>2002.0833333332223</v>
      </c>
      <c r="V1467" s="3">
        <f t="shared" ref="V1467:V1530" si="185">+D1425</f>
        <v>0.32843200000000006</v>
      </c>
      <c r="Z1467" s="1">
        <v>2002.125</v>
      </c>
      <c r="AA1467" s="2">
        <f t="shared" si="181"/>
        <v>1.426004</v>
      </c>
      <c r="AB1467">
        <v>71.300200000000004</v>
      </c>
      <c r="AE1467">
        <v>2002.0833333332223</v>
      </c>
      <c r="AF1467">
        <v>0.56511553326783026</v>
      </c>
    </row>
    <row r="1468" spans="4:32" x14ac:dyDescent="0.35">
      <c r="D1468">
        <v>1.3613280000000001</v>
      </c>
      <c r="M1468">
        <f t="shared" si="182"/>
        <v>1467</v>
      </c>
      <c r="N1468">
        <f t="shared" si="183"/>
        <v>2002.1666666665556</v>
      </c>
      <c r="O1468">
        <f t="shared" si="178"/>
        <v>0</v>
      </c>
      <c r="P1468">
        <f t="array" ref="P1468">+SUM($G$2:$G$18*SIN(2*PI()*(N1468)*$B$1/$F$2:$F$18+$H$2:$H$18))</f>
        <v>-0.15203503141012523</v>
      </c>
      <c r="Q1468">
        <f t="shared" si="179"/>
        <v>0</v>
      </c>
      <c r="R1468">
        <f t="shared" si="180"/>
        <v>-1.138249368391734E-2</v>
      </c>
      <c r="S1468">
        <f t="array" ref="S1468">+$B$2*SIN(R1468*$B$3+$B$4)+0*R1468+ SUM($J$2:$J$20*SIN(2*PI()*N1468*$I$2:$I$20+$K$2:$K$20))</f>
        <v>0.56347142490991942</v>
      </c>
      <c r="U1468" s="3">
        <f t="shared" si="184"/>
        <v>2002.1666666665556</v>
      </c>
      <c r="V1468" s="3">
        <f t="shared" si="185"/>
        <v>0.53776999999999997</v>
      </c>
      <c r="Z1468" s="1">
        <v>2002.2083</v>
      </c>
      <c r="AA1468" s="2">
        <f t="shared" si="181"/>
        <v>1.4276040000000001</v>
      </c>
      <c r="AB1468">
        <v>71.380200000000002</v>
      </c>
      <c r="AE1468">
        <v>2002.1666666665556</v>
      </c>
      <c r="AF1468">
        <v>0.56347142490991942</v>
      </c>
    </row>
    <row r="1469" spans="4:32" x14ac:dyDescent="0.35">
      <c r="D1469">
        <v>1.426004</v>
      </c>
      <c r="M1469">
        <f t="shared" si="182"/>
        <v>1468</v>
      </c>
      <c r="N1469">
        <f t="shared" si="183"/>
        <v>2002.2499999998888</v>
      </c>
      <c r="O1469">
        <f t="shared" si="178"/>
        <v>0</v>
      </c>
      <c r="P1469">
        <f t="array" ref="P1469">+SUM($G$2:$G$18*SIN(2*PI()*(N1469)*$B$1/$F$2:$F$18+$H$2:$H$18))</f>
        <v>-6.0668912640273048E-2</v>
      </c>
      <c r="Q1469">
        <f t="shared" si="179"/>
        <v>0</v>
      </c>
      <c r="R1469">
        <f t="shared" si="180"/>
        <v>-1.1364985804493829E-2</v>
      </c>
      <c r="S1469">
        <f t="array" ref="S1469">+$B$2*SIN(R1469*$B$3+$B$4)+0*R1469+ SUM($J$2:$J$20*SIN(2*PI()*N1469*$I$2:$I$20+$K$2:$K$20))</f>
        <v>0.56182372236657208</v>
      </c>
      <c r="U1469" s="3">
        <f t="shared" si="184"/>
        <v>2002.2499999998888</v>
      </c>
      <c r="V1469" s="3">
        <f t="shared" si="185"/>
        <v>0.64710999999999996</v>
      </c>
      <c r="Z1469" s="1">
        <v>2002.2917</v>
      </c>
      <c r="AA1469" s="2">
        <f t="shared" si="181"/>
        <v>1.139966</v>
      </c>
      <c r="AB1469">
        <v>56.9983</v>
      </c>
      <c r="AE1469">
        <v>2002.2499999998888</v>
      </c>
      <c r="AF1469">
        <v>0.56182372236657208</v>
      </c>
    </row>
    <row r="1470" spans="4:32" x14ac:dyDescent="0.35">
      <c r="D1470">
        <v>1.4276040000000001</v>
      </c>
      <c r="M1470">
        <f t="shared" si="182"/>
        <v>1469</v>
      </c>
      <c r="N1470">
        <f t="shared" si="183"/>
        <v>2002.3333333332221</v>
      </c>
      <c r="O1470">
        <f t="shared" si="178"/>
        <v>0</v>
      </c>
      <c r="P1470">
        <f t="array" ref="P1470">+SUM($G$2:$G$18*SIN(2*PI()*(N1470)*$B$1/$F$2:$F$18+$H$2:$H$18))</f>
        <v>-6.4216570911180479E-3</v>
      </c>
      <c r="Q1470">
        <f t="shared" si="179"/>
        <v>0</v>
      </c>
      <c r="R1470">
        <f t="shared" si="180"/>
        <v>-1.134750485465626E-2</v>
      </c>
      <c r="S1470">
        <f t="array" ref="S1470">+$B$2*SIN(R1470*$B$3+$B$4)+0*R1470+ SUM($J$2:$J$20*SIN(2*PI()*N1470*$I$2:$I$20+$K$2:$K$20))</f>
        <v>0.56017246783784236</v>
      </c>
      <c r="U1470" s="3">
        <f t="shared" si="184"/>
        <v>2002.3333333332221</v>
      </c>
      <c r="V1470" s="3">
        <f t="shared" si="185"/>
        <v>0.67029399999999995</v>
      </c>
      <c r="Z1470" s="1">
        <v>2002.375</v>
      </c>
      <c r="AA1470" s="2">
        <f t="shared" si="181"/>
        <v>1.200024</v>
      </c>
      <c r="AB1470">
        <v>60.001199999999997</v>
      </c>
      <c r="AE1470">
        <v>2002.3333333332221</v>
      </c>
      <c r="AF1470">
        <v>0.56017246783784236</v>
      </c>
    </row>
    <row r="1471" spans="4:32" x14ac:dyDescent="0.35">
      <c r="D1471">
        <v>1.139966</v>
      </c>
      <c r="M1471">
        <f t="shared" si="182"/>
        <v>1470</v>
      </c>
      <c r="N1471">
        <f t="shared" si="183"/>
        <v>2002.4166666665553</v>
      </c>
      <c r="O1471">
        <f t="shared" si="178"/>
        <v>0</v>
      </c>
      <c r="P1471">
        <f t="array" ref="P1471">+SUM($G$2:$G$18*SIN(2*PI()*(N1471)*$B$1/$F$2:$F$18+$H$2:$H$18))</f>
        <v>6.8245998644626216E-2</v>
      </c>
      <c r="Q1471">
        <f t="shared" si="179"/>
        <v>0</v>
      </c>
      <c r="R1471">
        <f t="shared" si="180"/>
        <v>-1.1330050792983137E-2</v>
      </c>
      <c r="S1471">
        <f t="array" ref="S1471">+$B$2*SIN(R1471*$B$3+$B$4)+0*R1471+ SUM($J$2:$J$20*SIN(2*PI()*N1471*$I$2:$I$20+$K$2:$K$20))</f>
        <v>0.55851770332964101</v>
      </c>
      <c r="U1471" s="3">
        <f t="shared" si="184"/>
        <v>2002.4166666665553</v>
      </c>
      <c r="V1471" s="3">
        <f t="shared" si="185"/>
        <v>0.47193600000000002</v>
      </c>
      <c r="Z1471" s="1">
        <v>2002.4583</v>
      </c>
      <c r="AA1471" s="2">
        <f t="shared" si="181"/>
        <v>0.58777400000000002</v>
      </c>
      <c r="AB1471">
        <v>29.3887</v>
      </c>
      <c r="AE1471">
        <v>2002.4166666665553</v>
      </c>
      <c r="AF1471">
        <v>0.55851770332964101</v>
      </c>
    </row>
    <row r="1472" spans="4:32" x14ac:dyDescent="0.35">
      <c r="D1472">
        <v>1.200024</v>
      </c>
      <c r="M1472">
        <f t="shared" si="182"/>
        <v>1471</v>
      </c>
      <c r="N1472">
        <f t="shared" si="183"/>
        <v>2002.4999999998886</v>
      </c>
      <c r="O1472">
        <f t="shared" si="178"/>
        <v>0</v>
      </c>
      <c r="P1472">
        <f t="array" ref="P1472">+SUM($G$2:$G$18*SIN(2*PI()*(N1472)*$B$1/$F$2:$F$18+$H$2:$H$18))</f>
        <v>-4.6334569469144035E-2</v>
      </c>
      <c r="Q1472">
        <f t="shared" si="179"/>
        <v>0</v>
      </c>
      <c r="R1472">
        <f t="shared" si="180"/>
        <v>-1.1312623578116673E-2</v>
      </c>
      <c r="S1472">
        <f t="array" ref="S1472">+$B$2*SIN(R1472*$B$3+$B$4)+0*R1472+ SUM($J$2:$J$20*SIN(2*PI()*N1472*$I$2:$I$20+$K$2:$K$20))</f>
        <v>0.55685947065391306</v>
      </c>
      <c r="U1472" s="3">
        <f t="shared" si="184"/>
        <v>2002.4999999998886</v>
      </c>
      <c r="V1472" s="3">
        <f t="shared" si="185"/>
        <v>0.49665799999999999</v>
      </c>
      <c r="Z1472" s="1">
        <v>2002.5417</v>
      </c>
      <c r="AA1472" s="2">
        <f t="shared" si="181"/>
        <v>0.45244200000000001</v>
      </c>
      <c r="AB1472">
        <v>22.6221</v>
      </c>
      <c r="AE1472">
        <v>2002.4999999998886</v>
      </c>
      <c r="AF1472">
        <v>0.55685947065391306</v>
      </c>
    </row>
    <row r="1473" spans="4:32" x14ac:dyDescent="0.35">
      <c r="D1473">
        <v>0.58777400000000002</v>
      </c>
      <c r="M1473">
        <f t="shared" si="182"/>
        <v>1472</v>
      </c>
      <c r="N1473">
        <f t="shared" si="183"/>
        <v>2002.5833333332218</v>
      </c>
      <c r="O1473">
        <f t="shared" si="178"/>
        <v>0</v>
      </c>
      <c r="P1473">
        <f t="array" ref="P1473">+SUM($G$2:$G$18*SIN(2*PI()*(N1473)*$B$1/$F$2:$F$18+$H$2:$H$18))</f>
        <v>-0.56982085741933153</v>
      </c>
      <c r="Q1473">
        <f t="shared" si="179"/>
        <v>0</v>
      </c>
      <c r="R1473">
        <f t="shared" si="180"/>
        <v>-1.1295223168762695E-2</v>
      </c>
      <c r="S1473">
        <f t="array" ref="S1473">+$B$2*SIN(R1473*$B$3+$B$4)+0*R1473+ SUM($J$2:$J$20*SIN(2*PI()*N1473*$I$2:$I$20+$K$2:$K$20))</f>
        <v>0.55519781142881941</v>
      </c>
      <c r="U1473" s="3">
        <f t="shared" si="184"/>
        <v>2002.5833333332218</v>
      </c>
      <c r="V1473" s="3">
        <f t="shared" si="185"/>
        <v>0.46906999999999999</v>
      </c>
      <c r="Z1473" s="1">
        <v>2002.625</v>
      </c>
      <c r="AA1473" s="2">
        <f t="shared" si="181"/>
        <v>0.21864999999999998</v>
      </c>
      <c r="AB1473">
        <v>10.932499999999999</v>
      </c>
      <c r="AE1473">
        <v>2002.5833333332218</v>
      </c>
      <c r="AF1473">
        <v>0.55519781142881941</v>
      </c>
    </row>
    <row r="1474" spans="4:32" x14ac:dyDescent="0.35">
      <c r="D1474">
        <v>0.45244200000000001</v>
      </c>
      <c r="M1474">
        <f t="shared" si="182"/>
        <v>1473</v>
      </c>
      <c r="N1474">
        <f t="shared" si="183"/>
        <v>2002.6666666665551</v>
      </c>
      <c r="O1474">
        <f t="shared" ref="O1474:O1537" si="186">+IF(MOD(M1474,$B$5)=1, $B$6, 0)</f>
        <v>0</v>
      </c>
      <c r="P1474">
        <f t="array" ref="P1474">+SUM($G$2:$G$18*SIN(2*PI()*(N1474)*$B$1/$F$2:$F$18+$H$2:$H$18))</f>
        <v>-0.71585165219845837</v>
      </c>
      <c r="Q1474">
        <f t="shared" si="179"/>
        <v>0</v>
      </c>
      <c r="R1474">
        <f t="shared" si="180"/>
        <v>-1.1277849523690547E-2</v>
      </c>
      <c r="S1474">
        <f t="array" ref="S1474">+$B$2*SIN(R1474*$B$3+$B$4)+0*R1474+ SUM($J$2:$J$20*SIN(2*PI()*N1474*$I$2:$I$20+$K$2:$K$20))</f>
        <v>0.55353276707892918</v>
      </c>
      <c r="U1474" s="3">
        <f t="shared" si="184"/>
        <v>2002.6666666665551</v>
      </c>
      <c r="V1474" s="3">
        <f t="shared" si="185"/>
        <v>0.521478</v>
      </c>
      <c r="Z1474" s="1">
        <v>2002.7083</v>
      </c>
      <c r="AA1474" s="2">
        <f t="shared" si="181"/>
        <v>-0.36745</v>
      </c>
      <c r="AB1474">
        <v>-18.372499999999999</v>
      </c>
      <c r="AE1474">
        <v>2002.6666666665551</v>
      </c>
      <c r="AF1474">
        <v>0.55353276707892918</v>
      </c>
    </row>
    <row r="1475" spans="4:32" x14ac:dyDescent="0.35">
      <c r="D1475">
        <v>0.21864999999999998</v>
      </c>
      <c r="M1475">
        <f t="shared" si="182"/>
        <v>1474</v>
      </c>
      <c r="N1475">
        <f t="shared" si="183"/>
        <v>2002.7499999998884</v>
      </c>
      <c r="O1475">
        <f t="shared" si="186"/>
        <v>0</v>
      </c>
      <c r="P1475">
        <f t="array" ref="P1475">+SUM($G$2:$G$18*SIN(2*PI()*(N1475)*$B$1/$F$2:$F$18+$H$2:$H$18))</f>
        <v>-0.16490015051994691</v>
      </c>
      <c r="Q1475">
        <f t="shared" ref="Q1475:Q1538" si="187">+O1475*P1475</f>
        <v>0</v>
      </c>
      <c r="R1475">
        <f t="shared" ref="R1475:R1538" si="188">+(1-$B$7)*R1474+($B$7)*Q1475</f>
        <v>-1.1260502601732992E-2</v>
      </c>
      <c r="S1475">
        <f t="array" ref="S1475">+$B$2*SIN(R1475*$B$3+$B$4)+0*R1475+ SUM($J$2:$J$20*SIN(2*PI()*N1475*$I$2:$I$20+$K$2:$K$20))</f>
        <v>0.55186437883541473</v>
      </c>
      <c r="U1475" s="3">
        <f t="shared" si="184"/>
        <v>2002.7499999998884</v>
      </c>
      <c r="V1475" s="3">
        <f t="shared" si="185"/>
        <v>0.36158000000000001</v>
      </c>
      <c r="Z1475" s="1">
        <v>2002.7917</v>
      </c>
      <c r="AA1475" s="2">
        <f t="shared" ref="AA1475:AA1538" si="189">+AB1475/50</f>
        <v>-0.73509400000000003</v>
      </c>
      <c r="AB1475">
        <v>-36.7547</v>
      </c>
      <c r="AE1475">
        <v>2002.7499999998884</v>
      </c>
      <c r="AF1475">
        <v>0.55186437883541473</v>
      </c>
    </row>
    <row r="1476" spans="4:32" x14ac:dyDescent="0.35">
      <c r="D1476">
        <v>-0.36745</v>
      </c>
      <c r="M1476">
        <f t="shared" ref="M1476:M1539" si="190">+M1475+1</f>
        <v>1475</v>
      </c>
      <c r="N1476">
        <f t="shared" ref="N1476:N1539" si="191">+N1475+1/12</f>
        <v>2002.8333333332216</v>
      </c>
      <c r="O1476">
        <f t="shared" si="186"/>
        <v>0</v>
      </c>
      <c r="P1476">
        <f t="array" ref="P1476">+SUM($G$2:$G$18*SIN(2*PI()*(N1476)*$B$1/$F$2:$F$18+$H$2:$H$18))</f>
        <v>0.20083115360318315</v>
      </c>
      <c r="Q1476">
        <f t="shared" si="187"/>
        <v>0</v>
      </c>
      <c r="R1476">
        <f t="shared" si="188"/>
        <v>-1.1243182361786114E-2</v>
      </c>
      <c r="S1476">
        <f t="array" ref="S1476">+$B$2*SIN(R1476*$B$3+$B$4)+0*R1476+ SUM($J$2:$J$20*SIN(2*PI()*N1476*$I$2:$I$20+$K$2:$K$20))</f>
        <v>0.55019268773625629</v>
      </c>
      <c r="U1476" s="3">
        <f t="shared" si="184"/>
        <v>2002.8333333332216</v>
      </c>
      <c r="V1476" s="3">
        <f t="shared" si="185"/>
        <v>3.8603999999999999E-2</v>
      </c>
      <c r="Z1476" s="1">
        <v>2002.875</v>
      </c>
      <c r="AA1476" s="2">
        <f t="shared" si="189"/>
        <v>-0.83811800000000003</v>
      </c>
      <c r="AB1476">
        <v>-41.905900000000003</v>
      </c>
      <c r="AE1476">
        <v>2002.8333333332216</v>
      </c>
      <c r="AF1476">
        <v>0.55019268773625629</v>
      </c>
    </row>
    <row r="1477" spans="4:32" x14ac:dyDescent="0.35">
      <c r="D1477">
        <v>-0.73509400000000003</v>
      </c>
      <c r="M1477">
        <f t="shared" si="190"/>
        <v>1476</v>
      </c>
      <c r="N1477">
        <f t="shared" si="191"/>
        <v>2002.9166666665549</v>
      </c>
      <c r="O1477">
        <f t="shared" si="186"/>
        <v>0</v>
      </c>
      <c r="P1477">
        <f t="array" ref="P1477">+SUM($G$2:$G$18*SIN(2*PI()*(N1477)*$B$1/$F$2:$F$18+$H$2:$H$18))</f>
        <v>7.865136840755263E-2</v>
      </c>
      <c r="Q1477">
        <f t="shared" si="187"/>
        <v>0</v>
      </c>
      <c r="R1477">
        <f t="shared" si="188"/>
        <v>-1.122588876280922E-2</v>
      </c>
      <c r="S1477">
        <f t="array" ref="S1477">+$B$2*SIN(R1477*$B$3+$B$4)+0*R1477+ SUM($J$2:$J$20*SIN(2*PI()*N1477*$I$2:$I$20+$K$2:$K$20))</f>
        <v>0.54851773462645204</v>
      </c>
      <c r="U1477" s="3">
        <f t="shared" si="184"/>
        <v>2002.9166666665549</v>
      </c>
      <c r="V1477" s="3">
        <f t="shared" si="185"/>
        <v>-0.11053</v>
      </c>
      <c r="Z1477" s="1">
        <v>2002.9583</v>
      </c>
      <c r="AA1477" s="2">
        <f t="shared" si="189"/>
        <v>-0.74575999999999998</v>
      </c>
      <c r="AB1477">
        <v>-37.287999999999997</v>
      </c>
      <c r="AE1477">
        <v>2002.9166666665549</v>
      </c>
      <c r="AF1477">
        <v>0.54851773462645204</v>
      </c>
    </row>
    <row r="1478" spans="4:32" x14ac:dyDescent="0.35">
      <c r="D1478">
        <v>-0.83811800000000003</v>
      </c>
      <c r="M1478">
        <f t="shared" si="190"/>
        <v>1477</v>
      </c>
      <c r="N1478">
        <f t="shared" si="191"/>
        <v>2002.9999999998881</v>
      </c>
      <c r="O1478">
        <f t="shared" si="186"/>
        <v>36.637715116165623</v>
      </c>
      <c r="P1478">
        <f t="array" ref="P1478">+SUM($G$2:$G$18*SIN(2*PI()*(N1478)*$B$1/$F$2:$F$18+$H$2:$H$18))</f>
        <v>-0.11040426281931136</v>
      </c>
      <c r="Q1478">
        <f t="shared" si="187"/>
        <v>-4.0449599287842064</v>
      </c>
      <c r="R1478">
        <f t="shared" si="188"/>
        <v>-1.7430340191496665E-2</v>
      </c>
      <c r="S1478">
        <f t="array" ref="S1478">+$B$2*SIN(R1478*$B$3+$B$4)+0*R1478+ SUM($J$2:$J$20*SIN(2*PI()*N1478*$I$2:$I$20+$K$2:$K$20))</f>
        <v>0.68932779934891752</v>
      </c>
      <c r="U1478" s="3">
        <f t="shared" si="184"/>
        <v>2002.9999999998881</v>
      </c>
      <c r="V1478" s="3">
        <f t="shared" si="185"/>
        <v>8.1876000000000004E-2</v>
      </c>
      <c r="Z1478" s="1">
        <v>2003.0417</v>
      </c>
      <c r="AA1478" s="2">
        <f t="shared" si="189"/>
        <v>-0.59956200000000004</v>
      </c>
      <c r="AB1478">
        <v>-29.978100000000001</v>
      </c>
      <c r="AE1478">
        <v>2002.9999999998881</v>
      </c>
      <c r="AF1478">
        <v>0.68932779934891752</v>
      </c>
    </row>
    <row r="1479" spans="4:32" x14ac:dyDescent="0.35">
      <c r="D1479">
        <v>-0.74575999999999998</v>
      </c>
      <c r="M1479">
        <f t="shared" si="190"/>
        <v>1478</v>
      </c>
      <c r="N1479">
        <f t="shared" si="191"/>
        <v>2003.0833333332214</v>
      </c>
      <c r="O1479">
        <f t="shared" si="186"/>
        <v>0</v>
      </c>
      <c r="P1479">
        <f t="array" ref="P1479">+SUM($G$2:$G$18*SIN(2*PI()*(N1479)*$B$1/$F$2:$F$18+$H$2:$H$18))</f>
        <v>-5.2830696620476264E-2</v>
      </c>
      <c r="Q1479">
        <f t="shared" si="187"/>
        <v>0</v>
      </c>
      <c r="R1479">
        <f t="shared" si="188"/>
        <v>-1.7403529871819996E-2</v>
      </c>
      <c r="S1479">
        <f t="array" ref="S1479">+$B$2*SIN(R1479*$B$3+$B$4)+0*R1479+ SUM($J$2:$J$20*SIN(2*PI()*N1479*$I$2:$I$20+$K$2:$K$20))</f>
        <v>0.69084482608694742</v>
      </c>
      <c r="U1479" s="3">
        <f t="shared" si="184"/>
        <v>2003.0833333332214</v>
      </c>
      <c r="V1479" s="3">
        <f t="shared" si="185"/>
        <v>-0.242642</v>
      </c>
      <c r="Z1479" s="1">
        <v>2003.125</v>
      </c>
      <c r="AA1479" s="2">
        <f t="shared" si="189"/>
        <v>-0.61489800000000006</v>
      </c>
      <c r="AB1479">
        <v>-30.744900000000001</v>
      </c>
      <c r="AE1479">
        <v>2003.0833333332214</v>
      </c>
      <c r="AF1479">
        <v>0.69084482608694742</v>
      </c>
    </row>
    <row r="1480" spans="4:32" x14ac:dyDescent="0.35">
      <c r="D1480">
        <v>-0.59956200000000004</v>
      </c>
      <c r="M1480">
        <f t="shared" si="190"/>
        <v>1479</v>
      </c>
      <c r="N1480">
        <f t="shared" si="191"/>
        <v>2003.1666666665546</v>
      </c>
      <c r="O1480">
        <f t="shared" si="186"/>
        <v>0</v>
      </c>
      <c r="P1480">
        <f t="array" ref="P1480">+SUM($G$2:$G$18*SIN(2*PI()*(N1480)*$B$1/$F$2:$F$18+$H$2:$H$18))</f>
        <v>0.23575969519368348</v>
      </c>
      <c r="Q1480">
        <f t="shared" si="187"/>
        <v>0</v>
      </c>
      <c r="R1480">
        <f t="shared" si="188"/>
        <v>-1.7376760790193374E-2</v>
      </c>
      <c r="S1480">
        <f t="array" ref="S1480">+$B$2*SIN(R1480*$B$3+$B$4)+0*R1480+ SUM($J$2:$J$20*SIN(2*PI()*N1480*$I$2:$I$20+$K$2:$K$20))</f>
        <v>0.69234196950911309</v>
      </c>
      <c r="U1480" s="3">
        <f t="shared" si="184"/>
        <v>2003.1666666665546</v>
      </c>
      <c r="V1480" s="3">
        <f t="shared" si="185"/>
        <v>-0.134856</v>
      </c>
      <c r="Z1480" s="1">
        <v>2003.2083</v>
      </c>
      <c r="AA1480" s="2">
        <f t="shared" si="189"/>
        <v>-0.57485200000000003</v>
      </c>
      <c r="AB1480">
        <v>-28.742599999999999</v>
      </c>
      <c r="AE1480">
        <v>2003.1666666665546</v>
      </c>
      <c r="AF1480">
        <v>0.69234196950911309</v>
      </c>
    </row>
    <row r="1481" spans="4:32" x14ac:dyDescent="0.35">
      <c r="D1481">
        <v>-0.61489800000000006</v>
      </c>
      <c r="M1481">
        <f t="shared" si="190"/>
        <v>1480</v>
      </c>
      <c r="N1481">
        <f t="shared" si="191"/>
        <v>2003.2499999998879</v>
      </c>
      <c r="O1481">
        <f t="shared" si="186"/>
        <v>0</v>
      </c>
      <c r="P1481">
        <f t="array" ref="P1481">+SUM($G$2:$G$18*SIN(2*PI()*(N1481)*$B$1/$F$2:$F$18+$H$2:$H$18))</f>
        <v>9.9785981105393523E-2</v>
      </c>
      <c r="Q1481">
        <f t="shared" si="187"/>
        <v>0</v>
      </c>
      <c r="R1481">
        <f t="shared" si="188"/>
        <v>-1.7350032883186869E-2</v>
      </c>
      <c r="S1481">
        <f t="array" ref="S1481">+$B$2*SIN(R1481*$B$3+$B$4)+0*R1481+ SUM($J$2:$J$20*SIN(2*PI()*N1481*$I$2:$I$20+$K$2:$K$20))</f>
        <v>0.69381927622944961</v>
      </c>
      <c r="U1481" s="3">
        <f t="shared" si="184"/>
        <v>2003.2499999998879</v>
      </c>
      <c r="V1481" s="3">
        <f t="shared" si="185"/>
        <v>-4.8605999999999996E-2</v>
      </c>
      <c r="Z1481" s="1">
        <v>2003.2917</v>
      </c>
      <c r="AA1481" s="2">
        <f t="shared" si="189"/>
        <v>-0.470194</v>
      </c>
      <c r="AB1481">
        <v>-23.509699999999999</v>
      </c>
      <c r="AE1481">
        <v>2003.2499999998879</v>
      </c>
      <c r="AF1481">
        <v>0.69381927622944961</v>
      </c>
    </row>
    <row r="1482" spans="4:32" x14ac:dyDescent="0.35">
      <c r="D1482">
        <v>-0.57485200000000003</v>
      </c>
      <c r="M1482">
        <f t="shared" si="190"/>
        <v>1481</v>
      </c>
      <c r="N1482">
        <f t="shared" si="191"/>
        <v>2003.3333333332212</v>
      </c>
      <c r="O1482">
        <f t="shared" si="186"/>
        <v>0</v>
      </c>
      <c r="P1482">
        <f t="array" ref="P1482">+SUM($G$2:$G$18*SIN(2*PI()*(N1482)*$B$1/$F$2:$F$18+$H$2:$H$18))</f>
        <v>-0.50451167697716837</v>
      </c>
      <c r="Q1482">
        <f t="shared" si="187"/>
        <v>0</v>
      </c>
      <c r="R1482">
        <f t="shared" si="188"/>
        <v>-1.7323346087468109E-2</v>
      </c>
      <c r="S1482">
        <f t="array" ref="S1482">+$B$2*SIN(R1482*$B$3+$B$4)+0*R1482+ SUM($J$2:$J$20*SIN(2*PI()*N1482*$I$2:$I$20+$K$2:$K$20))</f>
        <v>0.6952767933583972</v>
      </c>
      <c r="U1482" s="3">
        <f t="shared" si="184"/>
        <v>2003.3333333332212</v>
      </c>
      <c r="V1482" s="3">
        <f t="shared" si="185"/>
        <v>1.4563999999999999E-2</v>
      </c>
      <c r="Z1482" s="1">
        <v>2003.375</v>
      </c>
      <c r="AA1482" s="2">
        <f t="shared" si="189"/>
        <v>-0.55476400000000003</v>
      </c>
      <c r="AB1482">
        <v>-27.738199999999999</v>
      </c>
      <c r="AE1482">
        <v>2003.3333333332212</v>
      </c>
      <c r="AF1482">
        <v>0.6952767933583972</v>
      </c>
    </row>
    <row r="1483" spans="4:32" x14ac:dyDescent="0.35">
      <c r="D1483">
        <v>-0.470194</v>
      </c>
      <c r="M1483">
        <f t="shared" si="190"/>
        <v>1482</v>
      </c>
      <c r="N1483">
        <f t="shared" si="191"/>
        <v>2003.4166666665544</v>
      </c>
      <c r="O1483">
        <f t="shared" si="186"/>
        <v>0</v>
      </c>
      <c r="P1483">
        <f t="array" ref="P1483">+SUM($G$2:$G$18*SIN(2*PI()*(N1483)*$B$1/$F$2:$F$18+$H$2:$H$18))</f>
        <v>-0.4264292239952201</v>
      </c>
      <c r="Q1483">
        <f t="shared" si="187"/>
        <v>0</v>
      </c>
      <c r="R1483">
        <f t="shared" si="188"/>
        <v>-1.7296700339802139E-2</v>
      </c>
      <c r="S1483">
        <f t="array" ref="S1483">+$B$2*SIN(R1483*$B$3+$B$4)+0*R1483+ SUM($J$2:$J$20*SIN(2*PI()*N1483*$I$2:$I$20+$K$2:$K$20))</f>
        <v>0.69671456849567037</v>
      </c>
      <c r="U1483" s="3">
        <f t="shared" si="184"/>
        <v>2003.4166666665544</v>
      </c>
      <c r="V1483" s="3">
        <f t="shared" si="185"/>
        <v>-7.3037999999999992E-2</v>
      </c>
      <c r="Z1483" s="1">
        <v>2003.4583</v>
      </c>
      <c r="AA1483" s="2">
        <f t="shared" si="189"/>
        <v>-0.55010599999999998</v>
      </c>
      <c r="AB1483">
        <v>-27.505299999999998</v>
      </c>
      <c r="AE1483">
        <v>2003.4166666665544</v>
      </c>
      <c r="AF1483">
        <v>0.69671456849567037</v>
      </c>
    </row>
    <row r="1484" spans="4:32" x14ac:dyDescent="0.35">
      <c r="D1484">
        <v>-0.55476400000000003</v>
      </c>
      <c r="M1484">
        <f t="shared" si="190"/>
        <v>1483</v>
      </c>
      <c r="N1484">
        <f t="shared" si="191"/>
        <v>2003.4999999998877</v>
      </c>
      <c r="O1484">
        <f t="shared" si="186"/>
        <v>0</v>
      </c>
      <c r="P1484">
        <f t="array" ref="P1484">+SUM($G$2:$G$18*SIN(2*PI()*(N1484)*$B$1/$F$2:$F$18+$H$2:$H$18))</f>
        <v>0.36190880484319188</v>
      </c>
      <c r="Q1484">
        <f t="shared" si="187"/>
        <v>0</v>
      </c>
      <c r="R1484">
        <f t="shared" si="188"/>
        <v>-1.7270095577051274E-2</v>
      </c>
      <c r="S1484">
        <f t="array" ref="S1484">+$B$2*SIN(R1484*$B$3+$B$4)+0*R1484+ SUM($J$2:$J$20*SIN(2*PI()*N1484*$I$2:$I$20+$K$2:$K$20))</f>
        <v>0.69813264972316647</v>
      </c>
      <c r="U1484" s="3">
        <f t="shared" si="184"/>
        <v>2003.4999999998877</v>
      </c>
      <c r="V1484" s="3">
        <f t="shared" si="185"/>
        <v>-0.22832999999999998</v>
      </c>
      <c r="Z1484" s="1">
        <v>2003.5417</v>
      </c>
      <c r="AA1484" s="2">
        <f t="shared" si="189"/>
        <v>-0.245452</v>
      </c>
      <c r="AB1484">
        <v>-12.272600000000001</v>
      </c>
      <c r="AE1484">
        <v>2003.4999999998877</v>
      </c>
      <c r="AF1484">
        <v>0.69813264972316647</v>
      </c>
    </row>
    <row r="1485" spans="4:32" x14ac:dyDescent="0.35">
      <c r="D1485">
        <v>-0.55010599999999998</v>
      </c>
      <c r="M1485">
        <f t="shared" si="190"/>
        <v>1484</v>
      </c>
      <c r="N1485">
        <f t="shared" si="191"/>
        <v>2003.5833333332209</v>
      </c>
      <c r="O1485">
        <f t="shared" si="186"/>
        <v>0</v>
      </c>
      <c r="P1485">
        <f t="array" ref="P1485">+SUM($G$2:$G$18*SIN(2*PI()*(N1485)*$B$1/$F$2:$F$18+$H$2:$H$18))</f>
        <v>0.65140641980411462</v>
      </c>
      <c r="Q1485">
        <f t="shared" si="187"/>
        <v>0</v>
      </c>
      <c r="R1485">
        <f t="shared" si="188"/>
        <v>-1.7243531736174933E-2</v>
      </c>
      <c r="S1485">
        <f t="array" ref="S1485">+$B$2*SIN(R1485*$B$3+$B$4)+0*R1485+ SUM($J$2:$J$20*SIN(2*PI()*N1485*$I$2:$I$20+$K$2:$K$20))</f>
        <v>0.69953108559792609</v>
      </c>
      <c r="U1485" s="3">
        <f t="shared" si="184"/>
        <v>2003.5833333332209</v>
      </c>
      <c r="V1485" s="3">
        <f t="shared" si="185"/>
        <v>-9.1316000000000008E-2</v>
      </c>
      <c r="Z1485" s="1">
        <v>2003.625</v>
      </c>
      <c r="AA1485" s="2">
        <f t="shared" si="189"/>
        <v>-0.111564</v>
      </c>
      <c r="AB1485">
        <v>-5.5781999999999998</v>
      </c>
      <c r="AE1485">
        <v>2003.5833333332209</v>
      </c>
      <c r="AF1485">
        <v>0.69953108559792609</v>
      </c>
    </row>
    <row r="1486" spans="4:32" x14ac:dyDescent="0.35">
      <c r="D1486">
        <v>-0.245452</v>
      </c>
      <c r="M1486">
        <f t="shared" si="190"/>
        <v>1485</v>
      </c>
      <c r="N1486">
        <f t="shared" si="191"/>
        <v>2003.6666666665542</v>
      </c>
      <c r="O1486">
        <f t="shared" si="186"/>
        <v>0</v>
      </c>
      <c r="P1486">
        <f t="array" ref="P1486">+SUM($G$2:$G$18*SIN(2*PI()*(N1486)*$B$1/$F$2:$F$18+$H$2:$H$18))</f>
        <v>0.2623653790743441</v>
      </c>
      <c r="Q1486">
        <f t="shared" si="187"/>
        <v>0</v>
      </c>
      <c r="R1486">
        <f t="shared" si="188"/>
        <v>-1.7217008754229511E-2</v>
      </c>
      <c r="S1486">
        <f t="array" ref="S1486">+$B$2*SIN(R1486*$B$3+$B$4)+0*R1486+ SUM($J$2:$J$20*SIN(2*PI()*N1486*$I$2:$I$20+$K$2:$K$20))</f>
        <v>0.70090992514512918</v>
      </c>
      <c r="U1486" s="3">
        <f t="shared" si="184"/>
        <v>2003.6666666665542</v>
      </c>
      <c r="V1486" s="3">
        <f t="shared" si="185"/>
        <v>0.19954</v>
      </c>
      <c r="Z1486" s="1">
        <v>2003.7083</v>
      </c>
      <c r="AA1486" s="2">
        <f t="shared" si="189"/>
        <v>2.3219999999999998E-3</v>
      </c>
      <c r="AB1486">
        <v>0.11609999999999999</v>
      </c>
      <c r="AE1486">
        <v>2003.6666666665542</v>
      </c>
      <c r="AF1486">
        <v>0.70090992514512918</v>
      </c>
    </row>
    <row r="1487" spans="4:32" x14ac:dyDescent="0.35">
      <c r="D1487">
        <v>-0.111564</v>
      </c>
      <c r="M1487">
        <f t="shared" si="190"/>
        <v>1486</v>
      </c>
      <c r="N1487">
        <f t="shared" si="191"/>
        <v>2003.7499999998875</v>
      </c>
      <c r="O1487">
        <f t="shared" si="186"/>
        <v>0</v>
      </c>
      <c r="P1487">
        <f t="array" ref="P1487">+SUM($G$2:$G$18*SIN(2*PI()*(N1487)*$B$1/$F$2:$F$18+$H$2:$H$18))</f>
        <v>-7.0423980667548486E-2</v>
      </c>
      <c r="Q1487">
        <f t="shared" si="187"/>
        <v>0</v>
      </c>
      <c r="R1487">
        <f t="shared" si="188"/>
        <v>-1.7190526568368211E-2</v>
      </c>
      <c r="S1487">
        <f t="array" ref="S1487">+$B$2*SIN(R1487*$B$3+$B$4)+0*R1487+ SUM($J$2:$J$20*SIN(2*PI()*N1487*$I$2:$I$20+$K$2:$K$20))</f>
        <v>0.70226921785114393</v>
      </c>
      <c r="U1487" s="3">
        <f t="shared" si="184"/>
        <v>2003.7499999998875</v>
      </c>
      <c r="V1487" s="3">
        <f t="shared" si="185"/>
        <v>0.29809000000000002</v>
      </c>
      <c r="Z1487" s="1">
        <v>2003.7917</v>
      </c>
      <c r="AA1487" s="2">
        <f t="shared" si="189"/>
        <v>0.22697199999999998</v>
      </c>
      <c r="AB1487">
        <v>11.348599999999999</v>
      </c>
      <c r="AE1487">
        <v>2003.7499999998875</v>
      </c>
      <c r="AF1487">
        <v>0.70226921785114393</v>
      </c>
    </row>
    <row r="1488" spans="4:32" x14ac:dyDescent="0.35">
      <c r="D1488">
        <v>2.3219999999999998E-3</v>
      </c>
      <c r="M1488">
        <f t="shared" si="190"/>
        <v>1487</v>
      </c>
      <c r="N1488">
        <f t="shared" si="191"/>
        <v>2003.8333333332207</v>
      </c>
      <c r="O1488">
        <f t="shared" si="186"/>
        <v>0</v>
      </c>
      <c r="P1488">
        <f t="array" ref="P1488">+SUM($G$2:$G$18*SIN(2*PI()*(N1488)*$B$1/$F$2:$F$18+$H$2:$H$18))</f>
        <v>0.13490290053383833</v>
      </c>
      <c r="Q1488">
        <f t="shared" si="187"/>
        <v>0</v>
      </c>
      <c r="R1488">
        <f t="shared" si="188"/>
        <v>-1.7164085115840905E-2</v>
      </c>
      <c r="S1488">
        <f t="array" ref="S1488">+$B$2*SIN(R1488*$B$3+$B$4)+0*R1488+ SUM($J$2:$J$20*SIN(2*PI()*N1488*$I$2:$I$20+$K$2:$K$20))</f>
        <v>0.70360901365661455</v>
      </c>
      <c r="U1488" s="3">
        <f t="shared" si="184"/>
        <v>2003.8333333332207</v>
      </c>
      <c r="V1488" s="3">
        <f t="shared" si="185"/>
        <v>0.26433000000000001</v>
      </c>
      <c r="Z1488" s="1">
        <v>2003.875</v>
      </c>
      <c r="AA1488" s="2">
        <f t="shared" si="189"/>
        <v>0.231626</v>
      </c>
      <c r="AB1488">
        <v>11.581300000000001</v>
      </c>
      <c r="AE1488">
        <v>2003.8333333332207</v>
      </c>
      <c r="AF1488">
        <v>0.70360901365661455</v>
      </c>
    </row>
    <row r="1489" spans="4:32" x14ac:dyDescent="0.35">
      <c r="D1489">
        <v>0.22697199999999998</v>
      </c>
      <c r="M1489">
        <f t="shared" si="190"/>
        <v>1488</v>
      </c>
      <c r="N1489">
        <f t="shared" si="191"/>
        <v>2003.916666666554</v>
      </c>
      <c r="O1489">
        <f t="shared" si="186"/>
        <v>0</v>
      </c>
      <c r="P1489">
        <f t="array" ref="P1489">+SUM($G$2:$G$18*SIN(2*PI()*(N1489)*$B$1/$F$2:$F$18+$H$2:$H$18))</f>
        <v>0.5387148129474808</v>
      </c>
      <c r="Q1489">
        <f t="shared" si="187"/>
        <v>0</v>
      </c>
      <c r="R1489">
        <f t="shared" si="188"/>
        <v>-1.7137684333993989E-2</v>
      </c>
      <c r="S1489">
        <f t="array" ref="S1489">+$B$2*SIN(R1489*$B$3+$B$4)+0*R1489+ SUM($J$2:$J$20*SIN(2*PI()*N1489*$I$2:$I$20+$K$2:$K$20))</f>
        <v>0.70492936294959707</v>
      </c>
      <c r="U1489" s="3">
        <f t="shared" si="184"/>
        <v>2003.916666666554</v>
      </c>
      <c r="V1489" s="3">
        <f t="shared" si="185"/>
        <v>2.7490000000000001E-2</v>
      </c>
      <c r="Z1489" s="1">
        <v>2003.9583</v>
      </c>
      <c r="AA1489" s="2">
        <f t="shared" si="189"/>
        <v>0.42551</v>
      </c>
      <c r="AB1489">
        <v>21.275500000000001</v>
      </c>
      <c r="AE1489">
        <v>2003.916666666554</v>
      </c>
      <c r="AF1489">
        <v>0.70492936294959707</v>
      </c>
    </row>
    <row r="1490" spans="4:32" x14ac:dyDescent="0.35">
      <c r="D1490">
        <v>0.231626</v>
      </c>
      <c r="M1490">
        <f t="shared" si="190"/>
        <v>1489</v>
      </c>
      <c r="N1490">
        <f t="shared" si="191"/>
        <v>2003.9999999998872</v>
      </c>
      <c r="O1490">
        <f t="shared" si="186"/>
        <v>36.637715116165623</v>
      </c>
      <c r="P1490">
        <f t="array" ref="P1490">+SUM($G$2:$G$18*SIN(2*PI()*(N1490)*$B$1/$F$2:$F$18+$H$2:$H$18))</f>
        <v>0.24796128355398872</v>
      </c>
      <c r="Q1490">
        <f t="shared" si="187"/>
        <v>9.0847348666898036</v>
      </c>
      <c r="R1490">
        <f t="shared" si="188"/>
        <v>-3.1377216213727376E-3</v>
      </c>
      <c r="S1490">
        <f t="array" ref="S1490">+$B$2*SIN(R1490*$B$3+$B$4)+0*R1490+ SUM($J$2:$J$20*SIN(2*PI()*N1490*$I$2:$I$20+$K$2:$K$20))</f>
        <v>-0.48829137197848499</v>
      </c>
      <c r="U1490" s="3">
        <f t="shared" si="184"/>
        <v>2003.9999999998872</v>
      </c>
      <c r="V1490" s="3">
        <f t="shared" si="185"/>
        <v>-0.22165400000000002</v>
      </c>
      <c r="Z1490" s="1">
        <v>2004.0417</v>
      </c>
      <c r="AA1490" s="2">
        <f t="shared" si="189"/>
        <v>0.56246399999999996</v>
      </c>
      <c r="AB1490">
        <v>28.123200000000001</v>
      </c>
      <c r="AE1490">
        <v>2003.9999999998872</v>
      </c>
      <c r="AF1490">
        <v>-0.48829137197848499</v>
      </c>
    </row>
    <row r="1491" spans="4:32" x14ac:dyDescent="0.35">
      <c r="D1491">
        <v>0.42551</v>
      </c>
      <c r="M1491">
        <f t="shared" si="190"/>
        <v>1490</v>
      </c>
      <c r="N1491">
        <f t="shared" si="191"/>
        <v>2004.0833333332205</v>
      </c>
      <c r="O1491">
        <f t="shared" si="186"/>
        <v>0</v>
      </c>
      <c r="P1491">
        <f t="array" ref="P1491">+SUM($G$2:$G$18*SIN(2*PI()*(N1491)*$B$1/$F$2:$F$18+$H$2:$H$18))</f>
        <v>-0.34813643383606868</v>
      </c>
      <c r="Q1491">
        <f t="shared" si="187"/>
        <v>0</v>
      </c>
      <c r="R1491">
        <f t="shared" si="188"/>
        <v>-3.1328953633191835E-3</v>
      </c>
      <c r="S1491">
        <f t="array" ref="S1491">+$B$2*SIN(R1491*$B$3+$B$4)+0*R1491+ SUM($J$2:$J$20*SIN(2*PI()*N1491*$I$2:$I$20+$K$2:$K$20))</f>
        <v>-0.48881154013103134</v>
      </c>
      <c r="U1491" s="3">
        <f t="shared" si="184"/>
        <v>2004.0833333332205</v>
      </c>
      <c r="V1491" s="3">
        <f t="shared" si="185"/>
        <v>-0.22156999999999999</v>
      </c>
      <c r="Z1491" s="1">
        <v>2004.125</v>
      </c>
      <c r="AA1491" s="2">
        <f t="shared" si="189"/>
        <v>0.45018999999999998</v>
      </c>
      <c r="AB1491">
        <v>22.509499999999999</v>
      </c>
      <c r="AE1491">
        <v>2004.0833333332205</v>
      </c>
      <c r="AF1491">
        <v>-0.48881154013103134</v>
      </c>
    </row>
    <row r="1492" spans="4:32" x14ac:dyDescent="0.35">
      <c r="D1492">
        <v>0.56246399999999996</v>
      </c>
      <c r="M1492">
        <f t="shared" si="190"/>
        <v>1491</v>
      </c>
      <c r="N1492">
        <f t="shared" si="191"/>
        <v>2004.1666666665537</v>
      </c>
      <c r="O1492">
        <f t="shared" si="186"/>
        <v>0</v>
      </c>
      <c r="P1492">
        <f t="array" ref="P1492">+SUM($G$2:$G$18*SIN(2*PI()*(N1492)*$B$1/$F$2:$F$18+$H$2:$H$18))</f>
        <v>3.0843349139162438E-2</v>
      </c>
      <c r="Q1492">
        <f t="shared" si="187"/>
        <v>0</v>
      </c>
      <c r="R1492">
        <f t="shared" si="188"/>
        <v>-3.1280765287306812E-3</v>
      </c>
      <c r="S1492">
        <f t="array" ref="S1492">+$B$2*SIN(R1492*$B$3+$B$4)+0*R1492+ SUM($J$2:$J$20*SIN(2*PI()*N1492*$I$2:$I$20+$K$2:$K$20))</f>
        <v>-0.48933050579515514</v>
      </c>
      <c r="U1492" s="3">
        <f t="shared" si="184"/>
        <v>2004.1666666665537</v>
      </c>
      <c r="V1492" s="3">
        <f t="shared" si="185"/>
        <v>-0.28610600000000003</v>
      </c>
      <c r="Z1492" s="1">
        <v>2004.2083</v>
      </c>
      <c r="AA1492" s="2">
        <f t="shared" si="189"/>
        <v>0.359454</v>
      </c>
      <c r="AB1492">
        <v>17.9727</v>
      </c>
      <c r="AE1492">
        <v>2004.1666666665537</v>
      </c>
      <c r="AF1492">
        <v>-0.48933050579515514</v>
      </c>
    </row>
    <row r="1493" spans="4:32" x14ac:dyDescent="0.35">
      <c r="D1493">
        <v>0.45018999999999998</v>
      </c>
      <c r="M1493">
        <f t="shared" si="190"/>
        <v>1492</v>
      </c>
      <c r="N1493">
        <f t="shared" si="191"/>
        <v>2004.249999999887</v>
      </c>
      <c r="O1493">
        <f t="shared" si="186"/>
        <v>0</v>
      </c>
      <c r="P1493">
        <f t="array" ref="P1493">+SUM($G$2:$G$18*SIN(2*PI()*(N1493)*$B$1/$F$2:$F$18+$H$2:$H$18))</f>
        <v>0.89269781480570409</v>
      </c>
      <c r="Q1493">
        <f t="shared" si="187"/>
        <v>0</v>
      </c>
      <c r="R1493">
        <f t="shared" si="188"/>
        <v>-3.1232651061888959E-3</v>
      </c>
      <c r="S1493">
        <f t="array" ref="S1493">+$B$2*SIN(R1493*$B$3+$B$4)+0*R1493+ SUM($J$2:$J$20*SIN(2*PI()*N1493*$I$2:$I$20+$K$2:$K$20))</f>
        <v>-0.48984827163147904</v>
      </c>
      <c r="U1493" s="3">
        <f t="shared" si="184"/>
        <v>2004.249999999887</v>
      </c>
      <c r="V1493" s="3">
        <f t="shared" si="185"/>
        <v>-0.44448599999999999</v>
      </c>
      <c r="Z1493" s="1">
        <v>2004.2917</v>
      </c>
      <c r="AA1493" s="2">
        <f t="shared" si="189"/>
        <v>0.35948399999999997</v>
      </c>
      <c r="AB1493">
        <v>17.9742</v>
      </c>
      <c r="AE1493">
        <v>2004.249999999887</v>
      </c>
      <c r="AF1493">
        <v>-0.48984827163147904</v>
      </c>
    </row>
    <row r="1494" spans="4:32" x14ac:dyDescent="0.35">
      <c r="D1494">
        <v>0.359454</v>
      </c>
      <c r="M1494">
        <f t="shared" si="190"/>
        <v>1493</v>
      </c>
      <c r="N1494">
        <f t="shared" si="191"/>
        <v>2004.3333333332203</v>
      </c>
      <c r="O1494">
        <f t="shared" si="186"/>
        <v>0</v>
      </c>
      <c r="P1494">
        <f t="array" ref="P1494">+SUM($G$2:$G$18*SIN(2*PI()*(N1494)*$B$1/$F$2:$F$18+$H$2:$H$18))</f>
        <v>0.89836602758353157</v>
      </c>
      <c r="Q1494">
        <f t="shared" si="187"/>
        <v>0</v>
      </c>
      <c r="R1494">
        <f t="shared" si="188"/>
        <v>-3.1184610842930546E-3</v>
      </c>
      <c r="S1494">
        <f t="array" ref="S1494">+$B$2*SIN(R1494*$B$3+$B$4)+0*R1494+ SUM($J$2:$J$20*SIN(2*PI()*N1494*$I$2:$I$20+$K$2:$K$20))</f>
        <v>-0.49036484029633098</v>
      </c>
      <c r="U1494" s="3">
        <f t="shared" si="184"/>
        <v>2004.3333333332203</v>
      </c>
      <c r="V1494" s="3">
        <f t="shared" si="185"/>
        <v>-0.67825199999999997</v>
      </c>
      <c r="Z1494" s="1">
        <v>2004.375</v>
      </c>
      <c r="AA1494" s="2">
        <f t="shared" si="189"/>
        <v>0.25028400000000001</v>
      </c>
      <c r="AB1494">
        <v>12.514200000000001</v>
      </c>
      <c r="AE1494">
        <v>2004.3333333332203</v>
      </c>
      <c r="AF1494">
        <v>-0.49036484029633098</v>
      </c>
    </row>
    <row r="1495" spans="4:32" x14ac:dyDescent="0.35">
      <c r="D1495">
        <v>0.35948399999999997</v>
      </c>
      <c r="M1495">
        <f t="shared" si="190"/>
        <v>1494</v>
      </c>
      <c r="N1495">
        <f t="shared" si="191"/>
        <v>2004.4166666665535</v>
      </c>
      <c r="O1495">
        <f t="shared" si="186"/>
        <v>0</v>
      </c>
      <c r="P1495">
        <f t="array" ref="P1495">+SUM($G$2:$G$18*SIN(2*PI()*(N1495)*$B$1/$F$2:$F$18+$H$2:$H$18))</f>
        <v>0.23988953807553573</v>
      </c>
      <c r="Q1495">
        <f t="shared" si="187"/>
        <v>0</v>
      </c>
      <c r="R1495">
        <f t="shared" si="188"/>
        <v>-3.1136644516599212E-3</v>
      </c>
      <c r="S1495">
        <f t="array" ref="S1495">+$B$2*SIN(R1495*$B$3+$B$4)+0*R1495+ SUM($J$2:$J$20*SIN(2*PI()*N1495*$I$2:$I$20+$K$2:$K$20))</f>
        <v>-0.49088021444173863</v>
      </c>
      <c r="U1495" s="3">
        <f t="shared" si="184"/>
        <v>2004.4166666665535</v>
      </c>
      <c r="V1495" s="3">
        <f t="shared" si="185"/>
        <v>-1.0535600000000001</v>
      </c>
      <c r="Z1495" s="1">
        <v>2004.4583</v>
      </c>
      <c r="AA1495" s="2">
        <f t="shared" si="189"/>
        <v>0.37646799999999997</v>
      </c>
      <c r="AB1495">
        <v>18.823399999999999</v>
      </c>
      <c r="AE1495">
        <v>2004.4166666665535</v>
      </c>
      <c r="AF1495">
        <v>-0.49088021444173863</v>
      </c>
    </row>
    <row r="1496" spans="4:32" x14ac:dyDescent="0.35">
      <c r="D1496">
        <v>0.25028400000000001</v>
      </c>
      <c r="M1496">
        <f t="shared" si="190"/>
        <v>1495</v>
      </c>
      <c r="N1496">
        <f t="shared" si="191"/>
        <v>2004.4999999998868</v>
      </c>
      <c r="O1496">
        <f t="shared" si="186"/>
        <v>0</v>
      </c>
      <c r="P1496">
        <f t="array" ref="P1496">+SUM($G$2:$G$18*SIN(2*PI()*(N1496)*$B$1/$F$2:$F$18+$H$2:$H$18))</f>
        <v>-7.0734036601130909E-2</v>
      </c>
      <c r="Q1496">
        <f t="shared" si="187"/>
        <v>0</v>
      </c>
      <c r="R1496">
        <f t="shared" si="188"/>
        <v>-3.1088751969237682E-3</v>
      </c>
      <c r="S1496">
        <f t="array" ref="S1496">+$B$2*SIN(R1496*$B$3+$B$4)+0*R1496+ SUM($J$2:$J$20*SIN(2*PI()*N1496*$I$2:$I$20+$K$2:$K$20))</f>
        <v>-0.49139439671542612</v>
      </c>
      <c r="U1496" s="3">
        <f t="shared" si="184"/>
        <v>2004.4999999998868</v>
      </c>
      <c r="V1496" s="3">
        <f t="shared" si="185"/>
        <v>-1.0750199999999999</v>
      </c>
      <c r="Z1496" s="1">
        <v>2004.5417</v>
      </c>
      <c r="AA1496" s="2">
        <f t="shared" si="189"/>
        <v>0.61649200000000004</v>
      </c>
      <c r="AB1496">
        <v>30.8246</v>
      </c>
      <c r="AE1496">
        <v>2004.4999999998868</v>
      </c>
      <c r="AF1496">
        <v>-0.49139439671542612</v>
      </c>
    </row>
    <row r="1497" spans="4:32" x14ac:dyDescent="0.35">
      <c r="D1497">
        <v>0.37646799999999997</v>
      </c>
      <c r="M1497">
        <f t="shared" si="190"/>
        <v>1496</v>
      </c>
      <c r="N1497">
        <f t="shared" si="191"/>
        <v>2004.58333333322</v>
      </c>
      <c r="O1497">
        <f t="shared" si="186"/>
        <v>0</v>
      </c>
      <c r="P1497">
        <f t="array" ref="P1497">+SUM($G$2:$G$18*SIN(2*PI()*(N1497)*$B$1/$F$2:$F$18+$H$2:$H$18))</f>
        <v>0.34230861718908578</v>
      </c>
      <c r="Q1497">
        <f t="shared" si="187"/>
        <v>0</v>
      </c>
      <c r="R1497">
        <f t="shared" si="188"/>
        <v>-3.1040933087363503E-3</v>
      </c>
      <c r="S1497">
        <f t="array" ref="S1497">+$B$2*SIN(R1497*$B$3+$B$4)+0*R1497+ SUM($J$2:$J$20*SIN(2*PI()*N1497*$I$2:$I$20+$K$2:$K$20))</f>
        <v>-0.49190738976080722</v>
      </c>
      <c r="U1497" s="3">
        <f t="shared" si="184"/>
        <v>2004.58333333322</v>
      </c>
      <c r="V1497" s="3">
        <f t="shared" si="185"/>
        <v>-0.76417400000000002</v>
      </c>
      <c r="Z1497" s="1">
        <v>2004.625</v>
      </c>
      <c r="AA1497" s="2">
        <f t="shared" si="189"/>
        <v>0.81190399999999996</v>
      </c>
      <c r="AB1497">
        <v>40.595199999999998</v>
      </c>
      <c r="AE1497">
        <v>2004.58333333322</v>
      </c>
      <c r="AF1497">
        <v>-0.49190738976080722</v>
      </c>
    </row>
    <row r="1498" spans="4:32" x14ac:dyDescent="0.35">
      <c r="D1498">
        <v>0.61649200000000004</v>
      </c>
      <c r="M1498">
        <f t="shared" si="190"/>
        <v>1497</v>
      </c>
      <c r="N1498">
        <f t="shared" si="191"/>
        <v>2004.6666666665533</v>
      </c>
      <c r="O1498">
        <f t="shared" si="186"/>
        <v>0</v>
      </c>
      <c r="P1498">
        <f t="array" ref="P1498">+SUM($G$2:$G$18*SIN(2*PI()*(N1498)*$B$1/$F$2:$F$18+$H$2:$H$18))</f>
        <v>0.71460520873710709</v>
      </c>
      <c r="Q1498">
        <f t="shared" si="187"/>
        <v>0</v>
      </c>
      <c r="R1498">
        <f t="shared" si="188"/>
        <v>-3.0993187757668772E-3</v>
      </c>
      <c r="S1498">
        <f t="array" ref="S1498">+$B$2*SIN(R1498*$B$3+$B$4)+0*R1498+ SUM($J$2:$J$20*SIN(2*PI()*N1498*$I$2:$I$20+$K$2:$K$20))</f>
        <v>-0.49241919621698327</v>
      </c>
      <c r="U1498" s="3">
        <f t="shared" si="184"/>
        <v>2004.6666666665533</v>
      </c>
      <c r="V1498" s="3">
        <f t="shared" si="185"/>
        <v>-0.83487</v>
      </c>
      <c r="Z1498" s="1">
        <v>2004.7083</v>
      </c>
      <c r="AA1498" s="2">
        <f t="shared" si="189"/>
        <v>0.57039200000000001</v>
      </c>
      <c r="AB1498">
        <v>28.519600000000001</v>
      </c>
      <c r="AE1498">
        <v>2004.6666666665533</v>
      </c>
      <c r="AF1498">
        <v>-0.49241919621698327</v>
      </c>
    </row>
    <row r="1499" spans="4:32" x14ac:dyDescent="0.35">
      <c r="D1499">
        <v>0.81190399999999996</v>
      </c>
      <c r="M1499">
        <f t="shared" si="190"/>
        <v>1498</v>
      </c>
      <c r="N1499">
        <f t="shared" si="191"/>
        <v>2004.7499999998865</v>
      </c>
      <c r="O1499">
        <f t="shared" si="186"/>
        <v>0</v>
      </c>
      <c r="P1499">
        <f t="array" ref="P1499">+SUM($G$2:$G$18*SIN(2*PI()*(N1499)*$B$1/$F$2:$F$18+$H$2:$H$18))</f>
        <v>0.19223070289424493</v>
      </c>
      <c r="Q1499">
        <f t="shared" si="187"/>
        <v>0</v>
      </c>
      <c r="R1499">
        <f t="shared" si="188"/>
        <v>-3.0945515867019874E-3</v>
      </c>
      <c r="S1499">
        <f t="array" ref="S1499">+$B$2*SIN(R1499*$B$3+$B$4)+0*R1499+ SUM($J$2:$J$20*SIN(2*PI()*N1499*$I$2:$I$20+$K$2:$K$20))</f>
        <v>-0.49292981871873576</v>
      </c>
      <c r="U1499" s="3">
        <f t="shared" si="184"/>
        <v>2004.7499999998865</v>
      </c>
      <c r="V1499" s="3">
        <f t="shared" si="185"/>
        <v>-0.96556399999999998</v>
      </c>
      <c r="Z1499" s="1">
        <v>2004.7917</v>
      </c>
      <c r="AA1499" s="2">
        <f t="shared" si="189"/>
        <v>0.41195399999999999</v>
      </c>
      <c r="AB1499">
        <v>20.5977</v>
      </c>
      <c r="AE1499">
        <v>2004.7499999998865</v>
      </c>
      <c r="AF1499">
        <v>-0.49292981871873576</v>
      </c>
    </row>
    <row r="1500" spans="4:32" x14ac:dyDescent="0.35">
      <c r="D1500">
        <v>0.57039200000000001</v>
      </c>
      <c r="M1500">
        <f t="shared" si="190"/>
        <v>1499</v>
      </c>
      <c r="N1500">
        <f t="shared" si="191"/>
        <v>2004.8333333332198</v>
      </c>
      <c r="O1500">
        <f t="shared" si="186"/>
        <v>0</v>
      </c>
      <c r="P1500">
        <f t="array" ref="P1500">+SUM($G$2:$G$18*SIN(2*PI()*(N1500)*$B$1/$F$2:$F$18+$H$2:$H$18))</f>
        <v>-0.31001697743000928</v>
      </c>
      <c r="Q1500">
        <f t="shared" si="187"/>
        <v>0</v>
      </c>
      <c r="R1500">
        <f t="shared" si="188"/>
        <v>-3.0897917302457204E-3</v>
      </c>
      <c r="S1500">
        <f t="array" ref="S1500">+$B$2*SIN(R1500*$B$3+$B$4)+0*R1500+ SUM($J$2:$J$20*SIN(2*PI()*N1500*$I$2:$I$20+$K$2:$K$20))</f>
        <v>-0.49343925989652354</v>
      </c>
      <c r="U1500" s="3">
        <f t="shared" si="184"/>
        <v>2004.8333333332198</v>
      </c>
      <c r="V1500" s="3">
        <f t="shared" si="185"/>
        <v>-0.78087400000000007</v>
      </c>
      <c r="Z1500" s="1">
        <v>2004.875</v>
      </c>
      <c r="AA1500" s="2">
        <f t="shared" si="189"/>
        <v>0.353516</v>
      </c>
      <c r="AB1500">
        <v>17.675799999999999</v>
      </c>
      <c r="AE1500">
        <v>2004.8333333332198</v>
      </c>
      <c r="AF1500">
        <v>-0.49343925989652354</v>
      </c>
    </row>
    <row r="1501" spans="4:32" x14ac:dyDescent="0.35">
      <c r="D1501">
        <v>0.41195399999999999</v>
      </c>
      <c r="M1501">
        <f t="shared" si="190"/>
        <v>1500</v>
      </c>
      <c r="N1501">
        <f t="shared" si="191"/>
        <v>2004.9166666665531</v>
      </c>
      <c r="O1501">
        <f t="shared" si="186"/>
        <v>0</v>
      </c>
      <c r="P1501">
        <f t="array" ref="P1501">+SUM($G$2:$G$18*SIN(2*PI()*(N1501)*$B$1/$F$2:$F$18+$H$2:$H$18))</f>
        <v>0.3437915948971928</v>
      </c>
      <c r="Q1501">
        <f t="shared" si="187"/>
        <v>0</v>
      </c>
      <c r="R1501">
        <f t="shared" si="188"/>
        <v>-3.0850391951194908E-3</v>
      </c>
      <c r="S1501">
        <f t="array" ref="S1501">+$B$2*SIN(R1501*$B$3+$B$4)+0*R1501+ SUM($J$2:$J$20*SIN(2*PI()*N1501*$I$2:$I$20+$K$2:$K$20))</f>
        <v>-0.49394752237647843</v>
      </c>
      <c r="U1501" s="3">
        <f t="shared" si="184"/>
        <v>2004.9166666665531</v>
      </c>
      <c r="V1501" s="3">
        <f t="shared" si="185"/>
        <v>-0.82080600000000004</v>
      </c>
      <c r="Z1501" s="1">
        <v>2004.9583</v>
      </c>
      <c r="AA1501" s="2">
        <f t="shared" si="189"/>
        <v>0.42430799999999996</v>
      </c>
      <c r="AB1501">
        <v>21.215399999999999</v>
      </c>
      <c r="AE1501">
        <v>2004.9166666665531</v>
      </c>
      <c r="AF1501">
        <v>-0.49394752237647843</v>
      </c>
    </row>
    <row r="1502" spans="4:32" x14ac:dyDescent="0.35">
      <c r="D1502">
        <v>0.353516</v>
      </c>
      <c r="M1502">
        <f t="shared" si="190"/>
        <v>1501</v>
      </c>
      <c r="N1502">
        <f t="shared" si="191"/>
        <v>2004.9999999998863</v>
      </c>
      <c r="O1502">
        <f t="shared" si="186"/>
        <v>36.637715116165623</v>
      </c>
      <c r="P1502">
        <f t="array" ref="P1502">+SUM($G$2:$G$18*SIN(2*PI()*(N1502)*$B$1/$F$2:$F$18+$H$2:$H$18))</f>
        <v>1.1122018965387648</v>
      </c>
      <c r="Q1502">
        <f t="shared" si="187"/>
        <v>40.748536237046373</v>
      </c>
      <c r="R1502">
        <f t="shared" si="188"/>
        <v>5.9596697463791475E-2</v>
      </c>
      <c r="S1502">
        <f t="array" ref="S1502">+$B$2*SIN(R1502*$B$3+$B$4)+0*R1502+ SUM($J$2:$J$20*SIN(2*PI()*N1502*$I$2:$I$20+$K$2:$K$20))</f>
        <v>3.9978352558662805E-2</v>
      </c>
      <c r="U1502" s="3">
        <f t="shared" si="184"/>
        <v>2004.9999999998863</v>
      </c>
      <c r="V1502" s="3">
        <f t="shared" si="185"/>
        <v>-0.20996400000000001</v>
      </c>
      <c r="Z1502" s="1">
        <v>2005.0417</v>
      </c>
      <c r="AA1502" s="2">
        <f t="shared" si="189"/>
        <v>0.47355800000000003</v>
      </c>
      <c r="AB1502">
        <v>23.677900000000001</v>
      </c>
      <c r="AE1502">
        <v>2004.9999999998863</v>
      </c>
      <c r="AF1502">
        <v>3.9978352558662805E-2</v>
      </c>
    </row>
    <row r="1503" spans="4:32" x14ac:dyDescent="0.35">
      <c r="D1503">
        <v>0.42430799999999996</v>
      </c>
      <c r="M1503">
        <f t="shared" si="190"/>
        <v>1502</v>
      </c>
      <c r="N1503">
        <f t="shared" si="191"/>
        <v>2005.0833333332196</v>
      </c>
      <c r="O1503">
        <f t="shared" si="186"/>
        <v>0</v>
      </c>
      <c r="P1503">
        <f t="array" ref="P1503">+SUM($G$2:$G$18*SIN(2*PI()*(N1503)*$B$1/$F$2:$F$18+$H$2:$H$18))</f>
        <v>0.77349942775912961</v>
      </c>
      <c r="Q1503">
        <f t="shared" si="187"/>
        <v>0</v>
      </c>
      <c r="R1503">
        <f t="shared" si="188"/>
        <v>5.9505029344114869E-2</v>
      </c>
      <c r="S1503">
        <f t="array" ref="S1503">+$B$2*SIN(R1503*$B$3+$B$4)+0*R1503+ SUM($J$2:$J$20*SIN(2*PI()*N1503*$I$2:$I$20+$K$2:$K$20))</f>
        <v>5.2940345844053445E-2</v>
      </c>
      <c r="U1503" s="3">
        <f t="shared" si="184"/>
        <v>2005.0833333332196</v>
      </c>
      <c r="V1503" s="3">
        <f t="shared" si="185"/>
        <v>0.120876</v>
      </c>
      <c r="Z1503" s="1">
        <v>2005.125</v>
      </c>
      <c r="AA1503" s="2">
        <f t="shared" si="189"/>
        <v>0.462808</v>
      </c>
      <c r="AB1503">
        <v>23.1404</v>
      </c>
      <c r="AE1503">
        <v>2005.0833333332196</v>
      </c>
      <c r="AF1503">
        <v>5.2940345844053445E-2</v>
      </c>
    </row>
    <row r="1504" spans="4:32" x14ac:dyDescent="0.35">
      <c r="D1504">
        <v>0.47355800000000003</v>
      </c>
      <c r="M1504">
        <f t="shared" si="190"/>
        <v>1503</v>
      </c>
      <c r="N1504">
        <f t="shared" si="191"/>
        <v>2005.1666666665528</v>
      </c>
      <c r="O1504">
        <f t="shared" si="186"/>
        <v>0</v>
      </c>
      <c r="P1504">
        <f t="array" ref="P1504">+SUM($G$2:$G$18*SIN(2*PI()*(N1504)*$B$1/$F$2:$F$18+$H$2:$H$18))</f>
        <v>-5.0231265324908236E-2</v>
      </c>
      <c r="Q1504">
        <f t="shared" si="187"/>
        <v>0</v>
      </c>
      <c r="R1504">
        <f t="shared" si="188"/>
        <v>5.9413502222925144E-2</v>
      </c>
      <c r="S1504">
        <f t="array" ref="S1504">+$B$2*SIN(R1504*$B$3+$B$4)+0*R1504+ SUM($J$2:$J$20*SIN(2*PI()*N1504*$I$2:$I$20+$K$2:$K$20))</f>
        <v>6.5866681845390129E-2</v>
      </c>
      <c r="U1504" s="3">
        <f t="shared" si="184"/>
        <v>2005.1666666665528</v>
      </c>
      <c r="V1504" s="3">
        <f t="shared" si="185"/>
        <v>0.20094200000000001</v>
      </c>
      <c r="Z1504" s="1">
        <v>2005.2083</v>
      </c>
      <c r="AA1504" s="2">
        <f t="shared" si="189"/>
        <v>0.513598</v>
      </c>
      <c r="AB1504">
        <v>25.6799</v>
      </c>
      <c r="AE1504">
        <v>2005.1666666665528</v>
      </c>
      <c r="AF1504">
        <v>6.5866681845390129E-2</v>
      </c>
    </row>
    <row r="1505" spans="4:32" x14ac:dyDescent="0.35">
      <c r="D1505">
        <v>0.462808</v>
      </c>
      <c r="M1505">
        <f t="shared" si="190"/>
        <v>1504</v>
      </c>
      <c r="N1505">
        <f t="shared" si="191"/>
        <v>2005.2499999998861</v>
      </c>
      <c r="O1505">
        <f t="shared" si="186"/>
        <v>0</v>
      </c>
      <c r="P1505">
        <f t="array" ref="P1505">+SUM($G$2:$G$18*SIN(2*PI()*(N1505)*$B$1/$F$2:$F$18+$H$2:$H$18))</f>
        <v>-0.22926952675339429</v>
      </c>
      <c r="Q1505">
        <f t="shared" si="187"/>
        <v>0</v>
      </c>
      <c r="R1505">
        <f t="shared" si="188"/>
        <v>5.9322115883346745E-2</v>
      </c>
      <c r="S1505">
        <f t="array" ref="S1505">+$B$2*SIN(R1505*$B$3+$B$4)+0*R1505+ SUM($J$2:$J$20*SIN(2*PI()*N1505*$I$2:$I$20+$K$2:$K$20))</f>
        <v>7.8753636742886185E-2</v>
      </c>
      <c r="U1505" s="3">
        <f t="shared" si="184"/>
        <v>2005.2499999998861</v>
      </c>
      <c r="V1505" s="3">
        <f t="shared" si="185"/>
        <v>0.61177799999999993</v>
      </c>
      <c r="Z1505" s="1">
        <v>2005.2917</v>
      </c>
      <c r="AA1505" s="2">
        <f t="shared" si="189"/>
        <v>0.36746000000000001</v>
      </c>
      <c r="AB1505">
        <v>18.373000000000001</v>
      </c>
      <c r="AE1505">
        <v>2005.2499999998861</v>
      </c>
      <c r="AF1505">
        <v>7.8753636742886185E-2</v>
      </c>
    </row>
    <row r="1506" spans="4:32" x14ac:dyDescent="0.35">
      <c r="D1506">
        <v>0.513598</v>
      </c>
      <c r="M1506">
        <f t="shared" si="190"/>
        <v>1505</v>
      </c>
      <c r="N1506">
        <f t="shared" si="191"/>
        <v>2005.3333333332193</v>
      </c>
      <c r="O1506">
        <f t="shared" si="186"/>
        <v>0</v>
      </c>
      <c r="P1506">
        <f t="array" ref="P1506">+SUM($G$2:$G$18*SIN(2*PI()*(N1506)*$B$1/$F$2:$F$18+$H$2:$H$18))</f>
        <v>0.35401943337848329</v>
      </c>
      <c r="Q1506">
        <f t="shared" si="187"/>
        <v>0</v>
      </c>
      <c r="R1506">
        <f t="shared" si="188"/>
        <v>5.9230870108837715E-2</v>
      </c>
      <c r="S1506">
        <f t="array" ref="S1506">+$B$2*SIN(R1506*$B$3+$B$4)+0*R1506+ SUM($J$2:$J$20*SIN(2*PI()*N1506*$I$2:$I$20+$K$2:$K$20))</f>
        <v>9.159752744587378E-2</v>
      </c>
      <c r="U1506" s="3">
        <f t="shared" si="184"/>
        <v>2005.3333333332193</v>
      </c>
      <c r="V1506" s="3">
        <f t="shared" si="185"/>
        <v>1.0656919999999999</v>
      </c>
      <c r="Z1506" s="1">
        <v>2005.375</v>
      </c>
      <c r="AA1506" s="2">
        <f t="shared" si="189"/>
        <v>0.20593800000000001</v>
      </c>
      <c r="AB1506">
        <v>10.296900000000001</v>
      </c>
      <c r="AE1506">
        <v>2005.3333333332193</v>
      </c>
      <c r="AF1506">
        <v>9.159752744587378E-2</v>
      </c>
    </row>
    <row r="1507" spans="4:32" x14ac:dyDescent="0.35">
      <c r="D1507">
        <v>0.36746000000000001</v>
      </c>
      <c r="M1507">
        <f t="shared" si="190"/>
        <v>1506</v>
      </c>
      <c r="N1507">
        <f t="shared" si="191"/>
        <v>2005.4166666665526</v>
      </c>
      <c r="O1507">
        <f t="shared" si="186"/>
        <v>0</v>
      </c>
      <c r="P1507">
        <f t="array" ref="P1507">+SUM($G$2:$G$18*SIN(2*PI()*(N1507)*$B$1/$F$2:$F$18+$H$2:$H$18))</f>
        <v>0.59555683274997129</v>
      </c>
      <c r="Q1507">
        <f t="shared" si="187"/>
        <v>0</v>
      </c>
      <c r="R1507">
        <f t="shared" si="188"/>
        <v>5.9139764683189169E-2</v>
      </c>
      <c r="S1507">
        <f t="array" ref="S1507">+$B$2*SIN(R1507*$B$3+$B$4)+0*R1507+ SUM($J$2:$J$20*SIN(2*PI()*N1507*$I$2:$I$20+$K$2:$K$20))</f>
        <v>0.10439471239868921</v>
      </c>
      <c r="U1507" s="3">
        <f t="shared" si="184"/>
        <v>2005.4166666665526</v>
      </c>
      <c r="V1507" s="3">
        <f t="shared" si="185"/>
        <v>1.0965240000000001</v>
      </c>
      <c r="Z1507" s="1">
        <v>2005.4583</v>
      </c>
      <c r="AA1507" s="2">
        <f t="shared" si="189"/>
        <v>0.22287800000000002</v>
      </c>
      <c r="AB1507">
        <v>11.1439</v>
      </c>
      <c r="AE1507">
        <v>2005.4166666665526</v>
      </c>
      <c r="AF1507">
        <v>0.10439471239868921</v>
      </c>
    </row>
    <row r="1508" spans="4:32" x14ac:dyDescent="0.35">
      <c r="D1508">
        <v>0.20593800000000001</v>
      </c>
      <c r="M1508">
        <f t="shared" si="190"/>
        <v>1507</v>
      </c>
      <c r="N1508">
        <f t="shared" si="191"/>
        <v>2005.4999999998859</v>
      </c>
      <c r="O1508">
        <f t="shared" si="186"/>
        <v>0</v>
      </c>
      <c r="P1508">
        <f t="array" ref="P1508">+SUM($G$2:$G$18*SIN(2*PI()*(N1508)*$B$1/$F$2:$F$18+$H$2:$H$18))</f>
        <v>-0.11965027715959442</v>
      </c>
      <c r="Q1508">
        <f t="shared" si="187"/>
        <v>0</v>
      </c>
      <c r="R1508">
        <f t="shared" si="188"/>
        <v>5.9048799390524785E-2</v>
      </c>
      <c r="S1508">
        <f t="array" ref="S1508">+$B$2*SIN(R1508*$B$3+$B$4)+0*R1508+ SUM($J$2:$J$20*SIN(2*PI()*N1508*$I$2:$I$20+$K$2:$K$20))</f>
        <v>0.117141592360923</v>
      </c>
      <c r="U1508" s="3">
        <f t="shared" si="184"/>
        <v>2005.4999999998859</v>
      </c>
      <c r="V1508" s="3">
        <f t="shared" si="185"/>
        <v>1.228896</v>
      </c>
      <c r="Z1508" s="1">
        <v>2005.5417</v>
      </c>
      <c r="AA1508" s="2">
        <f t="shared" si="189"/>
        <v>-0.110958</v>
      </c>
      <c r="AB1508">
        <v>-5.5479000000000003</v>
      </c>
      <c r="AE1508">
        <v>2005.4999999998859</v>
      </c>
      <c r="AF1508">
        <v>0.117141592360923</v>
      </c>
    </row>
    <row r="1509" spans="4:32" x14ac:dyDescent="0.35">
      <c r="D1509">
        <v>0.22287800000000002</v>
      </c>
      <c r="M1509">
        <f t="shared" si="190"/>
        <v>1508</v>
      </c>
      <c r="N1509">
        <f t="shared" si="191"/>
        <v>2005.5833333332191</v>
      </c>
      <c r="O1509">
        <f t="shared" si="186"/>
        <v>0</v>
      </c>
      <c r="P1509">
        <f t="array" ref="P1509">+SUM($G$2:$G$18*SIN(2*PI()*(N1509)*$B$1/$F$2:$F$18+$H$2:$H$18))</f>
        <v>-0.47053473028323567</v>
      </c>
      <c r="Q1509">
        <f t="shared" si="187"/>
        <v>0</v>
      </c>
      <c r="R1509">
        <f t="shared" si="188"/>
        <v>5.8957974015300278E-2</v>
      </c>
      <c r="S1509">
        <f t="array" ref="S1509">+$B$2*SIN(R1509*$B$3+$B$4)+0*R1509+ SUM($J$2:$J$20*SIN(2*PI()*N1509*$I$2:$I$20+$K$2:$K$20))</f>
        <v>0.12983461116209713</v>
      </c>
      <c r="U1509" s="3">
        <f t="shared" si="184"/>
        <v>2005.5833333332191</v>
      </c>
      <c r="V1509" s="3">
        <f t="shared" si="185"/>
        <v>1.3289599999999999</v>
      </c>
      <c r="Z1509" s="1">
        <v>2005.625</v>
      </c>
      <c r="AA1509" s="2">
        <f t="shared" si="189"/>
        <v>-0.51094399999999995</v>
      </c>
      <c r="AB1509">
        <v>-25.5472</v>
      </c>
      <c r="AE1509">
        <v>2005.5833333332191</v>
      </c>
      <c r="AF1509">
        <v>0.12983461116209713</v>
      </c>
    </row>
    <row r="1510" spans="4:32" x14ac:dyDescent="0.35">
      <c r="D1510">
        <v>-0.110958</v>
      </c>
      <c r="M1510">
        <f t="shared" si="190"/>
        <v>1509</v>
      </c>
      <c r="N1510">
        <f t="shared" si="191"/>
        <v>2005.6666666665524</v>
      </c>
      <c r="O1510">
        <f t="shared" si="186"/>
        <v>0</v>
      </c>
      <c r="P1510">
        <f t="array" ref="P1510">+SUM($G$2:$G$18*SIN(2*PI()*(N1510)*$B$1/$F$2:$F$18+$H$2:$H$18))</f>
        <v>0.34517647203988178</v>
      </c>
      <c r="Q1510">
        <f t="shared" si="187"/>
        <v>0</v>
      </c>
      <c r="R1510">
        <f t="shared" si="188"/>
        <v>5.8867288342302905E-2</v>
      </c>
      <c r="S1510">
        <f t="array" ref="S1510">+$B$2*SIN(R1510*$B$3+$B$4)+0*R1510+ SUM($J$2:$J$20*SIN(2*PI()*N1510*$I$2:$I$20+$K$2:$K$20))</f>
        <v>0.14247025643091971</v>
      </c>
      <c r="U1510" s="3">
        <f t="shared" si="184"/>
        <v>2005.6666666665524</v>
      </c>
      <c r="V1510" s="3">
        <f t="shared" si="185"/>
        <v>1.3613280000000001</v>
      </c>
      <c r="Z1510" s="1">
        <v>2005.7083</v>
      </c>
      <c r="AA1510" s="2">
        <f t="shared" si="189"/>
        <v>-0.96785399999999999</v>
      </c>
      <c r="AB1510">
        <v>-48.392699999999998</v>
      </c>
      <c r="AE1510">
        <v>2005.6666666665524</v>
      </c>
      <c r="AF1510">
        <v>0.14247025643091971</v>
      </c>
    </row>
    <row r="1511" spans="4:32" x14ac:dyDescent="0.35">
      <c r="D1511">
        <v>-0.51094399999999995</v>
      </c>
      <c r="M1511">
        <f t="shared" si="190"/>
        <v>1510</v>
      </c>
      <c r="N1511">
        <f t="shared" si="191"/>
        <v>2005.7499999998856</v>
      </c>
      <c r="O1511">
        <f t="shared" si="186"/>
        <v>0</v>
      </c>
      <c r="P1511">
        <f t="array" ref="P1511">+SUM($G$2:$G$18*SIN(2*PI()*(N1511)*$B$1/$F$2:$F$18+$H$2:$H$18))</f>
        <v>0.93512871827181587</v>
      </c>
      <c r="Q1511">
        <f t="shared" si="187"/>
        <v>0</v>
      </c>
      <c r="R1511">
        <f t="shared" si="188"/>
        <v>5.8776742156650956E-2</v>
      </c>
      <c r="S1511">
        <f t="array" ref="S1511">+$B$2*SIN(R1511*$B$3+$B$4)+0*R1511+ SUM($J$2:$J$20*SIN(2*PI()*N1511*$I$2:$I$20+$K$2:$K$20))</f>
        <v>0.15504506029918974</v>
      </c>
      <c r="U1511" s="3">
        <f t="shared" si="184"/>
        <v>2005.7499999998856</v>
      </c>
      <c r="V1511" s="3">
        <f t="shared" si="185"/>
        <v>1.426004</v>
      </c>
      <c r="Z1511" s="1">
        <v>2005.7917</v>
      </c>
      <c r="AA1511" s="2">
        <f t="shared" si="189"/>
        <v>-0.90630600000000006</v>
      </c>
      <c r="AB1511">
        <v>-45.315300000000001</v>
      </c>
      <c r="AE1511">
        <v>2005.7499999998856</v>
      </c>
      <c r="AF1511">
        <v>0.15504506029918974</v>
      </c>
    </row>
    <row r="1512" spans="4:32" x14ac:dyDescent="0.35">
      <c r="D1512">
        <v>-0.96785399999999999</v>
      </c>
      <c r="M1512">
        <f t="shared" si="190"/>
        <v>1511</v>
      </c>
      <c r="N1512">
        <f t="shared" si="191"/>
        <v>2005.8333333332189</v>
      </c>
      <c r="O1512">
        <f t="shared" si="186"/>
        <v>0</v>
      </c>
      <c r="P1512">
        <f t="array" ref="P1512">+SUM($G$2:$G$18*SIN(2*PI()*(N1512)*$B$1/$F$2:$F$18+$H$2:$H$18))</f>
        <v>0.37273689188682269</v>
      </c>
      <c r="Q1512">
        <f t="shared" si="187"/>
        <v>0</v>
      </c>
      <c r="R1512">
        <f t="shared" si="188"/>
        <v>5.8686335243793242E-2</v>
      </c>
      <c r="S1512">
        <f t="array" ref="S1512">+$B$2*SIN(R1512*$B$3+$B$4)+0*R1512+ SUM($J$2:$J$20*SIN(2*PI()*N1512*$I$2:$I$20+$K$2:$K$20))</f>
        <v>0.16755560008050316</v>
      </c>
      <c r="U1512" s="3">
        <f t="shared" si="184"/>
        <v>2005.8333333332189</v>
      </c>
      <c r="V1512" s="3">
        <f t="shared" si="185"/>
        <v>1.4276040000000001</v>
      </c>
      <c r="Z1512" s="1">
        <v>2005.875</v>
      </c>
      <c r="AA1512" s="2">
        <f t="shared" si="189"/>
        <v>-0.83398799999999995</v>
      </c>
      <c r="AB1512">
        <v>-41.699399999999997</v>
      </c>
      <c r="AE1512">
        <v>2005.8333333332189</v>
      </c>
      <c r="AF1512">
        <v>0.16755560008050316</v>
      </c>
    </row>
    <row r="1513" spans="4:32" x14ac:dyDescent="0.35">
      <c r="D1513">
        <v>-0.90630600000000006</v>
      </c>
      <c r="M1513">
        <f t="shared" si="190"/>
        <v>1512</v>
      </c>
      <c r="N1513">
        <f t="shared" si="191"/>
        <v>2005.9166666665521</v>
      </c>
      <c r="O1513">
        <f t="shared" si="186"/>
        <v>0</v>
      </c>
      <c r="P1513">
        <f t="array" ref="P1513">+SUM($G$2:$G$18*SIN(2*PI()*(N1513)*$B$1/$F$2:$F$18+$H$2:$H$18))</f>
        <v>-0.46292065963688556</v>
      </c>
      <c r="Q1513">
        <f t="shared" si="187"/>
        <v>0</v>
      </c>
      <c r="R1513">
        <f t="shared" si="188"/>
        <v>5.8596067389508566E-2</v>
      </c>
      <c r="S1513">
        <f t="array" ref="S1513">+$B$2*SIN(R1513*$B$3+$B$4)+0*R1513+ SUM($J$2:$J$20*SIN(2*PI()*N1513*$I$2:$I$20+$K$2:$K$20))</f>
        <v>0.17999849892388592</v>
      </c>
      <c r="U1513" s="3">
        <f t="shared" si="184"/>
        <v>2005.9166666665521</v>
      </c>
      <c r="V1513" s="3">
        <f t="shared" si="185"/>
        <v>1.139966</v>
      </c>
      <c r="Z1513" s="1">
        <v>2005.9583</v>
      </c>
      <c r="AA1513" s="2">
        <f t="shared" si="189"/>
        <v>-0.70321</v>
      </c>
      <c r="AB1513">
        <v>-35.160499999999999</v>
      </c>
      <c r="AE1513">
        <v>2005.9166666665521</v>
      </c>
      <c r="AF1513">
        <v>0.17999849892388592</v>
      </c>
    </row>
    <row r="1514" spans="4:32" x14ac:dyDescent="0.35">
      <c r="D1514">
        <v>-0.83398799999999995</v>
      </c>
      <c r="M1514">
        <f t="shared" si="190"/>
        <v>1513</v>
      </c>
      <c r="N1514">
        <f t="shared" si="191"/>
        <v>2005.9999999998854</v>
      </c>
      <c r="O1514">
        <f t="shared" si="186"/>
        <v>36.637715116165623</v>
      </c>
      <c r="P1514">
        <f t="array" ref="P1514">+SUM($G$2:$G$18*SIN(2*PI()*(N1514)*$B$1/$F$2:$F$18+$H$2:$H$18))</f>
        <v>-0.50543369915878622</v>
      </c>
      <c r="Q1514">
        <f t="shared" si="187"/>
        <v>-18.517935879889368</v>
      </c>
      <c r="R1514">
        <f t="shared" si="188"/>
        <v>3.0022743259358178E-2</v>
      </c>
      <c r="S1514">
        <f t="array" ref="S1514">+$B$2*SIN(R1514*$B$3+$B$4)+0*R1514+ SUM($J$2:$J$20*SIN(2*PI()*N1514*$I$2:$I$20+$K$2:$K$20))</f>
        <v>-0.46381441393138656</v>
      </c>
      <c r="U1514" s="3">
        <f t="shared" si="184"/>
        <v>2005.9999999998854</v>
      </c>
      <c r="V1514" s="3">
        <f t="shared" si="185"/>
        <v>1.200024</v>
      </c>
      <c r="Z1514" s="1">
        <v>2006.0417</v>
      </c>
      <c r="AA1514" s="2">
        <f t="shared" si="189"/>
        <v>-0.82012799999999997</v>
      </c>
      <c r="AB1514">
        <v>-41.006399999999999</v>
      </c>
      <c r="AE1514">
        <v>2005.9999999998854</v>
      </c>
      <c r="AF1514">
        <v>-0.46381441393138656</v>
      </c>
    </row>
    <row r="1515" spans="4:32" x14ac:dyDescent="0.35">
      <c r="D1515">
        <v>-0.70321</v>
      </c>
      <c r="M1515">
        <f t="shared" si="190"/>
        <v>1514</v>
      </c>
      <c r="N1515">
        <f t="shared" si="191"/>
        <v>2006.0833333332187</v>
      </c>
      <c r="O1515">
        <f t="shared" si="186"/>
        <v>0</v>
      </c>
      <c r="P1515">
        <f t="array" ref="P1515">+SUM($G$2:$G$18*SIN(2*PI()*(N1515)*$B$1/$F$2:$F$18+$H$2:$H$18))</f>
        <v>0.15143122665425945</v>
      </c>
      <c r="Q1515">
        <f t="shared" si="187"/>
        <v>0</v>
      </c>
      <c r="R1515">
        <f t="shared" si="188"/>
        <v>2.9976564049112663E-2</v>
      </c>
      <c r="S1515">
        <f t="array" ref="S1515">+$B$2*SIN(R1515*$B$3+$B$4)+0*R1515+ SUM($J$2:$J$20*SIN(2*PI()*N1515*$I$2:$I$20+$K$2:$K$20))</f>
        <v>-0.45864413757277162</v>
      </c>
      <c r="U1515" s="3">
        <f t="shared" si="184"/>
        <v>2006.0833333332187</v>
      </c>
      <c r="V1515" s="3">
        <f t="shared" si="185"/>
        <v>0.58777400000000002</v>
      </c>
      <c r="Z1515" s="1">
        <v>2006.125</v>
      </c>
      <c r="AA1515" s="2">
        <f t="shared" si="189"/>
        <v>-0.83704400000000012</v>
      </c>
      <c r="AB1515">
        <v>-41.852200000000003</v>
      </c>
      <c r="AE1515">
        <v>2006.0833333332187</v>
      </c>
      <c r="AF1515">
        <v>-0.45864413757277162</v>
      </c>
    </row>
    <row r="1516" spans="4:32" x14ac:dyDescent="0.35">
      <c r="D1516">
        <v>-0.82012799999999997</v>
      </c>
      <c r="M1516">
        <f t="shared" si="190"/>
        <v>1515</v>
      </c>
      <c r="N1516">
        <f t="shared" si="191"/>
        <v>2006.1666666665519</v>
      </c>
      <c r="O1516">
        <f t="shared" si="186"/>
        <v>0</v>
      </c>
      <c r="P1516">
        <f t="array" ref="P1516">+SUM($G$2:$G$18*SIN(2*PI()*(N1516)*$B$1/$F$2:$F$18+$H$2:$H$18))</f>
        <v>0.26501940525699769</v>
      </c>
      <c r="Q1516">
        <f t="shared" si="187"/>
        <v>0</v>
      </c>
      <c r="R1516">
        <f t="shared" si="188"/>
        <v>2.9930455869000554E-2</v>
      </c>
      <c r="S1516">
        <f t="array" ref="S1516">+$B$2*SIN(R1516*$B$3+$B$4)+0*R1516+ SUM($J$2:$J$20*SIN(2*PI()*N1516*$I$2:$I$20+$K$2:$K$20))</f>
        <v>-0.45344724691725369</v>
      </c>
      <c r="U1516" s="3">
        <f t="shared" si="184"/>
        <v>2006.1666666665519</v>
      </c>
      <c r="V1516" s="3">
        <f t="shared" si="185"/>
        <v>0.45244200000000001</v>
      </c>
      <c r="Z1516" s="1">
        <v>2006.2083</v>
      </c>
      <c r="AA1516" s="2">
        <f t="shared" si="189"/>
        <v>-0.91088399999999992</v>
      </c>
      <c r="AB1516">
        <v>-45.544199999999996</v>
      </c>
      <c r="AE1516">
        <v>2006.1666666665519</v>
      </c>
      <c r="AF1516">
        <v>-0.45344724691725369</v>
      </c>
    </row>
    <row r="1517" spans="4:32" x14ac:dyDescent="0.35">
      <c r="D1517">
        <v>-0.83704400000000012</v>
      </c>
      <c r="M1517">
        <f t="shared" si="190"/>
        <v>1516</v>
      </c>
      <c r="N1517">
        <f t="shared" si="191"/>
        <v>2006.2499999998852</v>
      </c>
      <c r="O1517">
        <f t="shared" si="186"/>
        <v>0</v>
      </c>
      <c r="P1517">
        <f t="array" ref="P1517">+SUM($G$2:$G$18*SIN(2*PI()*(N1517)*$B$1/$F$2:$F$18+$H$2:$H$18))</f>
        <v>-0.50469817189765387</v>
      </c>
      <c r="Q1517">
        <f t="shared" si="187"/>
        <v>0</v>
      </c>
      <c r="R1517">
        <f t="shared" si="188"/>
        <v>2.9884418609767493E-2</v>
      </c>
      <c r="S1517">
        <f t="array" ref="S1517">+$B$2*SIN(R1517*$B$3+$B$4)+0*R1517+ SUM($J$2:$J$20*SIN(2*PI()*N1517*$I$2:$I$20+$K$2:$K$20))</f>
        <v>-0.44822427962643596</v>
      </c>
      <c r="U1517" s="3">
        <f t="shared" si="184"/>
        <v>2006.2499999998852</v>
      </c>
      <c r="V1517" s="3">
        <f t="shared" si="185"/>
        <v>0.21864999999999998</v>
      </c>
      <c r="Z1517" s="1">
        <v>2006.2917</v>
      </c>
      <c r="AA1517" s="2">
        <f t="shared" si="189"/>
        <v>-0.98011199999999998</v>
      </c>
      <c r="AB1517">
        <v>-49.005600000000001</v>
      </c>
      <c r="AE1517">
        <v>2006.2499999998852</v>
      </c>
      <c r="AF1517">
        <v>-0.44822427962643596</v>
      </c>
    </row>
    <row r="1518" spans="4:32" x14ac:dyDescent="0.35">
      <c r="D1518">
        <v>-0.91088399999999992</v>
      </c>
      <c r="M1518">
        <f t="shared" si="190"/>
        <v>1517</v>
      </c>
      <c r="N1518">
        <f t="shared" si="191"/>
        <v>2006.3333333332184</v>
      </c>
      <c r="O1518">
        <f t="shared" si="186"/>
        <v>0</v>
      </c>
      <c r="P1518">
        <f t="array" ref="P1518">+SUM($G$2:$G$18*SIN(2*PI()*(N1518)*$B$1/$F$2:$F$18+$H$2:$H$18))</f>
        <v>-0.69438685204503137</v>
      </c>
      <c r="Q1518">
        <f t="shared" si="187"/>
        <v>0</v>
      </c>
      <c r="R1518">
        <f t="shared" si="188"/>
        <v>2.9838452162327174E-2</v>
      </c>
      <c r="S1518">
        <f t="array" ref="S1518">+$B$2*SIN(R1518*$B$3+$B$4)+0*R1518+ SUM($J$2:$J$20*SIN(2*PI()*N1518*$I$2:$I$20+$K$2:$K$20))</f>
        <v>-0.44297577176105701</v>
      </c>
      <c r="U1518" s="3">
        <f t="shared" si="184"/>
        <v>2006.3333333332184</v>
      </c>
      <c r="V1518" s="3">
        <f t="shared" si="185"/>
        <v>-0.36745</v>
      </c>
      <c r="Z1518" s="1">
        <v>2006.375</v>
      </c>
      <c r="AA1518" s="2">
        <f t="shared" si="189"/>
        <v>-0.56010800000000005</v>
      </c>
      <c r="AB1518">
        <v>-28.005400000000002</v>
      </c>
      <c r="AE1518">
        <v>2006.3333333332184</v>
      </c>
      <c r="AF1518">
        <v>-0.44297577176105701</v>
      </c>
    </row>
    <row r="1519" spans="4:32" x14ac:dyDescent="0.35">
      <c r="D1519">
        <v>-0.98011199999999998</v>
      </c>
      <c r="M1519">
        <f t="shared" si="190"/>
        <v>1518</v>
      </c>
      <c r="N1519">
        <f t="shared" si="191"/>
        <v>2006.4166666665517</v>
      </c>
      <c r="O1519">
        <f t="shared" si="186"/>
        <v>0</v>
      </c>
      <c r="P1519">
        <f t="array" ref="P1519">+SUM($G$2:$G$18*SIN(2*PI()*(N1519)*$B$1/$F$2:$F$18+$H$2:$H$18))</f>
        <v>0.13531581164230355</v>
      </c>
      <c r="Q1519">
        <f t="shared" si="187"/>
        <v>0</v>
      </c>
      <c r="R1519">
        <f t="shared" si="188"/>
        <v>2.9792556417761084E-2</v>
      </c>
      <c r="S1519">
        <f t="array" ref="S1519">+$B$2*SIN(R1519*$B$3+$B$4)+0*R1519+ SUM($J$2:$J$20*SIN(2*PI()*N1519*$I$2:$I$20+$K$2:$K$20))</f>
        <v>-0.43770225773748578</v>
      </c>
      <c r="U1519" s="3">
        <f t="shared" si="184"/>
        <v>2006.4166666665517</v>
      </c>
      <c r="V1519" s="3">
        <f t="shared" si="185"/>
        <v>-0.73509400000000003</v>
      </c>
      <c r="Z1519" s="1">
        <v>2006.4583</v>
      </c>
      <c r="AA1519" s="2">
        <f t="shared" si="189"/>
        <v>-0.43856800000000001</v>
      </c>
      <c r="AB1519">
        <v>-21.9284</v>
      </c>
      <c r="AE1519">
        <v>2006.4166666665517</v>
      </c>
      <c r="AF1519">
        <v>-0.43770225773748578</v>
      </c>
    </row>
    <row r="1520" spans="4:32" x14ac:dyDescent="0.35">
      <c r="D1520">
        <v>-0.56010800000000005</v>
      </c>
      <c r="M1520">
        <f t="shared" si="190"/>
        <v>1519</v>
      </c>
      <c r="N1520">
        <f t="shared" si="191"/>
        <v>2006.4999999998849</v>
      </c>
      <c r="O1520">
        <f t="shared" si="186"/>
        <v>0</v>
      </c>
      <c r="P1520">
        <f t="array" ref="P1520">+SUM($G$2:$G$18*SIN(2*PI()*(N1520)*$B$1/$F$2:$F$18+$H$2:$H$18))</f>
        <v>0.57176074437636293</v>
      </c>
      <c r="Q1520">
        <f t="shared" si="187"/>
        <v>0</v>
      </c>
      <c r="R1520">
        <f t="shared" si="188"/>
        <v>2.9746731267318235E-2</v>
      </c>
      <c r="S1520">
        <f t="array" ref="S1520">+$B$2*SIN(R1520*$B$3+$B$4)+0*R1520+ SUM($J$2:$J$20*SIN(2*PI()*N1520*$I$2:$I$20+$K$2:$K$20))</f>
        <v>-0.43240427028495287</v>
      </c>
      <c r="U1520" s="3">
        <f t="shared" si="184"/>
        <v>2006.4999999998849</v>
      </c>
      <c r="V1520" s="3">
        <f t="shared" si="185"/>
        <v>-0.83811800000000003</v>
      </c>
      <c r="Z1520" s="1">
        <v>2006.5417</v>
      </c>
      <c r="AA1520" s="2">
        <f t="shared" si="189"/>
        <v>-0.22626200000000002</v>
      </c>
      <c r="AB1520">
        <v>-11.3131</v>
      </c>
      <c r="AE1520">
        <v>2006.4999999998849</v>
      </c>
      <c r="AF1520">
        <v>-0.43240427028495287</v>
      </c>
    </row>
    <row r="1521" spans="4:32" x14ac:dyDescent="0.35">
      <c r="D1521">
        <v>-0.43856800000000001</v>
      </c>
      <c r="M1521">
        <f t="shared" si="190"/>
        <v>1520</v>
      </c>
      <c r="N1521">
        <f t="shared" si="191"/>
        <v>2006.5833333332182</v>
      </c>
      <c r="O1521">
        <f t="shared" si="186"/>
        <v>0</v>
      </c>
      <c r="P1521">
        <f t="array" ref="P1521">+SUM($G$2:$G$18*SIN(2*PI()*(N1521)*$B$1/$F$2:$F$18+$H$2:$H$18))</f>
        <v>9.696148108612912E-3</v>
      </c>
      <c r="Q1521">
        <f t="shared" si="187"/>
        <v>0</v>
      </c>
      <c r="R1521">
        <f t="shared" si="188"/>
        <v>2.9700976602414917E-2</v>
      </c>
      <c r="S1521">
        <f t="array" ref="S1521">+$B$2*SIN(R1521*$B$3+$B$4)+0*R1521+ SUM($J$2:$J$20*SIN(2*PI()*N1521*$I$2:$I$20+$K$2:$K$20))</f>
        <v>-0.42708234040353033</v>
      </c>
      <c r="U1521" s="3">
        <f t="shared" si="184"/>
        <v>2006.5833333332182</v>
      </c>
      <c r="V1521" s="3">
        <f t="shared" si="185"/>
        <v>-0.74575999999999998</v>
      </c>
      <c r="Z1521" s="1">
        <v>2006.625</v>
      </c>
      <c r="AA1521" s="2">
        <f t="shared" si="189"/>
        <v>0.32142999999999999</v>
      </c>
      <c r="AB1521">
        <v>16.0715</v>
      </c>
      <c r="AE1521">
        <v>2006.5833333332182</v>
      </c>
      <c r="AF1521">
        <v>-0.42708234040353033</v>
      </c>
    </row>
    <row r="1522" spans="4:32" x14ac:dyDescent="0.35">
      <c r="D1522">
        <v>-0.22626200000000002</v>
      </c>
      <c r="M1522">
        <f t="shared" si="190"/>
        <v>1521</v>
      </c>
      <c r="N1522">
        <f t="shared" si="191"/>
        <v>2006.6666666665515</v>
      </c>
      <c r="O1522">
        <f t="shared" si="186"/>
        <v>0</v>
      </c>
      <c r="P1522">
        <f t="array" ref="P1522">+SUM($G$2:$G$18*SIN(2*PI()*(N1522)*$B$1/$F$2:$F$18+$H$2:$H$18))</f>
        <v>-0.7225351759336085</v>
      </c>
      <c r="Q1522">
        <f t="shared" si="187"/>
        <v>0</v>
      </c>
      <c r="R1522">
        <f t="shared" si="188"/>
        <v>2.9655292314634436E-2</v>
      </c>
      <c r="S1522">
        <f t="array" ref="S1522">+$B$2*SIN(R1522*$B$3+$B$4)+0*R1522+ SUM($J$2:$J$20*SIN(2*PI()*N1522*$I$2:$I$20+$K$2:$K$20))</f>
        <v>-0.42173699732283981</v>
      </c>
      <c r="U1522" s="3">
        <f t="shared" si="184"/>
        <v>2006.6666666665515</v>
      </c>
      <c r="V1522" s="3">
        <f t="shared" si="185"/>
        <v>-0.59956200000000004</v>
      </c>
      <c r="Z1522" s="1">
        <v>2006.7083</v>
      </c>
      <c r="AA1522" s="2">
        <f t="shared" si="189"/>
        <v>0.53220000000000001</v>
      </c>
      <c r="AB1522">
        <v>26.61</v>
      </c>
      <c r="AE1522">
        <v>2006.6666666665515</v>
      </c>
      <c r="AF1522">
        <v>-0.42173699732283981</v>
      </c>
    </row>
    <row r="1523" spans="4:32" x14ac:dyDescent="0.35">
      <c r="D1523">
        <v>0.32142999999999999</v>
      </c>
      <c r="M1523">
        <f t="shared" si="190"/>
        <v>1522</v>
      </c>
      <c r="N1523">
        <f t="shared" si="191"/>
        <v>2006.7499999998847</v>
      </c>
      <c r="O1523">
        <f t="shared" si="186"/>
        <v>0</v>
      </c>
      <c r="P1523">
        <f t="array" ref="P1523">+SUM($G$2:$G$18*SIN(2*PI()*(N1523)*$B$1/$F$2:$F$18+$H$2:$H$18))</f>
        <v>-0.71737206791414043</v>
      </c>
      <c r="Q1523">
        <f t="shared" si="187"/>
        <v>0</v>
      </c>
      <c r="R1523">
        <f t="shared" si="188"/>
        <v>2.960967829572686E-2</v>
      </c>
      <c r="S1523">
        <f t="array" ref="S1523">+$B$2*SIN(R1523*$B$3+$B$4)+0*R1523+ SUM($J$2:$J$20*SIN(2*PI()*N1523*$I$2:$I$20+$K$2:$K$20))</f>
        <v>-0.41636876846149817</v>
      </c>
      <c r="U1523" s="3">
        <f t="shared" si="184"/>
        <v>2006.7499999998847</v>
      </c>
      <c r="V1523" s="3">
        <f t="shared" si="185"/>
        <v>-0.61489800000000006</v>
      </c>
      <c r="Z1523" s="1">
        <v>2006.7917</v>
      </c>
      <c r="AA1523" s="2">
        <f t="shared" si="189"/>
        <v>0.7814239999999999</v>
      </c>
      <c r="AB1523">
        <v>39.071199999999997</v>
      </c>
      <c r="AE1523">
        <v>2006.7499999998847</v>
      </c>
      <c r="AF1523">
        <v>-0.41636876846149817</v>
      </c>
    </row>
    <row r="1524" spans="4:32" x14ac:dyDescent="0.35">
      <c r="D1524">
        <v>0.53220000000000001</v>
      </c>
      <c r="M1524">
        <f t="shared" si="190"/>
        <v>1523</v>
      </c>
      <c r="N1524">
        <f t="shared" si="191"/>
        <v>2006.833333333218</v>
      </c>
      <c r="O1524">
        <f t="shared" si="186"/>
        <v>0</v>
      </c>
      <c r="P1524">
        <f t="array" ref="P1524">+SUM($G$2:$G$18*SIN(2*PI()*(N1524)*$B$1/$F$2:$F$18+$H$2:$H$18))</f>
        <v>-8.7902635469401372E-2</v>
      </c>
      <c r="Q1524">
        <f t="shared" si="187"/>
        <v>0</v>
      </c>
      <c r="R1524">
        <f t="shared" si="188"/>
        <v>2.9564134437608757E-2</v>
      </c>
      <c r="S1524">
        <f t="array" ref="S1524">+$B$2*SIN(R1524*$B$3+$B$4)+0*R1524+ SUM($J$2:$J$20*SIN(2*PI()*N1524*$I$2:$I$20+$K$2:$K$20))</f>
        <v>-0.41097817938728665</v>
      </c>
      <c r="U1524" s="3">
        <f t="shared" si="184"/>
        <v>2006.833333333218</v>
      </c>
      <c r="V1524" s="3">
        <f t="shared" si="185"/>
        <v>-0.57485200000000003</v>
      </c>
      <c r="Z1524" s="1">
        <v>2006.875</v>
      </c>
      <c r="AA1524" s="2">
        <f t="shared" si="189"/>
        <v>0.95680599999999993</v>
      </c>
      <c r="AB1524">
        <v>47.840299999999999</v>
      </c>
      <c r="AE1524">
        <v>2006.833333333218</v>
      </c>
      <c r="AF1524">
        <v>-0.41097817938728665</v>
      </c>
    </row>
    <row r="1525" spans="4:32" x14ac:dyDescent="0.35">
      <c r="D1525">
        <v>0.7814239999999999</v>
      </c>
      <c r="M1525">
        <f t="shared" si="190"/>
        <v>1524</v>
      </c>
      <c r="N1525">
        <f t="shared" si="191"/>
        <v>2006.9166666665512</v>
      </c>
      <c r="O1525">
        <f t="shared" si="186"/>
        <v>0</v>
      </c>
      <c r="P1525">
        <f t="array" ref="P1525">+SUM($G$2:$G$18*SIN(2*PI()*(N1525)*$B$1/$F$2:$F$18+$H$2:$H$18))</f>
        <v>-1.8918170340518875E-2</v>
      </c>
      <c r="Q1525">
        <f t="shared" si="187"/>
        <v>0</v>
      </c>
      <c r="R1525">
        <f t="shared" si="188"/>
        <v>2.9518660632362949E-2</v>
      </c>
      <c r="S1525">
        <f t="array" ref="S1525">+$B$2*SIN(R1525*$B$3+$B$4)+0*R1525+ SUM($J$2:$J$20*SIN(2*PI()*N1525*$I$2:$I$20+$K$2:$K$20))</f>
        <v>-0.4055657537780456</v>
      </c>
      <c r="U1525" s="3">
        <f t="shared" si="184"/>
        <v>2006.9166666665512</v>
      </c>
      <c r="V1525" s="3">
        <f t="shared" si="185"/>
        <v>-0.470194</v>
      </c>
      <c r="Z1525" s="1">
        <v>2006.9583</v>
      </c>
      <c r="AA1525" s="2">
        <f t="shared" si="189"/>
        <v>1.13988</v>
      </c>
      <c r="AB1525">
        <v>56.994</v>
      </c>
      <c r="AE1525">
        <v>2006.9166666665512</v>
      </c>
      <c r="AF1525">
        <v>-0.4055657537780456</v>
      </c>
    </row>
    <row r="1526" spans="4:32" x14ac:dyDescent="0.35">
      <c r="D1526">
        <v>0.95680599999999993</v>
      </c>
      <c r="M1526">
        <f t="shared" si="190"/>
        <v>1525</v>
      </c>
      <c r="N1526">
        <f t="shared" si="191"/>
        <v>2006.9999999998845</v>
      </c>
      <c r="O1526">
        <f t="shared" si="186"/>
        <v>36.637715116165623</v>
      </c>
      <c r="P1526">
        <f t="array" ref="P1526">+SUM($G$2:$G$18*SIN(2*PI()*(N1526)*$B$1/$F$2:$F$18+$H$2:$H$18))</f>
        <v>-0.68300198734242723</v>
      </c>
      <c r="Q1526">
        <f t="shared" si="187"/>
        <v>-25.023632236026806</v>
      </c>
      <c r="R1526">
        <f t="shared" si="188"/>
        <v>-9.0166161934424963E-3</v>
      </c>
      <c r="S1526">
        <f t="array" ref="S1526">+$B$2*SIN(R1526*$B$3+$B$4)+0*R1526+ SUM($J$2:$J$20*SIN(2*PI()*N1526*$I$2:$I$20+$K$2:$K$20))</f>
        <v>0.29355317181434532</v>
      </c>
      <c r="U1526" s="3">
        <f t="shared" si="184"/>
        <v>2006.9999999998845</v>
      </c>
      <c r="V1526" s="3">
        <f t="shared" si="185"/>
        <v>-0.55476400000000003</v>
      </c>
      <c r="Z1526" s="1">
        <v>2007.0417</v>
      </c>
      <c r="AA1526" s="2">
        <f t="shared" si="189"/>
        <v>1.3737159999999999</v>
      </c>
      <c r="AB1526">
        <v>68.6858</v>
      </c>
      <c r="AE1526">
        <v>2006.9999999998845</v>
      </c>
      <c r="AF1526">
        <v>0.29355317181434532</v>
      </c>
    </row>
    <row r="1527" spans="4:32" x14ac:dyDescent="0.35">
      <c r="D1527">
        <v>1.13988</v>
      </c>
      <c r="M1527">
        <f t="shared" si="190"/>
        <v>1526</v>
      </c>
      <c r="N1527">
        <f t="shared" si="191"/>
        <v>2007.0833333332178</v>
      </c>
      <c r="O1527">
        <f t="shared" si="186"/>
        <v>0</v>
      </c>
      <c r="P1527">
        <f t="array" ref="P1527">+SUM($G$2:$G$18*SIN(2*PI()*(N1527)*$B$1/$F$2:$F$18+$H$2:$H$18))</f>
        <v>-0.74969538970619287</v>
      </c>
      <c r="Q1527">
        <f t="shared" si="187"/>
        <v>0</v>
      </c>
      <c r="R1527">
        <f t="shared" si="188"/>
        <v>-9.0027473670230354E-3</v>
      </c>
      <c r="S1527">
        <f t="array" ref="S1527">+$B$2*SIN(R1527*$B$3+$B$4)+0*R1527+ SUM($J$2:$J$20*SIN(2*PI()*N1527*$I$2:$I$20+$K$2:$K$20))</f>
        <v>0.29174290531079899</v>
      </c>
      <c r="U1527" s="3">
        <f t="shared" si="184"/>
        <v>2007.0833333332178</v>
      </c>
      <c r="V1527" s="3">
        <f t="shared" si="185"/>
        <v>-0.55010599999999998</v>
      </c>
      <c r="Z1527" s="1">
        <v>2007.125</v>
      </c>
      <c r="AA1527" s="2">
        <f t="shared" si="189"/>
        <v>1.6075559999999998</v>
      </c>
      <c r="AB1527">
        <v>80.377799999999993</v>
      </c>
      <c r="AE1527">
        <v>2007.0833333332178</v>
      </c>
      <c r="AF1527">
        <v>0.29174290531079899</v>
      </c>
    </row>
    <row r="1528" spans="4:32" x14ac:dyDescent="0.35">
      <c r="D1528">
        <v>1.3737159999999999</v>
      </c>
      <c r="M1528">
        <f t="shared" si="190"/>
        <v>1527</v>
      </c>
      <c r="N1528">
        <f t="shared" si="191"/>
        <v>2007.166666666551</v>
      </c>
      <c r="O1528">
        <f t="shared" si="186"/>
        <v>0</v>
      </c>
      <c r="P1528">
        <f t="array" ref="P1528">+SUM($G$2:$G$18*SIN(2*PI()*(N1528)*$B$1/$F$2:$F$18+$H$2:$H$18))</f>
        <v>-3.1433252965153424E-2</v>
      </c>
      <c r="Q1528">
        <f t="shared" si="187"/>
        <v>0</v>
      </c>
      <c r="R1528">
        <f t="shared" si="188"/>
        <v>-8.9888998728131445E-3</v>
      </c>
      <c r="S1528">
        <f t="array" ref="S1528">+$B$2*SIN(R1528*$B$3+$B$4)+0*R1528+ SUM($J$2:$J$20*SIN(2*PI()*N1528*$I$2:$I$20+$K$2:$K$20))</f>
        <v>0.28993344002358207</v>
      </c>
      <c r="U1528" s="3">
        <f t="shared" si="184"/>
        <v>2007.166666666551</v>
      </c>
      <c r="V1528" s="3">
        <f t="shared" si="185"/>
        <v>-0.245452</v>
      </c>
      <c r="Z1528" s="1">
        <v>2007.2083</v>
      </c>
      <c r="AA1528" s="2">
        <f t="shared" si="189"/>
        <v>1.8583179999999999</v>
      </c>
      <c r="AB1528">
        <v>92.915899999999993</v>
      </c>
      <c r="AE1528">
        <v>2007.166666666551</v>
      </c>
      <c r="AF1528">
        <v>0.28993344002358207</v>
      </c>
    </row>
    <row r="1529" spans="4:32" x14ac:dyDescent="0.35">
      <c r="D1529">
        <v>1.6075559999999998</v>
      </c>
      <c r="M1529">
        <f t="shared" si="190"/>
        <v>1528</v>
      </c>
      <c r="N1529">
        <f t="shared" si="191"/>
        <v>2007.2499999998843</v>
      </c>
      <c r="O1529">
        <f t="shared" si="186"/>
        <v>0</v>
      </c>
      <c r="P1529">
        <f t="array" ref="P1529">+SUM($G$2:$G$18*SIN(2*PI()*(N1529)*$B$1/$F$2:$F$18+$H$2:$H$18))</f>
        <v>0.34045957135096333</v>
      </c>
      <c r="Q1529">
        <f t="shared" si="187"/>
        <v>0</v>
      </c>
      <c r="R1529">
        <f t="shared" si="188"/>
        <v>-8.9750736780008795E-3</v>
      </c>
      <c r="S1529">
        <f t="array" ref="S1529">+$B$2*SIN(R1529*$B$3+$B$4)+0*R1529+ SUM($J$2:$J$20*SIN(2*PI()*N1529*$I$2:$I$20+$K$2:$K$20))</f>
        <v>0.28812479307923783</v>
      </c>
      <c r="U1529" s="3">
        <f t="shared" si="184"/>
        <v>2007.2499999998843</v>
      </c>
      <c r="V1529" s="3">
        <f t="shared" si="185"/>
        <v>-0.111564</v>
      </c>
      <c r="Z1529" s="1">
        <v>2007.2917</v>
      </c>
      <c r="AA1529" s="2">
        <f t="shared" si="189"/>
        <v>1.8475360000000001</v>
      </c>
      <c r="AB1529">
        <v>92.376800000000003</v>
      </c>
      <c r="AE1529">
        <v>2007.2499999998843</v>
      </c>
      <c r="AF1529">
        <v>0.28812479307923783</v>
      </c>
    </row>
    <row r="1530" spans="4:32" x14ac:dyDescent="0.35">
      <c r="D1530">
        <v>1.8583179999999999</v>
      </c>
      <c r="M1530">
        <f t="shared" si="190"/>
        <v>1529</v>
      </c>
      <c r="N1530">
        <f t="shared" si="191"/>
        <v>2007.3333333332175</v>
      </c>
      <c r="O1530">
        <f t="shared" si="186"/>
        <v>0</v>
      </c>
      <c r="P1530">
        <f t="array" ref="P1530">+SUM($G$2:$G$18*SIN(2*PI()*(N1530)*$B$1/$F$2:$F$18+$H$2:$H$18))</f>
        <v>-3.4442616041346436E-2</v>
      </c>
      <c r="Q1530">
        <f t="shared" si="187"/>
        <v>0</v>
      </c>
      <c r="R1530">
        <f t="shared" si="188"/>
        <v>-8.9612687498247644E-3</v>
      </c>
      <c r="S1530">
        <f t="array" ref="S1530">+$B$2*SIN(R1530*$B$3+$B$4)+0*R1530+ SUM($J$2:$J$20*SIN(2*PI()*N1530*$I$2:$I$20+$K$2:$K$20))</f>
        <v>0.2863169814783102</v>
      </c>
      <c r="U1530" s="3">
        <f t="shared" si="184"/>
        <v>2007.3333333332175</v>
      </c>
      <c r="V1530" s="3">
        <f t="shared" si="185"/>
        <v>2.3219999999999998E-3</v>
      </c>
      <c r="Z1530" s="1">
        <v>2007.375</v>
      </c>
      <c r="AA1530" s="2">
        <f t="shared" si="189"/>
        <v>2.0629119999999999</v>
      </c>
      <c r="AB1530">
        <v>103.1456</v>
      </c>
      <c r="AE1530">
        <v>2007.3333333332175</v>
      </c>
      <c r="AF1530">
        <v>0.2863169814783102</v>
      </c>
    </row>
    <row r="1531" spans="4:32" x14ac:dyDescent="0.35">
      <c r="D1531">
        <v>1.8475360000000001</v>
      </c>
      <c r="M1531">
        <f t="shared" si="190"/>
        <v>1530</v>
      </c>
      <c r="N1531">
        <f t="shared" si="191"/>
        <v>2007.4166666665508</v>
      </c>
      <c r="O1531">
        <f t="shared" si="186"/>
        <v>0</v>
      </c>
      <c r="P1531">
        <f t="array" ref="P1531">+SUM($G$2:$G$18*SIN(2*PI()*(N1531)*$B$1/$F$2:$F$18+$H$2:$H$18))</f>
        <v>-0.64509665785868386</v>
      </c>
      <c r="Q1531">
        <f t="shared" si="187"/>
        <v>0</v>
      </c>
      <c r="R1531">
        <f t="shared" si="188"/>
        <v>-8.9474850555737156E-3</v>
      </c>
      <c r="S1531">
        <f t="array" ref="S1531">+$B$2*SIN(R1531*$B$3+$B$4)+0*R1531+ SUM($J$2:$J$20*SIN(2*PI()*N1531*$I$2:$I$20+$K$2:$K$20))</f>
        <v>0.28451002209587889</v>
      </c>
      <c r="U1531" s="3">
        <f t="shared" ref="U1531:U1594" si="192">+N1531</f>
        <v>2007.4166666665508</v>
      </c>
      <c r="V1531" s="3">
        <f t="shared" ref="V1531:V1594" si="193">+D1489</f>
        <v>0.22697199999999998</v>
      </c>
      <c r="Z1531" s="1">
        <v>2007.4583</v>
      </c>
      <c r="AA1531" s="2">
        <f t="shared" si="189"/>
        <v>1.7875159999999999</v>
      </c>
      <c r="AB1531">
        <v>89.375799999999998</v>
      </c>
      <c r="AE1531">
        <v>2007.4166666665508</v>
      </c>
      <c r="AF1531">
        <v>0.28451002209587889</v>
      </c>
    </row>
    <row r="1532" spans="4:32" x14ac:dyDescent="0.35">
      <c r="D1532">
        <v>2.0629119999999999</v>
      </c>
      <c r="M1532">
        <f t="shared" si="190"/>
        <v>1531</v>
      </c>
      <c r="N1532">
        <f t="shared" si="191"/>
        <v>2007.499999999884</v>
      </c>
      <c r="O1532">
        <f t="shared" si="186"/>
        <v>0</v>
      </c>
      <c r="P1532">
        <f t="array" ref="P1532">+SUM($G$2:$G$18*SIN(2*PI()*(N1532)*$B$1/$F$2:$F$18+$H$2:$H$18))</f>
        <v>-0.71163013885871962</v>
      </c>
      <c r="Q1532">
        <f t="shared" si="187"/>
        <v>0</v>
      </c>
      <c r="R1532">
        <f t="shared" si="188"/>
        <v>-8.9337225625869647E-3</v>
      </c>
      <c r="S1532">
        <f t="array" ref="S1532">+$B$2*SIN(R1532*$B$3+$B$4)+0*R1532+ SUM($J$2:$J$20*SIN(2*PI()*N1532*$I$2:$I$20+$K$2:$K$20))</f>
        <v>0.28270393168209429</v>
      </c>
      <c r="U1532" s="3">
        <f t="shared" si="192"/>
        <v>2007.499999999884</v>
      </c>
      <c r="V1532" s="3">
        <f t="shared" si="193"/>
        <v>0.231626</v>
      </c>
      <c r="Z1532" s="1">
        <v>2007.5417</v>
      </c>
      <c r="AA1532" s="2">
        <f t="shared" si="189"/>
        <v>1.6490400000000001</v>
      </c>
      <c r="AB1532">
        <v>82.451999999999998</v>
      </c>
      <c r="AE1532">
        <v>2007.499999999884</v>
      </c>
      <c r="AF1532">
        <v>0.28270393168209429</v>
      </c>
    </row>
    <row r="1533" spans="4:32" x14ac:dyDescent="0.35">
      <c r="D1533">
        <v>1.7875159999999999</v>
      </c>
      <c r="M1533">
        <f t="shared" si="190"/>
        <v>1532</v>
      </c>
      <c r="N1533">
        <f t="shared" si="191"/>
        <v>2007.5833333332173</v>
      </c>
      <c r="O1533">
        <f t="shared" si="186"/>
        <v>0</v>
      </c>
      <c r="P1533">
        <f t="array" ref="P1533">+SUM($G$2:$G$18*SIN(2*PI()*(N1533)*$B$1/$F$2:$F$18+$H$2:$H$18))</f>
        <v>-0.17424910242416256</v>
      </c>
      <c r="Q1533">
        <f t="shared" si="187"/>
        <v>0</v>
      </c>
      <c r="R1533">
        <f t="shared" si="188"/>
        <v>-8.9199812382539795E-3</v>
      </c>
      <c r="S1533">
        <f t="array" ref="S1533">+$B$2*SIN(R1533*$B$3+$B$4)+0*R1533+ SUM($J$2:$J$20*SIN(2*PI()*N1533*$I$2:$I$20+$K$2:$K$20))</f>
        <v>0.28089872686271072</v>
      </c>
      <c r="U1533" s="3">
        <f t="shared" si="192"/>
        <v>2007.5833333332173</v>
      </c>
      <c r="V1533" s="3">
        <f t="shared" si="193"/>
        <v>0.42551</v>
      </c>
      <c r="Z1533" s="1">
        <v>2007.625</v>
      </c>
      <c r="AA1533" s="2">
        <f t="shared" si="189"/>
        <v>1.3674879999999998</v>
      </c>
      <c r="AB1533">
        <v>68.374399999999994</v>
      </c>
      <c r="AE1533">
        <v>2007.5833333332173</v>
      </c>
      <c r="AF1533">
        <v>0.28089872686271072</v>
      </c>
    </row>
    <row r="1534" spans="4:32" x14ac:dyDescent="0.35">
      <c r="D1534">
        <v>1.6490400000000001</v>
      </c>
      <c r="M1534">
        <f t="shared" si="190"/>
        <v>1533</v>
      </c>
      <c r="N1534">
        <f t="shared" si="191"/>
        <v>2007.6666666665506</v>
      </c>
      <c r="O1534">
        <f t="shared" si="186"/>
        <v>0</v>
      </c>
      <c r="P1534">
        <f t="array" ref="P1534">+SUM($G$2:$G$18*SIN(2*PI()*(N1534)*$B$1/$F$2:$F$18+$H$2:$H$18))</f>
        <v>-5.9722218980149844E-2</v>
      </c>
      <c r="Q1534">
        <f t="shared" si="187"/>
        <v>0</v>
      </c>
      <c r="R1534">
        <f t="shared" si="188"/>
        <v>-8.9062610500143854E-3</v>
      </c>
      <c r="S1534">
        <f t="array" ref="S1534">+$B$2*SIN(R1534*$B$3+$B$4)+0*R1534+ SUM($J$2:$J$20*SIN(2*PI()*N1534*$I$2:$I$20+$K$2:$K$20))</f>
        <v>0.27909442413962354</v>
      </c>
      <c r="U1534" s="3">
        <f t="shared" si="192"/>
        <v>2007.6666666665506</v>
      </c>
      <c r="V1534" s="3">
        <f t="shared" si="193"/>
        <v>0.56246399999999996</v>
      </c>
      <c r="Z1534" s="1">
        <v>2007.7083</v>
      </c>
      <c r="AA1534" s="2">
        <f t="shared" si="189"/>
        <v>1.464396</v>
      </c>
      <c r="AB1534">
        <v>73.219800000000006</v>
      </c>
      <c r="AE1534">
        <v>2007.6666666665506</v>
      </c>
      <c r="AF1534">
        <v>0.27909442413962354</v>
      </c>
    </row>
    <row r="1535" spans="4:32" x14ac:dyDescent="0.35">
      <c r="D1535">
        <v>1.3674879999999998</v>
      </c>
      <c r="M1535">
        <f t="shared" si="190"/>
        <v>1534</v>
      </c>
      <c r="N1535">
        <f t="shared" si="191"/>
        <v>2007.7499999998838</v>
      </c>
      <c r="O1535">
        <f t="shared" si="186"/>
        <v>0</v>
      </c>
      <c r="P1535">
        <f t="array" ref="P1535">+SUM($G$2:$G$18*SIN(2*PI()*(N1535)*$B$1/$F$2:$F$18+$H$2:$H$18))</f>
        <v>-0.51821382326004373</v>
      </c>
      <c r="Q1535">
        <f t="shared" si="187"/>
        <v>0</v>
      </c>
      <c r="R1535">
        <f t="shared" si="188"/>
        <v>-8.8925619653578945E-3</v>
      </c>
      <c r="S1535">
        <f t="array" ref="S1535">+$B$2*SIN(R1535*$B$3+$B$4)+0*R1535+ SUM($J$2:$J$20*SIN(2*PI()*N1535*$I$2:$I$20+$K$2:$K$20))</f>
        <v>0.27729103989139892</v>
      </c>
      <c r="U1535" s="3">
        <f t="shared" si="192"/>
        <v>2007.7499999998838</v>
      </c>
      <c r="V1535" s="3">
        <f t="shared" si="193"/>
        <v>0.45018999999999998</v>
      </c>
      <c r="Z1535" s="1">
        <v>2007.7917</v>
      </c>
      <c r="AA1535" s="2">
        <f t="shared" si="189"/>
        <v>1.3813</v>
      </c>
      <c r="AB1535">
        <v>69.064999999999998</v>
      </c>
      <c r="AE1535">
        <v>2007.7499999998838</v>
      </c>
      <c r="AF1535">
        <v>0.27729103989139892</v>
      </c>
    </row>
    <row r="1536" spans="4:32" x14ac:dyDescent="0.35">
      <c r="D1536">
        <v>1.464396</v>
      </c>
      <c r="M1536">
        <f t="shared" si="190"/>
        <v>1535</v>
      </c>
      <c r="N1536">
        <f t="shared" si="191"/>
        <v>2007.8333333332171</v>
      </c>
      <c r="O1536">
        <f t="shared" si="186"/>
        <v>0</v>
      </c>
      <c r="P1536">
        <f t="array" ref="P1536">+SUM($G$2:$G$18*SIN(2*PI()*(N1536)*$B$1/$F$2:$F$18+$H$2:$H$18))</f>
        <v>-0.52193931209844113</v>
      </c>
      <c r="Q1536">
        <f t="shared" si="187"/>
        <v>0</v>
      </c>
      <c r="R1536">
        <f t="shared" si="188"/>
        <v>-8.8788839518242207E-3</v>
      </c>
      <c r="S1536">
        <f t="array" ref="S1536">+$B$2*SIN(R1536*$B$3+$B$4)+0*R1536+ SUM($J$2:$J$20*SIN(2*PI()*N1536*$I$2:$I$20+$K$2:$K$20))</f>
        <v>0.27548859037380918</v>
      </c>
      <c r="U1536" s="3">
        <f t="shared" si="192"/>
        <v>2007.8333333332171</v>
      </c>
      <c r="V1536" s="3">
        <f t="shared" si="193"/>
        <v>0.359454</v>
      </c>
      <c r="Z1536" s="1">
        <v>2007.875</v>
      </c>
      <c r="AA1536" s="2">
        <f t="shared" si="189"/>
        <v>1.278208</v>
      </c>
      <c r="AB1536">
        <v>63.910400000000003</v>
      </c>
      <c r="AE1536">
        <v>2007.8333333332171</v>
      </c>
      <c r="AF1536">
        <v>0.27548859037380918</v>
      </c>
    </row>
    <row r="1537" spans="4:32" x14ac:dyDescent="0.35">
      <c r="D1537">
        <v>1.3813</v>
      </c>
      <c r="M1537">
        <f t="shared" si="190"/>
        <v>1536</v>
      </c>
      <c r="N1537">
        <f t="shared" si="191"/>
        <v>2007.9166666665503</v>
      </c>
      <c r="O1537">
        <f t="shared" si="186"/>
        <v>0</v>
      </c>
      <c r="P1537">
        <f t="array" ref="P1537">+SUM($G$2:$G$18*SIN(2*PI()*(N1537)*$B$1/$F$2:$F$18+$H$2:$H$18))</f>
        <v>1.8994577173909954E-2</v>
      </c>
      <c r="Q1537">
        <f t="shared" si="187"/>
        <v>0</v>
      </c>
      <c r="R1537">
        <f t="shared" si="188"/>
        <v>-8.8652269770030066E-3</v>
      </c>
      <c r="S1537">
        <f t="array" ref="S1537">+$B$2*SIN(R1537*$B$3+$B$4)+0*R1537+ SUM($J$2:$J$20*SIN(2*PI()*N1537*$I$2:$I$20+$K$2:$K$20))</f>
        <v>0.27368709172036398</v>
      </c>
      <c r="U1537" s="3">
        <f t="shared" si="192"/>
        <v>2007.9166666665503</v>
      </c>
      <c r="V1537" s="3">
        <f t="shared" si="193"/>
        <v>0.35948399999999997</v>
      </c>
      <c r="Z1537" s="1">
        <v>2007.9583</v>
      </c>
      <c r="AA1537" s="2">
        <f t="shared" si="189"/>
        <v>1.0828060000000002</v>
      </c>
      <c r="AB1537">
        <v>54.140300000000003</v>
      </c>
      <c r="AE1537">
        <v>2007.9166666665503</v>
      </c>
      <c r="AF1537">
        <v>0.27368709172036398</v>
      </c>
    </row>
    <row r="1538" spans="4:32" x14ac:dyDescent="0.35">
      <c r="D1538">
        <v>1.278208</v>
      </c>
      <c r="M1538">
        <f t="shared" si="190"/>
        <v>1537</v>
      </c>
      <c r="N1538">
        <f t="shared" si="191"/>
        <v>2007.9999999998836</v>
      </c>
      <c r="O1538">
        <f t="shared" ref="O1538:O1601" si="194">+IF(MOD(M1538,$B$5)=1, $B$6, 0)</f>
        <v>36.637715116165623</v>
      </c>
      <c r="P1538">
        <f t="array" ref="P1538">+SUM($G$2:$G$18*SIN(2*PI()*(N1538)*$B$1/$F$2:$F$18+$H$2:$H$18))</f>
        <v>0.39569548872951765</v>
      </c>
      <c r="Q1538">
        <f t="shared" si="187"/>
        <v>14.497378588823993</v>
      </c>
      <c r="R1538">
        <f t="shared" si="188"/>
        <v>1.3447420380222726E-2</v>
      </c>
      <c r="S1538">
        <f t="array" ref="S1538">+$B$2*SIN(R1538*$B$3+$B$4)+0*R1538+ SUM($J$2:$J$20*SIN(2*PI()*N1538*$I$2:$I$20+$K$2:$K$20))</f>
        <v>0.47669632606850848</v>
      </c>
      <c r="U1538" s="3">
        <f t="shared" si="192"/>
        <v>2007.9999999998836</v>
      </c>
      <c r="V1538" s="3">
        <f t="shared" si="193"/>
        <v>0.25028400000000001</v>
      </c>
      <c r="Z1538" s="1">
        <v>2008.0417</v>
      </c>
      <c r="AA1538" s="2">
        <f t="shared" si="189"/>
        <v>1.1720140000000001</v>
      </c>
      <c r="AB1538">
        <v>58.600700000000003</v>
      </c>
      <c r="AE1538">
        <v>2007.9999999998836</v>
      </c>
      <c r="AF1538">
        <v>0.47669632606850848</v>
      </c>
    </row>
    <row r="1539" spans="4:32" x14ac:dyDescent="0.35">
      <c r="D1539">
        <v>1.0828060000000002</v>
      </c>
      <c r="M1539">
        <f t="shared" si="190"/>
        <v>1538</v>
      </c>
      <c r="N1539">
        <f t="shared" si="191"/>
        <v>2008.0833333332168</v>
      </c>
      <c r="O1539">
        <f t="shared" si="194"/>
        <v>0</v>
      </c>
      <c r="P1539">
        <f t="array" ref="P1539">+SUM($G$2:$G$18*SIN(2*PI()*(N1539)*$B$1/$F$2:$F$18+$H$2:$H$18))</f>
        <v>0.24762456689218065</v>
      </c>
      <c r="Q1539">
        <f t="shared" ref="Q1539:Q1602" si="195">+O1539*P1539</f>
        <v>0</v>
      </c>
      <c r="R1539">
        <f t="shared" ref="R1539:R1602" si="196">+(1-$B$7)*R1538+($B$7)*Q1539</f>
        <v>1.3426736352529669E-2</v>
      </c>
      <c r="S1539">
        <f t="array" ref="S1539">+$B$2*SIN(R1539*$B$3+$B$4)+0*R1539+ SUM($J$2:$J$20*SIN(2*PI()*N1539*$I$2:$I$20+$K$2:$K$20))</f>
        <v>0.4744248572163412</v>
      </c>
      <c r="U1539" s="3">
        <f t="shared" si="192"/>
        <v>2008.0833333332168</v>
      </c>
      <c r="V1539" s="3">
        <f t="shared" si="193"/>
        <v>0.37646799999999997</v>
      </c>
      <c r="Z1539" s="1">
        <v>2008.125</v>
      </c>
      <c r="AA1539" s="2">
        <f t="shared" ref="AA1539:AA1602" si="197">+AB1539/50</f>
        <v>0.98737799999999998</v>
      </c>
      <c r="AB1539">
        <v>49.368899999999996</v>
      </c>
      <c r="AE1539">
        <v>2008.0833333332168</v>
      </c>
      <c r="AF1539">
        <v>0.4744248572163412</v>
      </c>
    </row>
    <row r="1540" spans="4:32" x14ac:dyDescent="0.35">
      <c r="D1540">
        <v>1.1720140000000001</v>
      </c>
      <c r="M1540">
        <f t="shared" ref="M1540:M1603" si="198">+M1539+1</f>
        <v>1539</v>
      </c>
      <c r="N1540">
        <f t="shared" ref="N1540:N1603" si="199">+N1539+1/12</f>
        <v>2008.1666666665501</v>
      </c>
      <c r="O1540">
        <f t="shared" si="194"/>
        <v>0</v>
      </c>
      <c r="P1540">
        <f t="array" ref="P1540">+SUM($G$2:$G$18*SIN(2*PI()*(N1540)*$B$1/$F$2:$F$18+$H$2:$H$18))</f>
        <v>-0.30910559852943159</v>
      </c>
      <c r="Q1540">
        <f t="shared" si="195"/>
        <v>0</v>
      </c>
      <c r="R1540">
        <f t="shared" si="196"/>
        <v>1.3406084139786207E-2</v>
      </c>
      <c r="S1540">
        <f t="array" ref="S1540">+$B$2*SIN(R1540*$B$3+$B$4)+0*R1540+ SUM($J$2:$J$20*SIN(2*PI()*N1540*$I$2:$I$20+$K$2:$K$20))</f>
        <v>0.47214970871986717</v>
      </c>
      <c r="U1540" s="3">
        <f t="shared" si="192"/>
        <v>2008.1666666665501</v>
      </c>
      <c r="V1540" s="3">
        <f t="shared" si="193"/>
        <v>0.61649200000000004</v>
      </c>
      <c r="Z1540" s="1">
        <v>2008.2083</v>
      </c>
      <c r="AA1540" s="2">
        <f t="shared" si="197"/>
        <v>0.76120399999999999</v>
      </c>
      <c r="AB1540">
        <v>38.060200000000002</v>
      </c>
      <c r="AE1540">
        <v>2008.1666666665501</v>
      </c>
      <c r="AF1540">
        <v>0.47214970871986717</v>
      </c>
    </row>
    <row r="1541" spans="4:32" x14ac:dyDescent="0.35">
      <c r="D1541">
        <v>0.98737799999999998</v>
      </c>
      <c r="M1541">
        <f t="shared" si="198"/>
        <v>1540</v>
      </c>
      <c r="N1541">
        <f t="shared" si="199"/>
        <v>2008.2499999998834</v>
      </c>
      <c r="O1541">
        <f t="shared" si="194"/>
        <v>0</v>
      </c>
      <c r="P1541">
        <f t="array" ref="P1541">+SUM($G$2:$G$18*SIN(2*PI()*(N1541)*$B$1/$F$2:$F$18+$H$2:$H$18))</f>
        <v>-0.51422144482222576</v>
      </c>
      <c r="Q1541">
        <f t="shared" si="195"/>
        <v>0</v>
      </c>
      <c r="R1541">
        <f t="shared" si="196"/>
        <v>1.3385463693056468E-2</v>
      </c>
      <c r="S1541">
        <f t="array" ref="S1541">+$B$2*SIN(R1541*$B$3+$B$4)+0*R1541+ SUM($J$2:$J$20*SIN(2*PI()*N1541*$I$2:$I$20+$K$2:$K$20))</f>
        <v>0.46987094258480427</v>
      </c>
      <c r="U1541" s="3">
        <f t="shared" si="192"/>
        <v>2008.2499999998834</v>
      </c>
      <c r="V1541" s="3">
        <f t="shared" si="193"/>
        <v>0.81190399999999996</v>
      </c>
      <c r="Z1541" s="1">
        <v>2008.2917</v>
      </c>
      <c r="AA1541" s="2">
        <f t="shared" si="197"/>
        <v>0.39964</v>
      </c>
      <c r="AB1541">
        <v>19.981999999999999</v>
      </c>
      <c r="AE1541">
        <v>2008.2499999998834</v>
      </c>
      <c r="AF1541">
        <v>0.46987094258480427</v>
      </c>
    </row>
    <row r="1542" spans="4:32" x14ac:dyDescent="0.35">
      <c r="D1542">
        <v>0.76120399999999999</v>
      </c>
      <c r="M1542">
        <f t="shared" si="198"/>
        <v>1541</v>
      </c>
      <c r="N1542">
        <f t="shared" si="199"/>
        <v>2008.3333333332166</v>
      </c>
      <c r="O1542">
        <f t="shared" si="194"/>
        <v>0</v>
      </c>
      <c r="P1542">
        <f t="array" ref="P1542">+SUM($G$2:$G$18*SIN(2*PI()*(N1542)*$B$1/$F$2:$F$18+$H$2:$H$18))</f>
        <v>-8.3438538786499705E-2</v>
      </c>
      <c r="Q1542">
        <f t="shared" si="195"/>
        <v>0</v>
      </c>
      <c r="R1542">
        <f t="shared" si="196"/>
        <v>1.3364874963479843E-2</v>
      </c>
      <c r="S1542">
        <f t="array" ref="S1542">+$B$2*SIN(R1542*$B$3+$B$4)+0*R1542+ SUM($J$2:$J$20*SIN(2*PI()*N1542*$I$2:$I$20+$K$2:$K$20))</f>
        <v>0.46758862049723871</v>
      </c>
      <c r="U1542" s="3">
        <f t="shared" si="192"/>
        <v>2008.3333333332166</v>
      </c>
      <c r="V1542" s="3">
        <f t="shared" si="193"/>
        <v>0.57039200000000001</v>
      </c>
      <c r="Z1542" s="1">
        <v>2008.375</v>
      </c>
      <c r="AA1542" s="2">
        <f t="shared" si="197"/>
        <v>0.48269199999999995</v>
      </c>
      <c r="AB1542">
        <v>24.134599999999999</v>
      </c>
      <c r="AE1542">
        <v>2008.3333333332166</v>
      </c>
      <c r="AF1542">
        <v>0.46758862049723871</v>
      </c>
    </row>
    <row r="1543" spans="4:32" x14ac:dyDescent="0.35">
      <c r="D1543">
        <v>0.39964</v>
      </c>
      <c r="M1543">
        <f t="shared" si="198"/>
        <v>1542</v>
      </c>
      <c r="N1543">
        <f t="shared" si="199"/>
        <v>2008.4166666665499</v>
      </c>
      <c r="O1543">
        <f t="shared" si="194"/>
        <v>0</v>
      </c>
      <c r="P1543">
        <f t="array" ref="P1543">+SUM($G$2:$G$18*SIN(2*PI()*(N1543)*$B$1/$F$2:$F$18+$H$2:$H$18))</f>
        <v>0.10746729305955458</v>
      </c>
      <c r="Q1543">
        <f t="shared" si="195"/>
        <v>0</v>
      </c>
      <c r="R1543">
        <f t="shared" si="196"/>
        <v>1.3344317902270883E-2</v>
      </c>
      <c r="S1543">
        <f t="array" ref="S1543">+$B$2*SIN(R1543*$B$3+$B$4)+0*R1543+ SUM($J$2:$J$20*SIN(2*PI()*N1543*$I$2:$I$20+$K$2:$K$20))</f>
        <v>0.4653028038238714</v>
      </c>
      <c r="U1543" s="3">
        <f t="shared" si="192"/>
        <v>2008.4166666665499</v>
      </c>
      <c r="V1543" s="3">
        <f t="shared" si="193"/>
        <v>0.41195399999999999</v>
      </c>
      <c r="Z1543" s="1">
        <v>2008.4583</v>
      </c>
      <c r="AA1543" s="2">
        <f t="shared" si="197"/>
        <v>0.39497599999999999</v>
      </c>
      <c r="AB1543">
        <v>19.748799999999999</v>
      </c>
      <c r="AE1543">
        <v>2008.4166666665499</v>
      </c>
      <c r="AF1543">
        <v>0.4653028038238714</v>
      </c>
    </row>
    <row r="1544" spans="4:32" x14ac:dyDescent="0.35">
      <c r="D1544">
        <v>0.48269199999999995</v>
      </c>
      <c r="M1544">
        <f t="shared" si="198"/>
        <v>1543</v>
      </c>
      <c r="N1544">
        <f t="shared" si="199"/>
        <v>2008.4999999998831</v>
      </c>
      <c r="O1544">
        <f t="shared" si="194"/>
        <v>0</v>
      </c>
      <c r="P1544">
        <f t="array" ref="P1544">+SUM($G$2:$G$18*SIN(2*PI()*(N1544)*$B$1/$F$2:$F$18+$H$2:$H$18))</f>
        <v>-0.13628344003138304</v>
      </c>
      <c r="Q1544">
        <f t="shared" si="195"/>
        <v>0</v>
      </c>
      <c r="R1544">
        <f t="shared" si="196"/>
        <v>1.3323792460719172E-2</v>
      </c>
      <c r="S1544">
        <f t="array" ref="S1544">+$B$2*SIN(R1544*$B$3+$B$4)+0*R1544+ SUM($J$2:$J$20*SIN(2*PI()*N1544*$I$2:$I$20+$K$2:$K$20))</f>
        <v>0.46301355361227908</v>
      </c>
      <c r="U1544" s="3">
        <f t="shared" si="192"/>
        <v>2008.4999999998831</v>
      </c>
      <c r="V1544" s="3">
        <f t="shared" si="193"/>
        <v>0.353516</v>
      </c>
      <c r="Z1544" s="1">
        <v>2008.5417</v>
      </c>
      <c r="AA1544" s="2">
        <f t="shared" si="197"/>
        <v>0.27494800000000003</v>
      </c>
      <c r="AB1544">
        <v>13.747400000000001</v>
      </c>
      <c r="AE1544">
        <v>2008.4999999998831</v>
      </c>
      <c r="AF1544">
        <v>0.46301355361227908</v>
      </c>
    </row>
    <row r="1545" spans="4:32" x14ac:dyDescent="0.35">
      <c r="D1545">
        <v>0.39497599999999999</v>
      </c>
      <c r="M1545">
        <f t="shared" si="198"/>
        <v>1544</v>
      </c>
      <c r="N1545">
        <f t="shared" si="199"/>
        <v>2008.5833333332164</v>
      </c>
      <c r="O1545">
        <f t="shared" si="194"/>
        <v>0</v>
      </c>
      <c r="P1545">
        <f t="array" ref="P1545">+SUM($G$2:$G$18*SIN(2*PI()*(N1545)*$B$1/$F$2:$F$18+$H$2:$H$18))</f>
        <v>-0.11829767881522646</v>
      </c>
      <c r="Q1545">
        <f t="shared" si="195"/>
        <v>0</v>
      </c>
      <c r="R1545">
        <f t="shared" si="196"/>
        <v>1.3303298590189224E-2</v>
      </c>
      <c r="S1545">
        <f t="array" ref="S1545">+$B$2*SIN(R1545*$B$3+$B$4)+0*R1545+ SUM($J$2:$J$20*SIN(2*PI()*N1545*$I$2:$I$20+$K$2:$K$20))</f>
        <v>0.46072093059118918</v>
      </c>
      <c r="U1545" s="3">
        <f t="shared" si="192"/>
        <v>2008.5833333332164</v>
      </c>
      <c r="V1545" s="3">
        <f t="shared" si="193"/>
        <v>0.42430799999999996</v>
      </c>
      <c r="Z1545" s="1">
        <v>2008.625</v>
      </c>
      <c r="AA1545" s="2">
        <f t="shared" si="197"/>
        <v>0.307228</v>
      </c>
      <c r="AB1545">
        <v>15.3614</v>
      </c>
      <c r="AE1545">
        <v>2008.5833333332164</v>
      </c>
      <c r="AF1545">
        <v>0.46072093059118918</v>
      </c>
    </row>
    <row r="1546" spans="4:32" x14ac:dyDescent="0.35">
      <c r="D1546">
        <v>0.27494800000000003</v>
      </c>
      <c r="M1546">
        <f t="shared" si="198"/>
        <v>1545</v>
      </c>
      <c r="N1546">
        <f t="shared" si="199"/>
        <v>2008.6666666665496</v>
      </c>
      <c r="O1546">
        <f t="shared" si="194"/>
        <v>0</v>
      </c>
      <c r="P1546">
        <f t="array" ref="P1546">+SUM($G$2:$G$18*SIN(2*PI()*(N1546)*$B$1/$F$2:$F$18+$H$2:$H$18))</f>
        <v>0.24306740990130368</v>
      </c>
      <c r="Q1546">
        <f t="shared" si="195"/>
        <v>0</v>
      </c>
      <c r="R1546">
        <f t="shared" si="196"/>
        <v>1.3282836242120358E-2</v>
      </c>
      <c r="S1546">
        <f t="array" ref="S1546">+$B$2*SIN(R1546*$B$3+$B$4)+0*R1546+ SUM($J$2:$J$20*SIN(2*PI()*N1546*$I$2:$I$20+$K$2:$K$20))</f>
        <v>0.45842499517076912</v>
      </c>
      <c r="U1546" s="3">
        <f t="shared" si="192"/>
        <v>2008.6666666665496</v>
      </c>
      <c r="V1546" s="3">
        <f t="shared" si="193"/>
        <v>0.47355800000000003</v>
      </c>
      <c r="Z1546" s="1">
        <v>2008.7083</v>
      </c>
      <c r="AA1546" s="2">
        <f t="shared" si="197"/>
        <v>0.250278</v>
      </c>
      <c r="AB1546">
        <v>12.5139</v>
      </c>
      <c r="AE1546">
        <v>2008.6666666665496</v>
      </c>
      <c r="AF1546">
        <v>0.45842499517076912</v>
      </c>
    </row>
    <row r="1547" spans="4:32" x14ac:dyDescent="0.35">
      <c r="D1547">
        <v>0.307228</v>
      </c>
      <c r="M1547">
        <f t="shared" si="198"/>
        <v>1546</v>
      </c>
      <c r="N1547">
        <f t="shared" si="199"/>
        <v>2008.7499999998829</v>
      </c>
      <c r="O1547">
        <f t="shared" si="194"/>
        <v>0</v>
      </c>
      <c r="P1547">
        <f t="array" ref="P1547">+SUM($G$2:$G$18*SIN(2*PI()*(N1547)*$B$1/$F$2:$F$18+$H$2:$H$18))</f>
        <v>0.61340827329506009</v>
      </c>
      <c r="Q1547">
        <f t="shared" si="195"/>
        <v>0</v>
      </c>
      <c r="R1547">
        <f t="shared" si="196"/>
        <v>1.3262405368026585E-2</v>
      </c>
      <c r="S1547">
        <f t="array" ref="S1547">+$B$2*SIN(R1547*$B$3+$B$4)+0*R1547+ SUM($J$2:$J$20*SIN(2*PI()*N1547*$I$2:$I$20+$K$2:$K$20))</f>
        <v>0.45612580744292758</v>
      </c>
      <c r="U1547" s="3">
        <f t="shared" si="192"/>
        <v>2008.7499999998829</v>
      </c>
      <c r="V1547" s="3">
        <f t="shared" si="193"/>
        <v>0.462808</v>
      </c>
      <c r="Z1547" s="1">
        <v>2008.7917</v>
      </c>
      <c r="AA1547" s="2">
        <f t="shared" si="197"/>
        <v>-0.26513999999999999</v>
      </c>
      <c r="AB1547">
        <v>-13.257</v>
      </c>
      <c r="AE1547">
        <v>2008.7499999998829</v>
      </c>
      <c r="AF1547">
        <v>0.45612580744292758</v>
      </c>
    </row>
    <row r="1548" spans="4:32" x14ac:dyDescent="0.35">
      <c r="D1548">
        <v>0.250278</v>
      </c>
      <c r="M1548">
        <f t="shared" si="198"/>
        <v>1547</v>
      </c>
      <c r="N1548">
        <f t="shared" si="199"/>
        <v>2008.8333333332162</v>
      </c>
      <c r="O1548">
        <f t="shared" si="194"/>
        <v>0</v>
      </c>
      <c r="P1548">
        <f t="array" ref="P1548">+SUM($G$2:$G$18*SIN(2*PI()*(N1548)*$B$1/$F$2:$F$18+$H$2:$H$18))</f>
        <v>0.57642278662985313</v>
      </c>
      <c r="Q1548">
        <f t="shared" si="195"/>
        <v>0</v>
      </c>
      <c r="R1548">
        <f t="shared" si="196"/>
        <v>1.3242005919496496E-2</v>
      </c>
      <c r="S1548">
        <f t="array" ref="S1548">+$B$2*SIN(R1548*$B$3+$B$4)+0*R1548+ SUM($J$2:$J$20*SIN(2*PI()*N1548*$I$2:$I$20+$K$2:$K$20))</f>
        <v>0.45382342718163099</v>
      </c>
      <c r="U1548" s="3">
        <f t="shared" si="192"/>
        <v>2008.8333333332162</v>
      </c>
      <c r="V1548" s="3">
        <f t="shared" si="193"/>
        <v>0.513598</v>
      </c>
      <c r="Z1548" s="1">
        <v>2008.875</v>
      </c>
      <c r="AA1548" s="2">
        <f t="shared" si="197"/>
        <v>-0.36824599999999996</v>
      </c>
      <c r="AB1548">
        <v>-18.412299999999998</v>
      </c>
      <c r="AE1548">
        <v>2008.8333333332162</v>
      </c>
      <c r="AF1548">
        <v>0.45382342718163099</v>
      </c>
    </row>
    <row r="1549" spans="4:32" x14ac:dyDescent="0.35">
      <c r="D1549">
        <v>-0.26513999999999999</v>
      </c>
      <c r="M1549">
        <f t="shared" si="198"/>
        <v>1548</v>
      </c>
      <c r="N1549">
        <f t="shared" si="199"/>
        <v>2008.9166666665494</v>
      </c>
      <c r="O1549">
        <f t="shared" si="194"/>
        <v>0</v>
      </c>
      <c r="P1549">
        <f t="array" ref="P1549">+SUM($G$2:$G$18*SIN(2*PI()*(N1549)*$B$1/$F$2:$F$18+$H$2:$H$18))</f>
        <v>-4.6889681350797685E-3</v>
      </c>
      <c r="Q1549">
        <f t="shared" si="195"/>
        <v>0</v>
      </c>
      <c r="R1549">
        <f t="shared" si="196"/>
        <v>1.3221637848193146E-2</v>
      </c>
      <c r="S1549">
        <f t="array" ref="S1549">+$B$2*SIN(R1549*$B$3+$B$4)+0*R1549+ SUM($J$2:$J$20*SIN(2*PI()*N1549*$I$2:$I$20+$K$2:$K$20))</f>
        <v>0.45151791384323348</v>
      </c>
      <c r="U1549" s="3">
        <f t="shared" si="192"/>
        <v>2008.9166666665494</v>
      </c>
      <c r="V1549" s="3">
        <f t="shared" si="193"/>
        <v>0.36746000000000001</v>
      </c>
      <c r="Z1549" s="1">
        <v>2008.9583</v>
      </c>
      <c r="AA1549" s="2">
        <f t="shared" si="197"/>
        <v>-0.131354</v>
      </c>
      <c r="AB1549">
        <v>-6.5677000000000003</v>
      </c>
      <c r="AE1549">
        <v>2008.9166666665494</v>
      </c>
      <c r="AF1549">
        <v>0.45151791384323348</v>
      </c>
    </row>
    <row r="1550" spans="4:32" x14ac:dyDescent="0.35">
      <c r="D1550">
        <v>-0.36824599999999996</v>
      </c>
      <c r="M1550">
        <f t="shared" si="198"/>
        <v>1549</v>
      </c>
      <c r="N1550">
        <f t="shared" si="199"/>
        <v>2008.9999999998827</v>
      </c>
      <c r="O1550">
        <f t="shared" si="194"/>
        <v>36.637715116165623</v>
      </c>
      <c r="P1550">
        <f t="array" ref="P1550">+SUM($G$2:$G$18*SIN(2*PI()*(N1550)*$B$1/$F$2:$F$18+$H$2:$H$18))</f>
        <v>-0.30771659736039286</v>
      </c>
      <c r="Q1550">
        <f t="shared" si="195"/>
        <v>-11.274033030605915</v>
      </c>
      <c r="R1550">
        <f t="shared" si="196"/>
        <v>-4.1397505474774932E-3</v>
      </c>
      <c r="S1550">
        <f t="array" ref="S1550">+$B$2*SIN(R1550*$B$3+$B$4)+0*R1550+ SUM($J$2:$J$20*SIN(2*PI()*N1550*$I$2:$I$20+$K$2:$K$20))</f>
        <v>-0.37223342130845988</v>
      </c>
      <c r="U1550" s="3">
        <f t="shared" si="192"/>
        <v>2008.9999999998827</v>
      </c>
      <c r="V1550" s="3">
        <f t="shared" si="193"/>
        <v>0.20593800000000001</v>
      </c>
      <c r="Z1550" s="1">
        <v>2009.0417</v>
      </c>
      <c r="AA1550" s="2">
        <f t="shared" si="197"/>
        <v>4.7070000000000001E-2</v>
      </c>
      <c r="AB1550">
        <v>2.3534999999999999</v>
      </c>
      <c r="AE1550">
        <v>2008.9999999998827</v>
      </c>
      <c r="AF1550">
        <v>-0.37223342130845988</v>
      </c>
    </row>
    <row r="1551" spans="4:32" x14ac:dyDescent="0.35">
      <c r="D1551">
        <v>-0.131354</v>
      </c>
      <c r="M1551">
        <f t="shared" si="198"/>
        <v>1550</v>
      </c>
      <c r="N1551">
        <f t="shared" si="199"/>
        <v>2009.0833333332159</v>
      </c>
      <c r="O1551">
        <f t="shared" si="194"/>
        <v>0</v>
      </c>
      <c r="P1551">
        <f t="array" ref="P1551">+SUM($G$2:$G$18*SIN(2*PI()*(N1551)*$B$1/$F$2:$F$18+$H$2:$H$18))</f>
        <v>4.2488081355437184E-2</v>
      </c>
      <c r="Q1551">
        <f t="shared" si="195"/>
        <v>0</v>
      </c>
      <c r="R1551">
        <f t="shared" si="196"/>
        <v>-4.1333830277194058E-3</v>
      </c>
      <c r="S1551">
        <f t="array" ref="S1551">+$B$2*SIN(R1551*$B$3+$B$4)+0*R1551+ SUM($J$2:$J$20*SIN(2*PI()*N1551*$I$2:$I$20+$K$2:$K$20))</f>
        <v>-0.37301723991225233</v>
      </c>
      <c r="U1551" s="3">
        <f t="shared" si="192"/>
        <v>2009.0833333332159</v>
      </c>
      <c r="V1551" s="3">
        <f t="shared" si="193"/>
        <v>0.22287800000000002</v>
      </c>
      <c r="Z1551" s="1">
        <v>2009.125</v>
      </c>
      <c r="AA1551" s="2">
        <f t="shared" si="197"/>
        <v>-2.1940000000000002E-3</v>
      </c>
      <c r="AB1551">
        <v>-0.10970000000000001</v>
      </c>
      <c r="AE1551">
        <v>2009.0833333332159</v>
      </c>
      <c r="AF1551">
        <v>-0.37301723991225233</v>
      </c>
    </row>
    <row r="1552" spans="4:32" x14ac:dyDescent="0.35">
      <c r="D1552">
        <v>4.7070000000000001E-2</v>
      </c>
      <c r="M1552">
        <f t="shared" si="198"/>
        <v>1551</v>
      </c>
      <c r="N1552">
        <f t="shared" si="199"/>
        <v>2009.1666666665492</v>
      </c>
      <c r="O1552">
        <f t="shared" si="194"/>
        <v>0</v>
      </c>
      <c r="P1552">
        <f t="array" ref="P1552">+SUM($G$2:$G$18*SIN(2*PI()*(N1552)*$B$1/$F$2:$F$18+$H$2:$H$18))</f>
        <v>0.26974268944384233</v>
      </c>
      <c r="Q1552">
        <f t="shared" si="195"/>
        <v>0</v>
      </c>
      <c r="R1552">
        <f t="shared" si="196"/>
        <v>-4.1270253021040825E-3</v>
      </c>
      <c r="S1552">
        <f t="array" ref="S1552">+$B$2*SIN(R1552*$B$3+$B$4)+0*R1552+ SUM($J$2:$J$20*SIN(2*PI()*N1552*$I$2:$I$20+$K$2:$K$20))</f>
        <v>-0.37379931837631536</v>
      </c>
      <c r="U1552" s="3">
        <f t="shared" si="192"/>
        <v>2009.1666666665492</v>
      </c>
      <c r="V1552" s="3">
        <f t="shared" si="193"/>
        <v>-0.110958</v>
      </c>
      <c r="Z1552" s="1">
        <v>2009.2083</v>
      </c>
      <c r="AA1552" s="2">
        <f t="shared" si="197"/>
        <v>1.008E-2</v>
      </c>
      <c r="AB1552">
        <v>0.504</v>
      </c>
      <c r="AE1552">
        <v>2009.1666666665492</v>
      </c>
      <c r="AF1552">
        <v>-0.37379931837631536</v>
      </c>
    </row>
    <row r="1553" spans="4:32" x14ac:dyDescent="0.35">
      <c r="D1553">
        <v>-2.1940000000000002E-3</v>
      </c>
      <c r="M1553">
        <f t="shared" si="198"/>
        <v>1552</v>
      </c>
      <c r="N1553">
        <f t="shared" si="199"/>
        <v>2009.2499999998824</v>
      </c>
      <c r="O1553">
        <f t="shared" si="194"/>
        <v>0</v>
      </c>
      <c r="P1553">
        <f t="array" ref="P1553">+SUM($G$2:$G$18*SIN(2*PI()*(N1553)*$B$1/$F$2:$F$18+$H$2:$H$18))</f>
        <v>0.19104447266479774</v>
      </c>
      <c r="Q1553">
        <f t="shared" si="195"/>
        <v>0</v>
      </c>
      <c r="R1553">
        <f t="shared" si="196"/>
        <v>-4.1206773555667511E-3</v>
      </c>
      <c r="S1553">
        <f t="array" ref="S1553">+$B$2*SIN(R1553*$B$3+$B$4)+0*R1553+ SUM($J$2:$J$20*SIN(2*PI()*N1553*$I$2:$I$20+$K$2:$K$20))</f>
        <v>-0.37457965990304781</v>
      </c>
      <c r="U1553" s="3">
        <f t="shared" si="192"/>
        <v>2009.2499999998824</v>
      </c>
      <c r="V1553" s="3">
        <f t="shared" si="193"/>
        <v>-0.51094399999999995</v>
      </c>
      <c r="Z1553" s="1">
        <v>2009.2917</v>
      </c>
      <c r="AA1553" s="2">
        <f t="shared" si="197"/>
        <v>0.31157800000000002</v>
      </c>
      <c r="AB1553">
        <v>15.578900000000001</v>
      </c>
      <c r="AE1553">
        <v>2009.2499999998824</v>
      </c>
      <c r="AF1553">
        <v>-0.37457965990304781</v>
      </c>
    </row>
    <row r="1554" spans="4:32" x14ac:dyDescent="0.35">
      <c r="D1554">
        <v>1.008E-2</v>
      </c>
      <c r="M1554">
        <f t="shared" si="198"/>
        <v>1553</v>
      </c>
      <c r="N1554">
        <f t="shared" si="199"/>
        <v>2009.3333333332157</v>
      </c>
      <c r="O1554">
        <f t="shared" si="194"/>
        <v>0</v>
      </c>
      <c r="P1554">
        <f t="array" ref="P1554">+SUM($G$2:$G$18*SIN(2*PI()*(N1554)*$B$1/$F$2:$F$18+$H$2:$H$18))</f>
        <v>0.2332211224699462</v>
      </c>
      <c r="Q1554">
        <f t="shared" si="195"/>
        <v>0</v>
      </c>
      <c r="R1554">
        <f t="shared" si="196"/>
        <v>-4.1143391730658124E-3</v>
      </c>
      <c r="S1554">
        <f t="array" ref="S1554">+$B$2*SIN(R1554*$B$3+$B$4)+0*R1554+ SUM($J$2:$J$20*SIN(2*PI()*N1554*$I$2:$I$20+$K$2:$K$20))</f>
        <v>-0.37535826769421382</v>
      </c>
      <c r="U1554" s="3">
        <f t="shared" si="192"/>
        <v>2009.3333333332157</v>
      </c>
      <c r="V1554" s="3">
        <f t="shared" si="193"/>
        <v>-0.96785399999999999</v>
      </c>
      <c r="Z1554" s="1">
        <v>2009.375</v>
      </c>
      <c r="AA1554" s="2">
        <f t="shared" si="197"/>
        <v>7.6158000000000003E-2</v>
      </c>
      <c r="AB1554">
        <v>3.8079000000000001</v>
      </c>
      <c r="AE1554">
        <v>2009.3333333332157</v>
      </c>
      <c r="AF1554">
        <v>-0.37535826769421382</v>
      </c>
    </row>
    <row r="1555" spans="4:32" x14ac:dyDescent="0.35">
      <c r="D1555">
        <v>0.31157800000000002</v>
      </c>
      <c r="M1555">
        <f t="shared" si="198"/>
        <v>1554</v>
      </c>
      <c r="N1555">
        <f t="shared" si="199"/>
        <v>2009.416666666549</v>
      </c>
      <c r="O1555">
        <f t="shared" si="194"/>
        <v>0</v>
      </c>
      <c r="P1555">
        <f t="array" ref="P1555">+SUM($G$2:$G$18*SIN(2*PI()*(N1555)*$B$1/$F$2:$F$18+$H$2:$H$18))</f>
        <v>0.44948556280659413</v>
      </c>
      <c r="Q1555">
        <f t="shared" si="195"/>
        <v>0</v>
      </c>
      <c r="R1555">
        <f t="shared" si="196"/>
        <v>-4.1080107395828017E-3</v>
      </c>
      <c r="S1555">
        <f t="array" ref="S1555">+$B$2*SIN(R1555*$B$3+$B$4)+0*R1555+ SUM($J$2:$J$20*SIN(2*PI()*N1555*$I$2:$I$20+$K$2:$K$20))</f>
        <v>-0.37613514495090156</v>
      </c>
      <c r="U1555" s="3">
        <f t="shared" si="192"/>
        <v>2009.416666666549</v>
      </c>
      <c r="V1555" s="3">
        <f t="shared" si="193"/>
        <v>-0.90630600000000006</v>
      </c>
      <c r="Z1555" s="1">
        <v>2009.4583</v>
      </c>
      <c r="AA1555" s="2">
        <f t="shared" si="197"/>
        <v>-6.3879999999999992E-2</v>
      </c>
      <c r="AB1555">
        <v>-3.194</v>
      </c>
      <c r="AE1555">
        <v>2009.416666666549</v>
      </c>
      <c r="AF1555">
        <v>-0.37613514495090156</v>
      </c>
    </row>
    <row r="1556" spans="4:32" x14ac:dyDescent="0.35">
      <c r="D1556">
        <v>7.6158000000000003E-2</v>
      </c>
      <c r="M1556">
        <f t="shared" si="198"/>
        <v>1555</v>
      </c>
      <c r="N1556">
        <f t="shared" si="199"/>
        <v>2009.4999999998822</v>
      </c>
      <c r="O1556">
        <f t="shared" si="194"/>
        <v>0</v>
      </c>
      <c r="P1556">
        <f t="array" ref="P1556">+SUM($G$2:$G$18*SIN(2*PI()*(N1556)*$B$1/$F$2:$F$18+$H$2:$H$18))</f>
        <v>0.72343486349068276</v>
      </c>
      <c r="Q1556">
        <f t="shared" si="195"/>
        <v>0</v>
      </c>
      <c r="R1556">
        <f t="shared" si="196"/>
        <v>-4.1016920401223556E-3</v>
      </c>
      <c r="S1556">
        <f t="array" ref="S1556">+$B$2*SIN(R1556*$B$3+$B$4)+0*R1556+ SUM($J$2:$J$20*SIN(2*PI()*N1556*$I$2:$I$20+$K$2:$K$20))</f>
        <v>-0.37691029487347982</v>
      </c>
      <c r="U1556" s="3">
        <f t="shared" si="192"/>
        <v>2009.4999999998822</v>
      </c>
      <c r="V1556" s="3">
        <f t="shared" si="193"/>
        <v>-0.83398799999999995</v>
      </c>
      <c r="Z1556" s="1">
        <v>2009.5417</v>
      </c>
      <c r="AA1556" s="2">
        <f t="shared" si="197"/>
        <v>-0.36392400000000003</v>
      </c>
      <c r="AB1556">
        <v>-18.196200000000001</v>
      </c>
      <c r="AE1556">
        <v>2009.4999999998822</v>
      </c>
      <c r="AF1556">
        <v>-0.37691029487347982</v>
      </c>
    </row>
    <row r="1557" spans="4:32" x14ac:dyDescent="0.35">
      <c r="D1557">
        <v>-6.3879999999999992E-2</v>
      </c>
      <c r="M1557">
        <f t="shared" si="198"/>
        <v>1556</v>
      </c>
      <c r="N1557">
        <f t="shared" si="199"/>
        <v>2009.5833333332155</v>
      </c>
      <c r="O1557">
        <f t="shared" si="194"/>
        <v>0</v>
      </c>
      <c r="P1557">
        <f t="array" ref="P1557">+SUM($G$2:$G$18*SIN(2*PI()*(N1557)*$B$1/$F$2:$F$18+$H$2:$H$18))</f>
        <v>0.6197639593001486</v>
      </c>
      <c r="Q1557">
        <f t="shared" si="195"/>
        <v>0</v>
      </c>
      <c r="R1557">
        <f t="shared" si="196"/>
        <v>-4.0953830597121755E-3</v>
      </c>
      <c r="S1557">
        <f t="array" ref="S1557">+$B$2*SIN(R1557*$B$3+$B$4)+0*R1557+ SUM($J$2:$J$20*SIN(2*PI()*N1557*$I$2:$I$20+$K$2:$K$20))</f>
        <v>-0.3776837206615577</v>
      </c>
      <c r="U1557" s="3">
        <f t="shared" si="192"/>
        <v>2009.5833333332155</v>
      </c>
      <c r="V1557" s="3">
        <f t="shared" si="193"/>
        <v>-0.70321</v>
      </c>
      <c r="Z1557" s="1">
        <v>2009.625</v>
      </c>
      <c r="AA1557" s="2">
        <f t="shared" si="197"/>
        <v>-0.490118</v>
      </c>
      <c r="AB1557">
        <v>-24.5059</v>
      </c>
      <c r="AE1557">
        <v>2009.5833333332155</v>
      </c>
      <c r="AF1557">
        <v>-0.3776837206615577</v>
      </c>
    </row>
    <row r="1558" spans="4:32" x14ac:dyDescent="0.35">
      <c r="D1558">
        <v>-0.36392400000000003</v>
      </c>
      <c r="M1558">
        <f t="shared" si="198"/>
        <v>1557</v>
      </c>
      <c r="N1558">
        <f t="shared" si="199"/>
        <v>2009.6666666665487</v>
      </c>
      <c r="O1558">
        <f t="shared" si="194"/>
        <v>0</v>
      </c>
      <c r="P1558">
        <f t="array" ref="P1558">+SUM($G$2:$G$18*SIN(2*PI()*(N1558)*$B$1/$F$2:$F$18+$H$2:$H$18))</f>
        <v>8.6197568359059618E-3</v>
      </c>
      <c r="Q1558">
        <f t="shared" si="195"/>
        <v>0</v>
      </c>
      <c r="R1558">
        <f t="shared" si="196"/>
        <v>-4.0890837834029921E-3</v>
      </c>
      <c r="S1558">
        <f t="array" ref="S1558">+$B$2*SIN(R1558*$B$3+$B$4)+0*R1558+ SUM($J$2:$J$20*SIN(2*PI()*N1558*$I$2:$I$20+$K$2:$K$20))</f>
        <v>-0.37845542551394057</v>
      </c>
      <c r="U1558" s="3">
        <f t="shared" si="192"/>
        <v>2009.6666666665487</v>
      </c>
      <c r="V1558" s="3">
        <f t="shared" si="193"/>
        <v>-0.82012799999999997</v>
      </c>
      <c r="Z1558" s="1">
        <v>2009.7083</v>
      </c>
      <c r="AA1558" s="2">
        <f t="shared" si="197"/>
        <v>-0.49477400000000005</v>
      </c>
      <c r="AB1558">
        <v>-24.738700000000001</v>
      </c>
      <c r="AE1558">
        <v>2009.6666666665487</v>
      </c>
      <c r="AF1558">
        <v>-0.37845542551394057</v>
      </c>
    </row>
    <row r="1559" spans="4:32" x14ac:dyDescent="0.35">
      <c r="D1559">
        <v>-0.490118</v>
      </c>
      <c r="M1559">
        <f t="shared" si="198"/>
        <v>1558</v>
      </c>
      <c r="N1559">
        <f t="shared" si="199"/>
        <v>2009.749999999882</v>
      </c>
      <c r="O1559">
        <f t="shared" si="194"/>
        <v>0</v>
      </c>
      <c r="P1559">
        <f t="array" ref="P1559">+SUM($G$2:$G$18*SIN(2*PI()*(N1559)*$B$1/$F$2:$F$18+$H$2:$H$18))</f>
        <v>-0.25459592606526177</v>
      </c>
      <c r="Q1559">
        <f t="shared" si="195"/>
        <v>0</v>
      </c>
      <c r="R1559">
        <f t="shared" si="196"/>
        <v>-4.0827941962685308E-3</v>
      </c>
      <c r="S1559">
        <f t="array" ref="S1559">+$B$2*SIN(R1559*$B$3+$B$4)+0*R1559+ SUM($J$2:$J$20*SIN(2*PI()*N1559*$I$2:$I$20+$K$2:$K$20))</f>
        <v>-0.37922541262859222</v>
      </c>
      <c r="U1559" s="3">
        <f t="shared" si="192"/>
        <v>2009.749999999882</v>
      </c>
      <c r="V1559" s="3">
        <f t="shared" si="193"/>
        <v>-0.83704400000000012</v>
      </c>
      <c r="Z1559" s="1">
        <v>2009.7917</v>
      </c>
      <c r="AA1559" s="2">
        <f t="shared" si="197"/>
        <v>-0.57174400000000003</v>
      </c>
      <c r="AB1559">
        <v>-28.587199999999999</v>
      </c>
      <c r="AE1559">
        <v>2009.749999999882</v>
      </c>
      <c r="AF1559">
        <v>-0.37922541262859222</v>
      </c>
    </row>
    <row r="1560" spans="4:32" x14ac:dyDescent="0.35">
      <c r="D1560">
        <v>-0.49477400000000005</v>
      </c>
      <c r="M1560">
        <f t="shared" si="198"/>
        <v>1559</v>
      </c>
      <c r="N1560">
        <f t="shared" si="199"/>
        <v>2009.8333333332153</v>
      </c>
      <c r="O1560">
        <f t="shared" si="194"/>
        <v>0</v>
      </c>
      <c r="P1560">
        <f t="array" ref="P1560">+SUM($G$2:$G$18*SIN(2*PI()*(N1560)*$B$1/$F$2:$F$18+$H$2:$H$18))</f>
        <v>5.7499737644371343E-2</v>
      </c>
      <c r="Q1560">
        <f t="shared" si="195"/>
        <v>0</v>
      </c>
      <c r="R1560">
        <f t="shared" si="196"/>
        <v>-4.0765142834054751E-3</v>
      </c>
      <c r="S1560">
        <f t="array" ref="S1560">+$B$2*SIN(R1560*$B$3+$B$4)+0*R1560+ SUM($J$2:$J$20*SIN(2*PI()*N1560*$I$2:$I$20+$K$2:$K$20))</f>
        <v>-0.37999368520259108</v>
      </c>
      <c r="U1560" s="3">
        <f t="shared" si="192"/>
        <v>2009.8333333332153</v>
      </c>
      <c r="V1560" s="3">
        <f t="shared" si="193"/>
        <v>-0.91088399999999992</v>
      </c>
      <c r="Z1560" s="1">
        <v>2009.875</v>
      </c>
      <c r="AA1560" s="2">
        <f t="shared" si="197"/>
        <v>-0.29486400000000001</v>
      </c>
      <c r="AB1560">
        <v>-14.7432</v>
      </c>
      <c r="AE1560">
        <v>2009.8333333332153</v>
      </c>
      <c r="AF1560">
        <v>-0.37999368520259108</v>
      </c>
    </row>
    <row r="1561" spans="4:32" x14ac:dyDescent="0.35">
      <c r="D1561">
        <v>-0.57174400000000003</v>
      </c>
      <c r="M1561">
        <f t="shared" si="198"/>
        <v>1560</v>
      </c>
      <c r="N1561">
        <f t="shared" si="199"/>
        <v>2009.9166666665485</v>
      </c>
      <c r="O1561">
        <f t="shared" si="194"/>
        <v>0</v>
      </c>
      <c r="P1561">
        <f t="array" ref="P1561">+SUM($G$2:$G$18*SIN(2*PI()*(N1561)*$B$1/$F$2:$F$18+$H$2:$H$18))</f>
        <v>0.25347565154028362</v>
      </c>
      <c r="Q1561">
        <f t="shared" si="195"/>
        <v>0</v>
      </c>
      <c r="R1561">
        <f t="shared" si="196"/>
        <v>-4.0702440299334331E-3</v>
      </c>
      <c r="S1561">
        <f t="array" ref="S1561">+$B$2*SIN(R1561*$B$3+$B$4)+0*R1561+ SUM($J$2:$J$20*SIN(2*PI()*N1561*$I$2:$I$20+$K$2:$K$20))</f>
        <v>-0.38076024643209155</v>
      </c>
      <c r="U1561" s="3">
        <f t="shared" si="192"/>
        <v>2009.9166666665485</v>
      </c>
      <c r="V1561" s="3">
        <f t="shared" si="193"/>
        <v>-0.98011199999999998</v>
      </c>
      <c r="Z1561" s="1">
        <v>2009.9583</v>
      </c>
      <c r="AA1561" s="2">
        <f t="shared" si="197"/>
        <v>-9.3369999999999995E-2</v>
      </c>
      <c r="AB1561">
        <v>-4.6684999999999999</v>
      </c>
      <c r="AE1561">
        <v>2009.9166666665485</v>
      </c>
      <c r="AF1561">
        <v>-0.38076024643209155</v>
      </c>
    </row>
    <row r="1562" spans="4:32" x14ac:dyDescent="0.35">
      <c r="D1562">
        <v>-0.29486400000000001</v>
      </c>
      <c r="M1562">
        <f t="shared" si="198"/>
        <v>1561</v>
      </c>
      <c r="N1562">
        <f t="shared" si="199"/>
        <v>2009.9999999998818</v>
      </c>
      <c r="O1562">
        <f t="shared" si="194"/>
        <v>36.637715116165623</v>
      </c>
      <c r="P1562">
        <f t="array" ref="P1562">+SUM($G$2:$G$18*SIN(2*PI()*(N1562)*$B$1/$F$2:$F$18+$H$2:$H$18))</f>
        <v>0.28795457408432057</v>
      </c>
      <c r="Q1562">
        <f t="shared" si="195"/>
        <v>10.549997651698146</v>
      </c>
      <c r="R1562">
        <f t="shared" si="196"/>
        <v>1.2163399781091606E-2</v>
      </c>
      <c r="S1562">
        <f t="array" ref="S1562">+$B$2*SIN(R1562*$B$3+$B$4)+0*R1562+ SUM($J$2:$J$20*SIN(2*PI()*N1562*$I$2:$I$20+$K$2:$K$20))</f>
        <v>0.3234258829185665</v>
      </c>
      <c r="U1562" s="3">
        <f t="shared" si="192"/>
        <v>2009.9999999998818</v>
      </c>
      <c r="V1562" s="3">
        <f t="shared" si="193"/>
        <v>-0.56010800000000005</v>
      </c>
      <c r="Z1562" s="1">
        <v>2010.0417</v>
      </c>
      <c r="AA1562" s="2">
        <f t="shared" si="197"/>
        <v>-0.13803599999999999</v>
      </c>
      <c r="AB1562">
        <v>-6.9017999999999997</v>
      </c>
      <c r="AE1562">
        <v>2009.9999999998818</v>
      </c>
      <c r="AF1562">
        <v>0.3234258829185665</v>
      </c>
    </row>
    <row r="1563" spans="4:32" x14ac:dyDescent="0.35">
      <c r="D1563">
        <v>-9.3369999999999995E-2</v>
      </c>
      <c r="M1563">
        <f t="shared" si="198"/>
        <v>1562</v>
      </c>
      <c r="N1563">
        <f t="shared" si="199"/>
        <v>2010.083333333215</v>
      </c>
      <c r="O1563">
        <f t="shared" si="194"/>
        <v>0</v>
      </c>
      <c r="P1563">
        <f t="array" ref="P1563">+SUM($G$2:$G$18*SIN(2*PI()*(N1563)*$B$1/$F$2:$F$18+$H$2:$H$18))</f>
        <v>0.38420158113717184</v>
      </c>
      <c r="Q1563">
        <f t="shared" si="195"/>
        <v>0</v>
      </c>
      <c r="R1563">
        <f t="shared" si="196"/>
        <v>1.2144690758037353E-2</v>
      </c>
      <c r="S1563">
        <f t="array" ref="S1563">+$B$2*SIN(R1563*$B$3+$B$4)+0*R1563+ SUM($J$2:$J$20*SIN(2*PI()*N1563*$I$2:$I$20+$K$2:$K$20))</f>
        <v>0.32103045682201459</v>
      </c>
      <c r="U1563" s="3">
        <f t="shared" si="192"/>
        <v>2010.083333333215</v>
      </c>
      <c r="V1563" s="3">
        <f t="shared" si="193"/>
        <v>-0.43856800000000001</v>
      </c>
      <c r="Z1563" s="1">
        <v>2010.125</v>
      </c>
      <c r="AA1563" s="2">
        <f t="shared" si="197"/>
        <v>-6.2698000000000004E-2</v>
      </c>
      <c r="AB1563">
        <v>-3.1349</v>
      </c>
      <c r="AE1563">
        <v>2010.083333333215</v>
      </c>
      <c r="AF1563">
        <v>0.32103045682201459</v>
      </c>
    </row>
    <row r="1564" spans="4:32" x14ac:dyDescent="0.35">
      <c r="D1564">
        <v>-0.13803599999999999</v>
      </c>
      <c r="M1564">
        <f t="shared" si="198"/>
        <v>1563</v>
      </c>
      <c r="N1564">
        <f t="shared" si="199"/>
        <v>2010.1666666665483</v>
      </c>
      <c r="O1564">
        <f t="shared" si="194"/>
        <v>0</v>
      </c>
      <c r="P1564">
        <f t="array" ref="P1564">+SUM($G$2:$G$18*SIN(2*PI()*(N1564)*$B$1/$F$2:$F$18+$H$2:$H$18))</f>
        <v>0.48404204802527534</v>
      </c>
      <c r="Q1564">
        <f t="shared" si="195"/>
        <v>0</v>
      </c>
      <c r="R1564">
        <f t="shared" si="196"/>
        <v>1.2126010512097224E-2</v>
      </c>
      <c r="S1564">
        <f t="array" ref="S1564">+$B$2*SIN(R1564*$B$3+$B$4)+0*R1564+ SUM($J$2:$J$20*SIN(2*PI()*N1564*$I$2:$I$20+$K$2:$K$20))</f>
        <v>0.31863474384696405</v>
      </c>
      <c r="U1564" s="3">
        <f t="shared" si="192"/>
        <v>2010.1666666665483</v>
      </c>
      <c r="V1564" s="3">
        <f t="shared" si="193"/>
        <v>-0.22626200000000002</v>
      </c>
      <c r="Z1564" s="1">
        <v>2010.2083</v>
      </c>
      <c r="AA1564" s="2">
        <f t="shared" si="197"/>
        <v>-2.7362000000000001E-2</v>
      </c>
      <c r="AB1564">
        <v>-1.3681000000000001</v>
      </c>
      <c r="AE1564">
        <v>2010.1666666665483</v>
      </c>
      <c r="AF1564">
        <v>0.31863474384696405</v>
      </c>
    </row>
    <row r="1565" spans="4:32" x14ac:dyDescent="0.35">
      <c r="D1565">
        <v>-6.2698000000000004E-2</v>
      </c>
      <c r="M1565">
        <f t="shared" si="198"/>
        <v>1564</v>
      </c>
      <c r="N1565">
        <f t="shared" si="199"/>
        <v>2010.2499999998815</v>
      </c>
      <c r="O1565">
        <f t="shared" si="194"/>
        <v>0</v>
      </c>
      <c r="P1565">
        <f t="array" ref="P1565">+SUM($G$2:$G$18*SIN(2*PI()*(N1565)*$B$1/$F$2:$F$18+$H$2:$H$18))</f>
        <v>0.55180447952628209</v>
      </c>
      <c r="Q1565">
        <f t="shared" si="195"/>
        <v>0</v>
      </c>
      <c r="R1565">
        <f t="shared" si="196"/>
        <v>1.2107358999007962E-2</v>
      </c>
      <c r="S1565">
        <f t="array" ref="S1565">+$B$2*SIN(R1565*$B$3+$B$4)+0*R1565+ SUM($J$2:$J$20*SIN(2*PI()*N1565*$I$2:$I$20+$K$2:$K$20))</f>
        <v>0.31623878618786005</v>
      </c>
      <c r="U1565" s="3">
        <f t="shared" si="192"/>
        <v>2010.2499999998815</v>
      </c>
      <c r="V1565" s="3">
        <f t="shared" si="193"/>
        <v>0.32142999999999999</v>
      </c>
      <c r="Z1565" s="1">
        <v>2010.2917</v>
      </c>
      <c r="AA1565" s="2">
        <f t="shared" si="197"/>
        <v>-0.198184</v>
      </c>
      <c r="AB1565">
        <v>-9.9092000000000002</v>
      </c>
      <c r="AE1565">
        <v>2010.2499999998815</v>
      </c>
      <c r="AF1565">
        <v>0.31623878618786005</v>
      </c>
    </row>
    <row r="1566" spans="4:32" x14ac:dyDescent="0.35">
      <c r="D1566">
        <v>-2.7362000000000001E-2</v>
      </c>
      <c r="M1566">
        <f t="shared" si="198"/>
        <v>1565</v>
      </c>
      <c r="N1566">
        <f t="shared" si="199"/>
        <v>2010.3333333332148</v>
      </c>
      <c r="O1566">
        <f t="shared" si="194"/>
        <v>0</v>
      </c>
      <c r="P1566">
        <f t="array" ref="P1566">+SUM($G$2:$G$18*SIN(2*PI()*(N1566)*$B$1/$F$2:$F$18+$H$2:$H$18))</f>
        <v>0.26895717374603578</v>
      </c>
      <c r="Q1566">
        <f t="shared" si="195"/>
        <v>0</v>
      </c>
      <c r="R1566">
        <f t="shared" si="196"/>
        <v>1.2088736174574394E-2</v>
      </c>
      <c r="S1566">
        <f t="array" ref="S1566">+$B$2*SIN(R1566*$B$3+$B$4)+0*R1566+ SUM($J$2:$J$20*SIN(2*PI()*N1566*$I$2:$I$20+$K$2:$K$20))</f>
        <v>0.31384262575808936</v>
      </c>
      <c r="U1566" s="3">
        <f t="shared" si="192"/>
        <v>2010.3333333332148</v>
      </c>
      <c r="V1566" s="3">
        <f t="shared" si="193"/>
        <v>0.53220000000000001</v>
      </c>
      <c r="Z1566" s="1">
        <v>2010.375</v>
      </c>
      <c r="AA1566" s="2">
        <f t="shared" si="197"/>
        <v>-8.5925999999999988E-2</v>
      </c>
      <c r="AB1566">
        <v>-4.2962999999999996</v>
      </c>
      <c r="AE1566">
        <v>2010.3333333332148</v>
      </c>
      <c r="AF1566">
        <v>0.31384262575808936</v>
      </c>
    </row>
    <row r="1567" spans="4:32" x14ac:dyDescent="0.35">
      <c r="D1567">
        <v>-0.198184</v>
      </c>
      <c r="M1567">
        <f t="shared" si="198"/>
        <v>1566</v>
      </c>
      <c r="N1567">
        <f t="shared" si="199"/>
        <v>2010.4166666665481</v>
      </c>
      <c r="O1567">
        <f t="shared" si="194"/>
        <v>0</v>
      </c>
      <c r="P1567">
        <f t="array" ref="P1567">+SUM($G$2:$G$18*SIN(2*PI()*(N1567)*$B$1/$F$2:$F$18+$H$2:$H$18))</f>
        <v>-0.27759525471594992</v>
      </c>
      <c r="Q1567">
        <f t="shared" si="195"/>
        <v>0</v>
      </c>
      <c r="R1567">
        <f t="shared" si="196"/>
        <v>1.2070141994669324E-2</v>
      </c>
      <c r="S1567">
        <f t="array" ref="S1567">+$B$2*SIN(R1567*$B$3+$B$4)+0*R1567+ SUM($J$2:$J$20*SIN(2*PI()*N1567*$I$2:$I$20+$K$2:$K$20))</f>
        <v>0.31144630419082403</v>
      </c>
      <c r="U1567" s="3">
        <f t="shared" si="192"/>
        <v>2010.4166666665481</v>
      </c>
      <c r="V1567" s="3">
        <f t="shared" si="193"/>
        <v>0.7814239999999999</v>
      </c>
      <c r="Z1567" s="1">
        <v>2010.4583</v>
      </c>
      <c r="AA1567" s="2">
        <f t="shared" si="197"/>
        <v>0.30632999999999999</v>
      </c>
      <c r="AB1567">
        <v>15.3165</v>
      </c>
      <c r="AE1567">
        <v>2010.4166666665481</v>
      </c>
      <c r="AF1567">
        <v>0.31144630419082403</v>
      </c>
    </row>
    <row r="1568" spans="4:32" x14ac:dyDescent="0.35">
      <c r="D1568">
        <v>-8.5925999999999988E-2</v>
      </c>
      <c r="M1568">
        <f t="shared" si="198"/>
        <v>1567</v>
      </c>
      <c r="N1568">
        <f t="shared" si="199"/>
        <v>2010.4999999998813</v>
      </c>
      <c r="O1568">
        <f t="shared" si="194"/>
        <v>0</v>
      </c>
      <c r="P1568">
        <f t="array" ref="P1568">+SUM($G$2:$G$18*SIN(2*PI()*(N1568)*$B$1/$F$2:$F$18+$H$2:$H$18))</f>
        <v>-0.34294632804018982</v>
      </c>
      <c r="Q1568">
        <f t="shared" si="195"/>
        <v>0</v>
      </c>
      <c r="R1568">
        <f t="shared" si="196"/>
        <v>1.2051576415233431E-2</v>
      </c>
      <c r="S1568">
        <f t="array" ref="S1568">+$B$2*SIN(R1568*$B$3+$B$4)+0*R1568+ SUM($J$2:$J$20*SIN(2*PI()*N1568*$I$2:$I$20+$K$2:$K$20))</f>
        <v>0.30904986283987024</v>
      </c>
      <c r="U1568" s="3">
        <f t="shared" si="192"/>
        <v>2010.4999999998813</v>
      </c>
      <c r="V1568" s="3">
        <f t="shared" si="193"/>
        <v>0.95680599999999993</v>
      </c>
      <c r="Z1568" s="1">
        <v>2010.5417</v>
      </c>
      <c r="AA1568" s="2">
        <f t="shared" si="197"/>
        <v>0.18781199999999998</v>
      </c>
      <c r="AB1568">
        <v>9.3905999999999992</v>
      </c>
      <c r="AE1568">
        <v>2010.4999999998813</v>
      </c>
      <c r="AF1568">
        <v>0.30904986283987024</v>
      </c>
    </row>
    <row r="1569" spans="4:32" x14ac:dyDescent="0.35">
      <c r="D1569">
        <v>0.30632999999999999</v>
      </c>
      <c r="M1569">
        <f t="shared" si="198"/>
        <v>1568</v>
      </c>
      <c r="N1569">
        <f t="shared" si="199"/>
        <v>2010.5833333332146</v>
      </c>
      <c r="O1569">
        <f t="shared" si="194"/>
        <v>0</v>
      </c>
      <c r="P1569">
        <f t="array" ref="P1569">+SUM($G$2:$G$18*SIN(2*PI()*(N1569)*$B$1/$F$2:$F$18+$H$2:$H$18))</f>
        <v>-3.7772610558147235E-2</v>
      </c>
      <c r="Q1569">
        <f t="shared" si="195"/>
        <v>0</v>
      </c>
      <c r="R1569">
        <f t="shared" si="196"/>
        <v>1.2033039392275161E-2</v>
      </c>
      <c r="S1569">
        <f t="array" ref="S1569">+$B$2*SIN(R1569*$B$3+$B$4)+0*R1569+ SUM($J$2:$J$20*SIN(2*PI()*N1569*$I$2:$I$20+$K$2:$K$20))</f>
        <v>0.30665334278052081</v>
      </c>
      <c r="U1569" s="3">
        <f t="shared" si="192"/>
        <v>2010.5833333332146</v>
      </c>
      <c r="V1569" s="3">
        <f t="shared" si="193"/>
        <v>1.13988</v>
      </c>
      <c r="Z1569" s="1">
        <v>2010.625</v>
      </c>
      <c r="AA1569" s="2">
        <f t="shared" si="197"/>
        <v>0.34160400000000002</v>
      </c>
      <c r="AB1569">
        <v>17.080200000000001</v>
      </c>
      <c r="AE1569">
        <v>2010.5833333332146</v>
      </c>
      <c r="AF1569">
        <v>0.30665334278052081</v>
      </c>
    </row>
    <row r="1570" spans="4:32" x14ac:dyDescent="0.35">
      <c r="D1570">
        <v>0.18781199999999998</v>
      </c>
      <c r="M1570">
        <f t="shared" si="198"/>
        <v>1569</v>
      </c>
      <c r="N1570">
        <f t="shared" si="199"/>
        <v>2010.6666666665478</v>
      </c>
      <c r="O1570">
        <f t="shared" si="194"/>
        <v>0</v>
      </c>
      <c r="P1570">
        <f t="array" ref="P1570">+SUM($G$2:$G$18*SIN(2*PI()*(N1570)*$B$1/$F$2:$F$18+$H$2:$H$18))</f>
        <v>8.9544052497251253E-2</v>
      </c>
      <c r="Q1570">
        <f t="shared" si="195"/>
        <v>0</v>
      </c>
      <c r="R1570">
        <f t="shared" si="196"/>
        <v>1.2014530881870629E-2</v>
      </c>
      <c r="S1570">
        <f t="array" ref="S1570">+$B$2*SIN(R1570*$B$3+$B$4)+0*R1570+ SUM($J$2:$J$20*SIN(2*PI()*N1570*$I$2:$I$20+$K$2:$K$20))</f>
        <v>0.30425678481041485</v>
      </c>
      <c r="U1570" s="3">
        <f t="shared" si="192"/>
        <v>2010.6666666665478</v>
      </c>
      <c r="V1570" s="3">
        <f t="shared" si="193"/>
        <v>1.3737159999999999</v>
      </c>
      <c r="Z1570" s="1">
        <v>2010.7083</v>
      </c>
      <c r="AA1570" s="2">
        <f t="shared" si="197"/>
        <v>0.32001199999999996</v>
      </c>
      <c r="AB1570">
        <v>16.000599999999999</v>
      </c>
      <c r="AE1570">
        <v>2010.6666666665478</v>
      </c>
      <c r="AF1570">
        <v>0.30425678481041485</v>
      </c>
    </row>
    <row r="1571" spans="4:32" x14ac:dyDescent="0.35">
      <c r="D1571">
        <v>0.34160400000000002</v>
      </c>
      <c r="M1571">
        <f t="shared" si="198"/>
        <v>1570</v>
      </c>
      <c r="N1571">
        <f t="shared" si="199"/>
        <v>2010.7499999998811</v>
      </c>
      <c r="O1571">
        <f t="shared" si="194"/>
        <v>0</v>
      </c>
      <c r="P1571">
        <f t="array" ref="P1571">+SUM($G$2:$G$18*SIN(2*PI()*(N1571)*$B$1/$F$2:$F$18+$H$2:$H$18))</f>
        <v>0.21342271090564374</v>
      </c>
      <c r="Q1571">
        <f t="shared" si="195"/>
        <v>0</v>
      </c>
      <c r="R1571">
        <f t="shared" si="196"/>
        <v>1.1996050840163508E-2</v>
      </c>
      <c r="S1571">
        <f t="array" ref="S1571">+$B$2*SIN(R1571*$B$3+$B$4)+0*R1571+ SUM($J$2:$J$20*SIN(2*PI()*N1571*$I$2:$I$20+$K$2:$K$20))</f>
        <v>0.30186022945039653</v>
      </c>
      <c r="U1571" s="3">
        <f t="shared" si="192"/>
        <v>2010.7499999998811</v>
      </c>
      <c r="V1571" s="3">
        <f t="shared" si="193"/>
        <v>1.6075559999999998</v>
      </c>
      <c r="Z1571" s="1">
        <v>2010.7917</v>
      </c>
      <c r="AA1571" s="2">
        <f t="shared" si="197"/>
        <v>0.43072000000000005</v>
      </c>
      <c r="AB1571">
        <v>21.536000000000001</v>
      </c>
      <c r="AE1571">
        <v>2010.7499999998811</v>
      </c>
      <c r="AF1571">
        <v>0.30186022945039653</v>
      </c>
    </row>
    <row r="1572" spans="4:32" x14ac:dyDescent="0.35">
      <c r="D1572">
        <v>0.32001199999999996</v>
      </c>
      <c r="M1572">
        <f t="shared" si="198"/>
        <v>1571</v>
      </c>
      <c r="N1572">
        <f t="shared" si="199"/>
        <v>2010.8333333332143</v>
      </c>
      <c r="O1572">
        <f t="shared" si="194"/>
        <v>0</v>
      </c>
      <c r="P1572">
        <f t="array" ref="P1572">+SUM($G$2:$G$18*SIN(2*PI()*(N1572)*$B$1/$F$2:$F$18+$H$2:$H$18))</f>
        <v>0.36883194284563048</v>
      </c>
      <c r="Q1572">
        <f t="shared" si="195"/>
        <v>0</v>
      </c>
      <c r="R1572">
        <f t="shared" si="196"/>
        <v>1.1977599223364929E-2</v>
      </c>
      <c r="S1572">
        <f t="array" ref="S1572">+$B$2*SIN(R1572*$B$3+$B$4)+0*R1572+ SUM($J$2:$J$20*SIN(2*PI()*N1572*$I$2:$I$20+$K$2:$K$20))</f>
        <v>0.29946371694538665</v>
      </c>
      <c r="U1572" s="3">
        <f t="shared" si="192"/>
        <v>2010.8333333332143</v>
      </c>
      <c r="V1572" s="3">
        <f t="shared" si="193"/>
        <v>1.8583179999999999</v>
      </c>
      <c r="Z1572" s="1">
        <v>2010.875</v>
      </c>
      <c r="AA1572" s="2">
        <f t="shared" si="197"/>
        <v>0.40604799999999996</v>
      </c>
      <c r="AB1572">
        <v>20.302399999999999</v>
      </c>
      <c r="AE1572">
        <v>2010.8333333332143</v>
      </c>
      <c r="AF1572">
        <v>0.29946371694538665</v>
      </c>
    </row>
    <row r="1573" spans="4:32" x14ac:dyDescent="0.35">
      <c r="D1573">
        <v>0.43072000000000005</v>
      </c>
      <c r="M1573">
        <f t="shared" si="198"/>
        <v>1572</v>
      </c>
      <c r="N1573">
        <f t="shared" si="199"/>
        <v>2010.9166666665476</v>
      </c>
      <c r="O1573">
        <f t="shared" si="194"/>
        <v>0</v>
      </c>
      <c r="P1573">
        <f t="array" ref="P1573">+SUM($G$2:$G$18*SIN(2*PI()*(N1573)*$B$1/$F$2:$F$18+$H$2:$H$18))</f>
        <v>0.34280514137845752</v>
      </c>
      <c r="Q1573">
        <f t="shared" si="195"/>
        <v>0</v>
      </c>
      <c r="R1573">
        <f t="shared" si="196"/>
        <v>1.1959175987753378E-2</v>
      </c>
      <c r="S1573">
        <f t="array" ref="S1573">+$B$2*SIN(R1573*$B$3+$B$4)+0*R1573+ SUM($J$2:$J$20*SIN(2*PI()*N1573*$I$2:$I$20+$K$2:$K$20))</f>
        <v>0.29706728726524978</v>
      </c>
      <c r="U1573" s="3">
        <f t="shared" si="192"/>
        <v>2010.9166666665476</v>
      </c>
      <c r="V1573" s="3">
        <f t="shared" si="193"/>
        <v>1.8475360000000001</v>
      </c>
      <c r="Z1573" s="1">
        <v>2010.9583</v>
      </c>
      <c r="AA1573" s="2">
        <f t="shared" si="197"/>
        <v>0.40137400000000001</v>
      </c>
      <c r="AB1573">
        <v>20.0687</v>
      </c>
      <c r="AE1573">
        <v>2010.9166666665476</v>
      </c>
      <c r="AF1573">
        <v>0.29706728726524978</v>
      </c>
    </row>
    <row r="1574" spans="4:32" x14ac:dyDescent="0.35">
      <c r="D1574">
        <v>0.40604799999999996</v>
      </c>
      <c r="M1574">
        <f t="shared" si="198"/>
        <v>1573</v>
      </c>
      <c r="N1574">
        <f t="shared" si="199"/>
        <v>2010.9999999998809</v>
      </c>
      <c r="O1574">
        <f t="shared" si="194"/>
        <v>36.637715116165623</v>
      </c>
      <c r="P1574">
        <f t="array" ref="P1574">+SUM($G$2:$G$18*SIN(2*PI()*(N1574)*$B$1/$F$2:$F$18+$H$2:$H$18))</f>
        <v>0.15050985612491527</v>
      </c>
      <c r="Q1574">
        <f t="shared" si="195"/>
        <v>5.5143372308797209</v>
      </c>
      <c r="R1574">
        <f t="shared" si="196"/>
        <v>2.0422608887675511E-2</v>
      </c>
      <c r="S1574">
        <f t="array" ref="S1574">+$B$2*SIN(R1574*$B$3+$B$4)+0*R1574+ SUM($J$2:$J$20*SIN(2*PI()*N1574*$I$2:$I$20+$K$2:$K$20))</f>
        <v>0.68489248916955969</v>
      </c>
      <c r="U1574" s="3">
        <f t="shared" si="192"/>
        <v>2010.9999999998809</v>
      </c>
      <c r="V1574" s="3">
        <f t="shared" si="193"/>
        <v>2.0629119999999999</v>
      </c>
      <c r="Z1574" s="1">
        <v>2011.0417</v>
      </c>
      <c r="AA1574" s="2">
        <f t="shared" si="197"/>
        <v>0.45515800000000001</v>
      </c>
      <c r="AB1574">
        <v>22.757899999999999</v>
      </c>
      <c r="AE1574">
        <v>2010.9999999998809</v>
      </c>
      <c r="AF1574">
        <v>0.68489248916955969</v>
      </c>
    </row>
    <row r="1575" spans="4:32" x14ac:dyDescent="0.35">
      <c r="D1575">
        <v>0.40137400000000001</v>
      </c>
      <c r="M1575">
        <f t="shared" si="198"/>
        <v>1574</v>
      </c>
      <c r="N1575">
        <f t="shared" si="199"/>
        <v>2011.0833333332141</v>
      </c>
      <c r="O1575">
        <f t="shared" si="194"/>
        <v>0</v>
      </c>
      <c r="P1575">
        <f t="array" ref="P1575">+SUM($G$2:$G$18*SIN(2*PI()*(N1575)*$B$1/$F$2:$F$18+$H$2:$H$18))</f>
        <v>-0.28175828425204197</v>
      </c>
      <c r="Q1575">
        <f t="shared" si="195"/>
        <v>0</v>
      </c>
      <c r="R1575">
        <f t="shared" si="196"/>
        <v>2.0391196037042952E-2</v>
      </c>
      <c r="S1575">
        <f t="array" ref="S1575">+$B$2*SIN(R1575*$B$3+$B$4)+0*R1575+ SUM($J$2:$J$20*SIN(2*PI()*N1575*$I$2:$I$20+$K$2:$K$20))</f>
        <v>0.6867268793153265</v>
      </c>
      <c r="U1575" s="3">
        <f t="shared" si="192"/>
        <v>2011.0833333332141</v>
      </c>
      <c r="V1575" s="3">
        <f t="shared" si="193"/>
        <v>1.7875159999999999</v>
      </c>
      <c r="Z1575" s="1">
        <v>2011.125</v>
      </c>
      <c r="AA1575" s="2">
        <f t="shared" si="197"/>
        <v>0.41048200000000001</v>
      </c>
      <c r="AB1575">
        <v>20.524100000000001</v>
      </c>
      <c r="AE1575">
        <v>2011.0833333332141</v>
      </c>
      <c r="AF1575">
        <v>0.6867268793153265</v>
      </c>
    </row>
    <row r="1576" spans="4:32" x14ac:dyDescent="0.35">
      <c r="D1576">
        <v>0.45515800000000001</v>
      </c>
      <c r="M1576">
        <f t="shared" si="198"/>
        <v>1575</v>
      </c>
      <c r="N1576">
        <f t="shared" si="199"/>
        <v>2011.1666666665474</v>
      </c>
      <c r="O1576">
        <f t="shared" si="194"/>
        <v>0</v>
      </c>
      <c r="P1576">
        <f t="array" ref="P1576">+SUM($G$2:$G$18*SIN(2*PI()*(N1576)*$B$1/$F$2:$F$18+$H$2:$H$18))</f>
        <v>-0.61934889049498054</v>
      </c>
      <c r="Q1576">
        <f t="shared" si="195"/>
        <v>0</v>
      </c>
      <c r="R1576">
        <f t="shared" si="196"/>
        <v>2.0359831503801686E-2</v>
      </c>
      <c r="S1576">
        <f t="array" ref="S1576">+$B$2*SIN(R1576*$B$3+$B$4)+0*R1576+ SUM($J$2:$J$20*SIN(2*PI()*N1576*$I$2:$I$20+$K$2:$K$20))</f>
        <v>0.68853449883138895</v>
      </c>
      <c r="U1576" s="3">
        <f t="shared" si="192"/>
        <v>2011.1666666665474</v>
      </c>
      <c r="V1576" s="3">
        <f t="shared" si="193"/>
        <v>1.6490400000000001</v>
      </c>
      <c r="Z1576" s="1">
        <v>2011.2083</v>
      </c>
      <c r="AA1576" s="2">
        <f t="shared" si="197"/>
        <v>0.32734400000000002</v>
      </c>
      <c r="AB1576">
        <v>16.3672</v>
      </c>
      <c r="AE1576">
        <v>2011.1666666665474</v>
      </c>
      <c r="AF1576">
        <v>0.68853449883138895</v>
      </c>
    </row>
    <row r="1577" spans="4:32" x14ac:dyDescent="0.35">
      <c r="D1577">
        <v>0.41048200000000001</v>
      </c>
      <c r="M1577">
        <f t="shared" si="198"/>
        <v>1576</v>
      </c>
      <c r="N1577">
        <f t="shared" si="199"/>
        <v>2011.2499999998806</v>
      </c>
      <c r="O1577">
        <f t="shared" si="194"/>
        <v>0</v>
      </c>
      <c r="P1577">
        <f t="array" ref="P1577">+SUM($G$2:$G$18*SIN(2*PI()*(N1577)*$B$1/$F$2:$F$18+$H$2:$H$18))</f>
        <v>-0.40726652199256824</v>
      </c>
      <c r="Q1577">
        <f t="shared" si="195"/>
        <v>0</v>
      </c>
      <c r="R1577">
        <f t="shared" si="196"/>
        <v>2.0328515213632756E-2</v>
      </c>
      <c r="S1577">
        <f t="array" ref="S1577">+$B$2*SIN(R1577*$B$3+$B$4)+0*R1577+ SUM($J$2:$J$20*SIN(2*PI()*N1577*$I$2:$I$20+$K$2:$K$20))</f>
        <v>0.69031539966584654</v>
      </c>
      <c r="U1577" s="3">
        <f t="shared" si="192"/>
        <v>2011.2499999998806</v>
      </c>
      <c r="V1577" s="3">
        <f t="shared" si="193"/>
        <v>1.3674879999999998</v>
      </c>
      <c r="Z1577" s="1">
        <v>2011.2917</v>
      </c>
      <c r="AA1577" s="2">
        <f t="shared" si="197"/>
        <v>0.34112200000000004</v>
      </c>
      <c r="AB1577">
        <v>17.056100000000001</v>
      </c>
      <c r="AE1577">
        <v>2011.2499999998806</v>
      </c>
      <c r="AF1577">
        <v>0.69031539966584654</v>
      </c>
    </row>
    <row r="1578" spans="4:32" x14ac:dyDescent="0.35">
      <c r="D1578">
        <v>0.32734400000000002</v>
      </c>
      <c r="M1578">
        <f t="shared" si="198"/>
        <v>1577</v>
      </c>
      <c r="N1578">
        <f t="shared" si="199"/>
        <v>2011.3333333332139</v>
      </c>
      <c r="O1578">
        <f t="shared" si="194"/>
        <v>0</v>
      </c>
      <c r="P1578">
        <f t="array" ref="P1578">+SUM($G$2:$G$18*SIN(2*PI()*(N1578)*$B$1/$F$2:$F$18+$H$2:$H$18))</f>
        <v>-0.10816824596166751</v>
      </c>
      <c r="Q1578">
        <f t="shared" si="195"/>
        <v>0</v>
      </c>
      <c r="R1578">
        <f t="shared" si="196"/>
        <v>2.0297247092331518E-2</v>
      </c>
      <c r="S1578">
        <f t="array" ref="S1578">+$B$2*SIN(R1578*$B$3+$B$4)+0*R1578+ SUM($J$2:$J$20*SIN(2*PI()*N1578*$I$2:$I$20+$K$2:$K$20))</f>
        <v>0.69206963477304595</v>
      </c>
      <c r="U1578" s="3">
        <f t="shared" si="192"/>
        <v>2011.3333333332139</v>
      </c>
      <c r="V1578" s="3">
        <f t="shared" si="193"/>
        <v>1.464396</v>
      </c>
      <c r="Z1578" s="1">
        <v>2011.375</v>
      </c>
      <c r="AA1578" s="2">
        <f t="shared" si="197"/>
        <v>0.26105800000000001</v>
      </c>
      <c r="AB1578">
        <v>13.052899999999999</v>
      </c>
      <c r="AE1578">
        <v>2011.3333333332139</v>
      </c>
      <c r="AF1578">
        <v>0.69206963477304595</v>
      </c>
    </row>
    <row r="1579" spans="4:32" x14ac:dyDescent="0.35">
      <c r="D1579">
        <v>0.34112200000000004</v>
      </c>
      <c r="M1579">
        <f t="shared" si="198"/>
        <v>1578</v>
      </c>
      <c r="N1579">
        <f t="shared" si="199"/>
        <v>2011.4166666665471</v>
      </c>
      <c r="O1579">
        <f t="shared" si="194"/>
        <v>0</v>
      </c>
      <c r="P1579">
        <f t="array" ref="P1579">+SUM($G$2:$G$18*SIN(2*PI()*(N1579)*$B$1/$F$2:$F$18+$H$2:$H$18))</f>
        <v>-2.9227776791317508E-2</v>
      </c>
      <c r="Q1579">
        <f t="shared" si="195"/>
        <v>0</v>
      </c>
      <c r="R1579">
        <f t="shared" si="196"/>
        <v>2.0266027065807466E-2</v>
      </c>
      <c r="S1579">
        <f t="array" ref="S1579">+$B$2*SIN(R1579*$B$3+$B$4)+0*R1579+ SUM($J$2:$J$20*SIN(2*PI()*N1579*$I$2:$I$20+$K$2:$K$20))</f>
        <v>0.69379725810057835</v>
      </c>
      <c r="U1579" s="3">
        <f t="shared" si="192"/>
        <v>2011.4166666665471</v>
      </c>
      <c r="V1579" s="3">
        <f t="shared" si="193"/>
        <v>1.3813</v>
      </c>
      <c r="Z1579" s="1">
        <v>2011.4583</v>
      </c>
      <c r="AA1579" s="2">
        <f t="shared" si="197"/>
        <v>-6.2084E-2</v>
      </c>
      <c r="AB1579">
        <v>-3.1042000000000001</v>
      </c>
      <c r="AE1579">
        <v>2011.4166666665471</v>
      </c>
      <c r="AF1579">
        <v>0.69379725810057835</v>
      </c>
    </row>
    <row r="1580" spans="4:32" x14ac:dyDescent="0.35">
      <c r="D1580">
        <v>0.26105800000000001</v>
      </c>
      <c r="M1580">
        <f t="shared" si="198"/>
        <v>1579</v>
      </c>
      <c r="N1580">
        <f t="shared" si="199"/>
        <v>2011.4999999998804</v>
      </c>
      <c r="O1580">
        <f t="shared" si="194"/>
        <v>0</v>
      </c>
      <c r="P1580">
        <f t="array" ref="P1580">+SUM($G$2:$G$18*SIN(2*PI()*(N1580)*$B$1/$F$2:$F$18+$H$2:$H$18))</f>
        <v>0.17224522493066435</v>
      </c>
      <c r="Q1580">
        <f t="shared" si="195"/>
        <v>0</v>
      </c>
      <c r="R1580">
        <f t="shared" si="196"/>
        <v>2.0234855060084055E-2</v>
      </c>
      <c r="S1580">
        <f t="array" ref="S1580">+$B$2*SIN(R1580*$B$3+$B$4)+0*R1580+ SUM($J$2:$J$20*SIN(2*PI()*N1580*$I$2:$I$20+$K$2:$K$20))</f>
        <v>0.69549832457634075</v>
      </c>
      <c r="U1580" s="3">
        <f t="shared" si="192"/>
        <v>2011.4999999998804</v>
      </c>
      <c r="V1580" s="3">
        <f t="shared" si="193"/>
        <v>1.278208</v>
      </c>
      <c r="Z1580" s="1">
        <v>2011.5417</v>
      </c>
      <c r="AA1580" s="2">
        <f t="shared" si="197"/>
        <v>0.16861599999999999</v>
      </c>
      <c r="AB1580">
        <v>8.4307999999999996</v>
      </c>
      <c r="AE1580">
        <v>2011.4999999998804</v>
      </c>
      <c r="AF1580">
        <v>0.69549832457634075</v>
      </c>
    </row>
    <row r="1581" spans="4:32" x14ac:dyDescent="0.35">
      <c r="D1581">
        <v>-6.2084E-2</v>
      </c>
      <c r="M1581">
        <f t="shared" si="198"/>
        <v>1580</v>
      </c>
      <c r="N1581">
        <f t="shared" si="199"/>
        <v>2011.5833333332137</v>
      </c>
      <c r="O1581">
        <f t="shared" si="194"/>
        <v>0</v>
      </c>
      <c r="P1581">
        <f t="array" ref="P1581">+SUM($G$2:$G$18*SIN(2*PI()*(N1581)*$B$1/$F$2:$F$18+$H$2:$H$18))</f>
        <v>0.32031679694551396</v>
      </c>
      <c r="Q1581">
        <f t="shared" si="195"/>
        <v>0</v>
      </c>
      <c r="R1581">
        <f t="shared" si="196"/>
        <v>2.0203731001298526E-2</v>
      </c>
      <c r="S1581">
        <f t="array" ref="S1581">+$B$2*SIN(R1581*$B$3+$B$4)+0*R1581+ SUM($J$2:$J$20*SIN(2*PI()*N1581*$I$2:$I$20+$K$2:$K$20))</f>
        <v>0.69717289009566574</v>
      </c>
      <c r="U1581" s="3">
        <f t="shared" si="192"/>
        <v>2011.5833333332137</v>
      </c>
      <c r="V1581" s="3">
        <f t="shared" si="193"/>
        <v>1.0828060000000002</v>
      </c>
      <c r="Z1581" s="1">
        <v>2011.625</v>
      </c>
      <c r="AA1581" s="2">
        <f t="shared" si="197"/>
        <v>2.5472000000000002E-2</v>
      </c>
      <c r="AB1581">
        <v>1.2736000000000001</v>
      </c>
      <c r="AE1581">
        <v>2011.5833333332137</v>
      </c>
      <c r="AF1581">
        <v>0.69717289009566574</v>
      </c>
    </row>
    <row r="1582" spans="4:32" x14ac:dyDescent="0.35">
      <c r="D1582">
        <v>0.16861599999999999</v>
      </c>
      <c r="M1582">
        <f t="shared" si="198"/>
        <v>1581</v>
      </c>
      <c r="N1582">
        <f t="shared" si="199"/>
        <v>2011.6666666665469</v>
      </c>
      <c r="O1582">
        <f t="shared" si="194"/>
        <v>0</v>
      </c>
      <c r="P1582">
        <f t="array" ref="P1582">+SUM($G$2:$G$18*SIN(2*PI()*(N1582)*$B$1/$F$2:$F$18+$H$2:$H$18))</f>
        <v>0.12343052453446431</v>
      </c>
      <c r="Q1582">
        <f t="shared" si="195"/>
        <v>0</v>
      </c>
      <c r="R1582">
        <f t="shared" si="196"/>
        <v>2.017265481570173E-2</v>
      </c>
      <c r="S1582">
        <f t="array" ref="S1582">+$B$2*SIN(R1582*$B$3+$B$4)+0*R1582+ SUM($J$2:$J$20*SIN(2*PI()*N1582*$I$2:$I$20+$K$2:$K$20))</f>
        <v>0.69882101150851705</v>
      </c>
      <c r="U1582" s="3">
        <f t="shared" si="192"/>
        <v>2011.6666666665469</v>
      </c>
      <c r="V1582" s="3">
        <f t="shared" si="193"/>
        <v>1.1720140000000001</v>
      </c>
      <c r="Z1582" s="1">
        <v>2011.7083</v>
      </c>
      <c r="AA1582" s="2">
        <f t="shared" si="197"/>
        <v>2.2326000000000002E-2</v>
      </c>
      <c r="AB1582">
        <v>1.1163000000000001</v>
      </c>
      <c r="AE1582">
        <v>2011.6666666665469</v>
      </c>
      <c r="AF1582">
        <v>0.69882101150851705</v>
      </c>
    </row>
    <row r="1583" spans="4:32" x14ac:dyDescent="0.35">
      <c r="D1583">
        <v>2.5472000000000002E-2</v>
      </c>
      <c r="M1583">
        <f t="shared" si="198"/>
        <v>1582</v>
      </c>
      <c r="N1583">
        <f t="shared" si="199"/>
        <v>2011.7499999998802</v>
      </c>
      <c r="O1583">
        <f t="shared" si="194"/>
        <v>0</v>
      </c>
      <c r="P1583">
        <f t="array" ref="P1583">+SUM($G$2:$G$18*SIN(2*PI()*(N1583)*$B$1/$F$2:$F$18+$H$2:$H$18))</f>
        <v>-0.28085964501319138</v>
      </c>
      <c r="Q1583">
        <f t="shared" si="195"/>
        <v>0</v>
      </c>
      <c r="R1583">
        <f t="shared" si="196"/>
        <v>2.0141626429657954E-2</v>
      </c>
      <c r="S1583">
        <f t="array" ref="S1583">+$B$2*SIN(R1583*$B$3+$B$4)+0*R1583+ SUM($J$2:$J$20*SIN(2*PI()*N1583*$I$2:$I$20+$K$2:$K$20))</f>
        <v>0.70044274660675199</v>
      </c>
      <c r="U1583" s="3">
        <f t="shared" si="192"/>
        <v>2011.7499999998802</v>
      </c>
      <c r="V1583" s="3">
        <f t="shared" si="193"/>
        <v>0.98737799999999998</v>
      </c>
      <c r="Z1583" s="1">
        <v>2011.7917</v>
      </c>
      <c r="AA1583" s="2">
        <f t="shared" si="197"/>
        <v>0.34994599999999998</v>
      </c>
      <c r="AB1583">
        <v>17.497299999999999</v>
      </c>
      <c r="AE1583">
        <v>2011.7499999998802</v>
      </c>
      <c r="AF1583">
        <v>0.70044274660675199</v>
      </c>
    </row>
    <row r="1584" spans="4:32" x14ac:dyDescent="0.35">
      <c r="D1584">
        <v>2.2326000000000002E-2</v>
      </c>
      <c r="M1584">
        <f t="shared" si="198"/>
        <v>1583</v>
      </c>
      <c r="N1584">
        <f t="shared" si="199"/>
        <v>2011.8333333332134</v>
      </c>
      <c r="O1584">
        <f t="shared" si="194"/>
        <v>0</v>
      </c>
      <c r="P1584">
        <f t="array" ref="P1584">+SUM($G$2:$G$18*SIN(2*PI()*(N1584)*$B$1/$F$2:$F$18+$H$2:$H$18))</f>
        <v>-0.70730070476690798</v>
      </c>
      <c r="Q1584">
        <f t="shared" si="195"/>
        <v>0</v>
      </c>
      <c r="R1584">
        <f t="shared" si="196"/>
        <v>2.0110645769644754E-2</v>
      </c>
      <c r="S1584">
        <f t="array" ref="S1584">+$B$2*SIN(R1584*$B$3+$B$4)+0*R1584+ SUM($J$2:$J$20*SIN(2*PI()*N1584*$I$2:$I$20+$K$2:$K$20))</f>
        <v>0.70203815411145165</v>
      </c>
      <c r="U1584" s="3">
        <f t="shared" si="192"/>
        <v>2011.8333333332134</v>
      </c>
      <c r="V1584" s="3">
        <f t="shared" si="193"/>
        <v>0.76120399999999999</v>
      </c>
      <c r="Z1584" s="1">
        <v>2011.875</v>
      </c>
      <c r="AA1584" s="2">
        <f t="shared" si="197"/>
        <v>0.22218199999999999</v>
      </c>
      <c r="AB1584">
        <v>11.1091</v>
      </c>
      <c r="AE1584">
        <v>2011.8333333332134</v>
      </c>
      <c r="AF1584">
        <v>0.70203815411145165</v>
      </c>
    </row>
    <row r="1585" spans="4:32" x14ac:dyDescent="0.35">
      <c r="D1585">
        <v>0.34994599999999998</v>
      </c>
      <c r="M1585">
        <f t="shared" si="198"/>
        <v>1584</v>
      </c>
      <c r="N1585">
        <f t="shared" si="199"/>
        <v>2011.9166666665467</v>
      </c>
      <c r="O1585">
        <f t="shared" si="194"/>
        <v>0</v>
      </c>
      <c r="P1585">
        <f t="array" ref="P1585">+SUM($G$2:$G$18*SIN(2*PI()*(N1585)*$B$1/$F$2:$F$18+$H$2:$H$18))</f>
        <v>-0.73358279803123838</v>
      </c>
      <c r="Q1585">
        <f t="shared" si="195"/>
        <v>0</v>
      </c>
      <c r="R1585">
        <f t="shared" si="196"/>
        <v>2.0079712762252767E-2</v>
      </c>
      <c r="S1585">
        <f t="array" ref="S1585">+$B$2*SIN(R1585*$B$3+$B$4)+0*R1585+ SUM($J$2:$J$20*SIN(2*PI()*N1585*$I$2:$I$20+$K$2:$K$20))</f>
        <v>0.70360729366031949</v>
      </c>
      <c r="U1585" s="3">
        <f t="shared" si="192"/>
        <v>2011.9166666665467</v>
      </c>
      <c r="V1585" s="3">
        <f t="shared" si="193"/>
        <v>0.39964</v>
      </c>
      <c r="Z1585" s="1">
        <v>2011.9583</v>
      </c>
      <c r="AA1585" s="2">
        <f t="shared" si="197"/>
        <v>0.35595599999999999</v>
      </c>
      <c r="AB1585">
        <v>17.797799999999999</v>
      </c>
      <c r="AE1585">
        <v>2011.9166666665467</v>
      </c>
      <c r="AF1585">
        <v>0.70360729366031949</v>
      </c>
    </row>
    <row r="1586" spans="4:32" x14ac:dyDescent="0.35">
      <c r="D1586">
        <v>0.22218199999999999</v>
      </c>
      <c r="M1586">
        <f t="shared" si="198"/>
        <v>1585</v>
      </c>
      <c r="N1586">
        <f t="shared" si="199"/>
        <v>2011.9999999998799</v>
      </c>
      <c r="O1586">
        <f t="shared" si="194"/>
        <v>36.637715116165623</v>
      </c>
      <c r="P1586">
        <f t="array" ref="P1586">+SUM($G$2:$G$18*SIN(2*PI()*(N1586)*$B$1/$F$2:$F$18+$H$2:$H$18))</f>
        <v>-0.2994114665438119</v>
      </c>
      <c r="Q1586">
        <f t="shared" si="195"/>
        <v>-10.969752013745534</v>
      </c>
      <c r="R1586">
        <f t="shared" si="196"/>
        <v>3.1758027671842416E-3</v>
      </c>
      <c r="S1586">
        <f t="array" ref="S1586">+$B$2*SIN(R1586*$B$3+$B$4)+0*R1586+ SUM($J$2:$J$20*SIN(2*PI()*N1586*$I$2:$I$20+$K$2:$K$20))</f>
        <v>-0.71372287288762559</v>
      </c>
      <c r="U1586" s="3">
        <f t="shared" si="192"/>
        <v>2011.9999999998799</v>
      </c>
      <c r="V1586" s="3">
        <f t="shared" si="193"/>
        <v>0.48269199999999995</v>
      </c>
      <c r="Z1586" s="1">
        <v>2012.0417</v>
      </c>
      <c r="AA1586" s="2">
        <f t="shared" si="197"/>
        <v>0.27588000000000001</v>
      </c>
      <c r="AB1586">
        <v>13.794</v>
      </c>
      <c r="AE1586">
        <v>2011.9999999998799</v>
      </c>
      <c r="AF1586">
        <v>-0.71372287288762559</v>
      </c>
    </row>
    <row r="1587" spans="4:32" x14ac:dyDescent="0.35">
      <c r="D1587">
        <v>0.35595599999999999</v>
      </c>
      <c r="M1587">
        <f t="shared" si="198"/>
        <v>1586</v>
      </c>
      <c r="N1587">
        <f t="shared" si="199"/>
        <v>2012.0833333332132</v>
      </c>
      <c r="O1587">
        <f t="shared" si="194"/>
        <v>0</v>
      </c>
      <c r="P1587">
        <f t="array" ref="P1587">+SUM($G$2:$G$18*SIN(2*PI()*(N1587)*$B$1/$F$2:$F$18+$H$2:$H$18))</f>
        <v>-3.5930029109375039E-2</v>
      </c>
      <c r="Q1587">
        <f t="shared" si="195"/>
        <v>0</v>
      </c>
      <c r="R1587">
        <f t="shared" si="196"/>
        <v>3.1709179349616438E-3</v>
      </c>
      <c r="S1587">
        <f t="array" ref="S1587">+$B$2*SIN(R1587*$B$3+$B$4)+0*R1587+ SUM($J$2:$J$20*SIN(2*PI()*N1587*$I$2:$I$20+$K$2:$K$20))</f>
        <v>-0.713942465962767</v>
      </c>
      <c r="U1587" s="3">
        <f t="shared" si="192"/>
        <v>2012.0833333332132</v>
      </c>
      <c r="V1587" s="3">
        <f t="shared" si="193"/>
        <v>0.39497599999999999</v>
      </c>
      <c r="Z1587" s="1">
        <v>2012.125</v>
      </c>
      <c r="AA1587" s="2">
        <f t="shared" si="197"/>
        <v>0.177344</v>
      </c>
      <c r="AB1587">
        <v>8.8672000000000004</v>
      </c>
      <c r="AE1587">
        <v>2012.0833333332132</v>
      </c>
      <c r="AF1587">
        <v>-0.713942465962767</v>
      </c>
    </row>
    <row r="1588" spans="4:32" x14ac:dyDescent="0.35">
      <c r="D1588">
        <v>0.27588000000000001</v>
      </c>
      <c r="M1588">
        <f t="shared" si="198"/>
        <v>1587</v>
      </c>
      <c r="N1588">
        <f t="shared" si="199"/>
        <v>2012.1666666665465</v>
      </c>
      <c r="O1588">
        <f t="shared" si="194"/>
        <v>0</v>
      </c>
      <c r="P1588">
        <f t="array" ref="P1588">+SUM($G$2:$G$18*SIN(2*PI()*(N1588)*$B$1/$F$2:$F$18+$H$2:$H$18))</f>
        <v>5.3120509646815389E-2</v>
      </c>
      <c r="Q1588">
        <f t="shared" si="195"/>
        <v>0</v>
      </c>
      <c r="R1588">
        <f t="shared" si="196"/>
        <v>3.1660406162994253E-3</v>
      </c>
      <c r="S1588">
        <f t="array" ref="S1588">+$B$2*SIN(R1588*$B$3+$B$4)+0*R1588+ SUM($J$2:$J$20*SIN(2*PI()*N1588*$I$2:$I$20+$K$2:$K$20))</f>
        <v>-0.71416111919260816</v>
      </c>
      <c r="U1588" s="3">
        <f t="shared" si="192"/>
        <v>2012.1666666665465</v>
      </c>
      <c r="V1588" s="3">
        <f t="shared" si="193"/>
        <v>0.27494800000000003</v>
      </c>
      <c r="Z1588" s="1">
        <v>2012.2083</v>
      </c>
      <c r="AA1588" s="2">
        <f t="shared" si="197"/>
        <v>0.300346</v>
      </c>
      <c r="AB1588">
        <v>15.017300000000001</v>
      </c>
      <c r="AE1588">
        <v>2012.1666666665465</v>
      </c>
      <c r="AF1588">
        <v>-0.71416111919260816</v>
      </c>
    </row>
    <row r="1589" spans="4:32" x14ac:dyDescent="0.35">
      <c r="D1589">
        <v>0.177344</v>
      </c>
      <c r="M1589">
        <f t="shared" si="198"/>
        <v>1588</v>
      </c>
      <c r="N1589">
        <f t="shared" si="199"/>
        <v>2012.2499999998797</v>
      </c>
      <c r="O1589">
        <f t="shared" si="194"/>
        <v>0</v>
      </c>
      <c r="P1589">
        <f t="array" ref="P1589">+SUM($G$2:$G$18*SIN(2*PI()*(N1589)*$B$1/$F$2:$F$18+$H$2:$H$18))</f>
        <v>0.29480028549040438</v>
      </c>
      <c r="Q1589">
        <f t="shared" si="195"/>
        <v>0</v>
      </c>
      <c r="R1589">
        <f t="shared" si="196"/>
        <v>3.161170799640671E-3</v>
      </c>
      <c r="S1589">
        <f t="array" ref="S1589">+$B$2*SIN(R1589*$B$3+$B$4)+0*R1589+ SUM($J$2:$J$20*SIN(2*PI()*N1589*$I$2:$I$20+$K$2:$K$20))</f>
        <v>-0.71437883568967964</v>
      </c>
      <c r="U1589" s="3">
        <f t="shared" si="192"/>
        <v>2012.2499999998797</v>
      </c>
      <c r="V1589" s="3">
        <f t="shared" si="193"/>
        <v>0.307228</v>
      </c>
      <c r="Z1589" s="1">
        <v>2012.2917</v>
      </c>
      <c r="AA1589" s="2">
        <f t="shared" si="197"/>
        <v>0.417188</v>
      </c>
      <c r="AB1589">
        <v>20.859400000000001</v>
      </c>
      <c r="AE1589">
        <v>2012.2499999998797</v>
      </c>
      <c r="AF1589">
        <v>-0.71437883568967964</v>
      </c>
    </row>
    <row r="1590" spans="4:32" x14ac:dyDescent="0.35">
      <c r="D1590">
        <v>0.300346</v>
      </c>
      <c r="M1590">
        <f t="shared" si="198"/>
        <v>1589</v>
      </c>
      <c r="N1590">
        <f t="shared" si="199"/>
        <v>2012.333333333213</v>
      </c>
      <c r="O1590">
        <f t="shared" si="194"/>
        <v>0</v>
      </c>
      <c r="P1590">
        <f t="array" ref="P1590">+SUM($G$2:$G$18*SIN(2*PI()*(N1590)*$B$1/$F$2:$F$18+$H$2:$H$18))</f>
        <v>0.30429314705474159</v>
      </c>
      <c r="Q1590">
        <f t="shared" si="195"/>
        <v>0</v>
      </c>
      <c r="R1590">
        <f t="shared" si="196"/>
        <v>3.1563084734462423E-3</v>
      </c>
      <c r="S1590">
        <f t="array" ref="S1590">+$B$2*SIN(R1590*$B$3+$B$4)+0*R1590+ SUM($J$2:$J$20*SIN(2*PI()*N1590*$I$2:$I$20+$K$2:$K$20))</f>
        <v>-0.71459561855795084</v>
      </c>
      <c r="U1590" s="3">
        <f t="shared" si="192"/>
        <v>2012.333333333213</v>
      </c>
      <c r="V1590" s="3">
        <f t="shared" si="193"/>
        <v>0.250278</v>
      </c>
      <c r="Z1590" s="1">
        <v>2012.375</v>
      </c>
      <c r="AA1590" s="2">
        <f t="shared" si="197"/>
        <v>0.38480400000000003</v>
      </c>
      <c r="AB1590">
        <v>19.240200000000002</v>
      </c>
      <c r="AE1590">
        <v>2012.333333333213</v>
      </c>
      <c r="AF1590">
        <v>-0.71459561855795084</v>
      </c>
    </row>
    <row r="1591" spans="4:32" x14ac:dyDescent="0.35">
      <c r="D1591">
        <v>0.417188</v>
      </c>
      <c r="M1591">
        <f t="shared" si="198"/>
        <v>1590</v>
      </c>
      <c r="N1591">
        <f t="shared" si="199"/>
        <v>2012.4166666665462</v>
      </c>
      <c r="O1591">
        <f t="shared" si="194"/>
        <v>0</v>
      </c>
      <c r="P1591">
        <f t="array" ref="P1591">+SUM($G$2:$G$18*SIN(2*PI()*(N1591)*$B$1/$F$2:$F$18+$H$2:$H$18))</f>
        <v>-0.10103689301839822</v>
      </c>
      <c r="Q1591">
        <f t="shared" si="195"/>
        <v>0</v>
      </c>
      <c r="R1591">
        <f t="shared" si="196"/>
        <v>3.1514536261947495E-3</v>
      </c>
      <c r="S1591">
        <f t="array" ref="S1591">+$B$2*SIN(R1591*$B$3+$B$4)+0*R1591+ SUM($J$2:$J$20*SIN(2*PI()*N1591*$I$2:$I$20+$K$2:$K$20))</f>
        <v>-0.71481147089284558</v>
      </c>
      <c r="U1591" s="3">
        <f t="shared" si="192"/>
        <v>2012.4166666665462</v>
      </c>
      <c r="V1591" s="3">
        <f t="shared" si="193"/>
        <v>-0.26513999999999999</v>
      </c>
      <c r="Z1591" s="1">
        <v>2012.4583</v>
      </c>
      <c r="AA1591" s="2">
        <f t="shared" si="197"/>
        <v>0.49703200000000003</v>
      </c>
      <c r="AB1591">
        <v>24.851600000000001</v>
      </c>
      <c r="AE1591">
        <v>2012.4166666665462</v>
      </c>
      <c r="AF1591">
        <v>-0.71481147089284558</v>
      </c>
    </row>
    <row r="1592" spans="4:32" x14ac:dyDescent="0.35">
      <c r="D1592">
        <v>0.38480400000000003</v>
      </c>
      <c r="M1592">
        <f t="shared" si="198"/>
        <v>1591</v>
      </c>
      <c r="N1592">
        <f t="shared" si="199"/>
        <v>2012.4999999998795</v>
      </c>
      <c r="O1592">
        <f t="shared" si="194"/>
        <v>0</v>
      </c>
      <c r="P1592">
        <f t="array" ref="P1592">+SUM($G$2:$G$18*SIN(2*PI()*(N1592)*$B$1/$F$2:$F$18+$H$2:$H$18))</f>
        <v>-0.57610327615877022</v>
      </c>
      <c r="Q1592">
        <f t="shared" si="195"/>
        <v>0</v>
      </c>
      <c r="R1592">
        <f t="shared" si="196"/>
        <v>3.1466062463825243E-3</v>
      </c>
      <c r="S1592">
        <f t="array" ref="S1592">+$B$2*SIN(R1592*$B$3+$B$4)+0*R1592+ SUM($J$2:$J$20*SIN(2*PI()*N1592*$I$2:$I$20+$K$2:$K$20))</f>
        <v>-0.71502639578125726</v>
      </c>
      <c r="U1592" s="3">
        <f t="shared" si="192"/>
        <v>2012.4999999998795</v>
      </c>
      <c r="V1592" s="3">
        <f t="shared" si="193"/>
        <v>-0.36824599999999996</v>
      </c>
      <c r="Z1592" s="1">
        <v>2012.5417</v>
      </c>
      <c r="AA1592" s="2">
        <f t="shared" si="197"/>
        <v>0.42002600000000001</v>
      </c>
      <c r="AB1592">
        <v>21.001300000000001</v>
      </c>
      <c r="AE1592">
        <v>2012.4999999998795</v>
      </c>
      <c r="AF1592">
        <v>-0.71502639578125726</v>
      </c>
    </row>
    <row r="1593" spans="4:32" x14ac:dyDescent="0.35">
      <c r="D1593">
        <v>0.49703200000000003</v>
      </c>
      <c r="M1593">
        <f t="shared" si="198"/>
        <v>1592</v>
      </c>
      <c r="N1593">
        <f t="shared" si="199"/>
        <v>2012.5833333332127</v>
      </c>
      <c r="O1593">
        <f t="shared" si="194"/>
        <v>0</v>
      </c>
      <c r="P1593">
        <f t="array" ref="P1593">+SUM($G$2:$G$18*SIN(2*PI()*(N1593)*$B$1/$F$2:$F$18+$H$2:$H$18))</f>
        <v>-0.80661786405555358</v>
      </c>
      <c r="Q1593">
        <f t="shared" si="195"/>
        <v>0</v>
      </c>
      <c r="R1593">
        <f t="shared" si="196"/>
        <v>3.1417663225235927E-3</v>
      </c>
      <c r="S1593">
        <f t="array" ref="S1593">+$B$2*SIN(R1593*$B$3+$B$4)+0*R1593+ SUM($J$2:$J$20*SIN(2*PI()*N1593*$I$2:$I$20+$K$2:$K$20))</f>
        <v>-0.71524039630156544</v>
      </c>
      <c r="U1593" s="3">
        <f t="shared" si="192"/>
        <v>2012.5833333332127</v>
      </c>
      <c r="V1593" s="3">
        <f t="shared" si="193"/>
        <v>-0.131354</v>
      </c>
      <c r="Z1593" s="1">
        <v>2012.625</v>
      </c>
      <c r="AA1593" s="2">
        <f t="shared" si="197"/>
        <v>5.9945999999999999E-2</v>
      </c>
      <c r="AB1593">
        <v>2.9973000000000001</v>
      </c>
      <c r="AE1593">
        <v>2012.5833333332127</v>
      </c>
      <c r="AF1593">
        <v>-0.71524039630156544</v>
      </c>
    </row>
    <row r="1594" spans="4:32" x14ac:dyDescent="0.35">
      <c r="D1594">
        <v>0.42002600000000001</v>
      </c>
      <c r="M1594">
        <f t="shared" si="198"/>
        <v>1593</v>
      </c>
      <c r="N1594">
        <f t="shared" si="199"/>
        <v>2012.666666666546</v>
      </c>
      <c r="O1594">
        <f t="shared" si="194"/>
        <v>0</v>
      </c>
      <c r="P1594">
        <f t="array" ref="P1594">+SUM($G$2:$G$18*SIN(2*PI()*(N1594)*$B$1/$F$2:$F$18+$H$2:$H$18))</f>
        <v>-0.52722404714692239</v>
      </c>
      <c r="Q1594">
        <f t="shared" si="195"/>
        <v>0</v>
      </c>
      <c r="R1594">
        <f t="shared" si="196"/>
        <v>3.1369338431496479E-3</v>
      </c>
      <c r="S1594">
        <f t="array" ref="S1594">+$B$2*SIN(R1594*$B$3+$B$4)+0*R1594+ SUM($J$2:$J$20*SIN(2*PI()*N1594*$I$2:$I$20+$K$2:$K$20))</f>
        <v>-0.71545347552365035</v>
      </c>
      <c r="U1594" s="3">
        <f t="shared" si="192"/>
        <v>2012.666666666546</v>
      </c>
      <c r="V1594" s="3">
        <f t="shared" si="193"/>
        <v>4.7070000000000001E-2</v>
      </c>
      <c r="Z1594" s="1">
        <v>2012.7083</v>
      </c>
      <c r="AA1594" s="2">
        <f t="shared" si="197"/>
        <v>0.11217000000000001</v>
      </c>
      <c r="AB1594">
        <v>5.6085000000000003</v>
      </c>
      <c r="AE1594">
        <v>2012.666666666546</v>
      </c>
      <c r="AF1594">
        <v>-0.71545347552365035</v>
      </c>
    </row>
    <row r="1595" spans="4:32" x14ac:dyDescent="0.35">
      <c r="D1595">
        <v>5.9945999999999999E-2</v>
      </c>
      <c r="M1595">
        <f t="shared" si="198"/>
        <v>1594</v>
      </c>
      <c r="N1595">
        <f t="shared" si="199"/>
        <v>2012.7499999998793</v>
      </c>
      <c r="O1595">
        <f t="shared" si="194"/>
        <v>0</v>
      </c>
      <c r="P1595">
        <f t="array" ref="P1595">+SUM($G$2:$G$18*SIN(2*PI()*(N1595)*$B$1/$F$2:$F$18+$H$2:$H$18))</f>
        <v>-3.5097987943058309E-2</v>
      </c>
      <c r="Q1595">
        <f t="shared" si="195"/>
        <v>0</v>
      </c>
      <c r="R1595">
        <f t="shared" si="196"/>
        <v>3.1321087968100227E-3</v>
      </c>
      <c r="S1595">
        <f t="array" ref="S1595">+$B$2*SIN(R1595*$B$3+$B$4)+0*R1595+ SUM($J$2:$J$20*SIN(2*PI()*N1595*$I$2:$I$20+$K$2:$K$20))</f>
        <v>-0.71566563650890991</v>
      </c>
      <c r="U1595" s="3">
        <f t="shared" ref="U1595:U1658" si="200">+N1595</f>
        <v>2012.7499999998793</v>
      </c>
      <c r="V1595" s="3">
        <f t="shared" ref="V1595:V1658" si="201">+D1553</f>
        <v>-2.1940000000000002E-3</v>
      </c>
      <c r="Z1595" s="1">
        <v>2012.7917</v>
      </c>
      <c r="AA1595" s="2">
        <f t="shared" si="197"/>
        <v>-0.13560800000000001</v>
      </c>
      <c r="AB1595">
        <v>-6.7804000000000002</v>
      </c>
      <c r="AE1595">
        <v>2012.7499999998793</v>
      </c>
      <c r="AF1595">
        <v>-0.71566563650890991</v>
      </c>
    </row>
    <row r="1596" spans="4:32" x14ac:dyDescent="0.35">
      <c r="D1596">
        <v>0.11217000000000001</v>
      </c>
      <c r="M1596">
        <f t="shared" si="198"/>
        <v>1595</v>
      </c>
      <c r="N1596">
        <f t="shared" si="199"/>
        <v>2012.8333333332125</v>
      </c>
      <c r="O1596">
        <f t="shared" si="194"/>
        <v>0</v>
      </c>
      <c r="P1596">
        <f t="array" ref="P1596">+SUM($G$2:$G$18*SIN(2*PI()*(N1596)*$B$1/$F$2:$F$18+$H$2:$H$18))</f>
        <v>0.15191790354352683</v>
      </c>
      <c r="Q1596">
        <f t="shared" si="195"/>
        <v>0</v>
      </c>
      <c r="R1596">
        <f t="shared" si="196"/>
        <v>3.1272911720716628E-3</v>
      </c>
      <c r="S1596">
        <f t="array" ref="S1596">+$B$2*SIN(R1596*$B$3+$B$4)+0*R1596+ SUM($J$2:$J$20*SIN(2*PI()*N1596*$I$2:$I$20+$K$2:$K$20))</f>
        <v>-0.71587688231027435</v>
      </c>
      <c r="U1596" s="3">
        <f t="shared" si="200"/>
        <v>2012.8333333332125</v>
      </c>
      <c r="V1596" s="3">
        <f t="shared" si="201"/>
        <v>1.008E-2</v>
      </c>
      <c r="Z1596" s="1">
        <v>2012.875</v>
      </c>
      <c r="AA1596" s="2">
        <f t="shared" si="197"/>
        <v>-0.28492400000000001</v>
      </c>
      <c r="AB1596">
        <v>-14.2462</v>
      </c>
      <c r="AE1596">
        <v>2012.8333333332125</v>
      </c>
      <c r="AF1596">
        <v>-0.71587688231027435</v>
      </c>
    </row>
    <row r="1597" spans="4:32" x14ac:dyDescent="0.35">
      <c r="D1597">
        <v>-0.13560800000000001</v>
      </c>
      <c r="M1597">
        <f t="shared" si="198"/>
        <v>1596</v>
      </c>
      <c r="N1597">
        <f t="shared" si="199"/>
        <v>2012.9166666665458</v>
      </c>
      <c r="O1597">
        <f t="shared" si="194"/>
        <v>0</v>
      </c>
      <c r="P1597">
        <f t="array" ref="P1597">+SUM($G$2:$G$18*SIN(2*PI()*(N1597)*$B$1/$F$2:$F$18+$H$2:$H$18))</f>
        <v>0.29998201877296016</v>
      </c>
      <c r="Q1597">
        <f t="shared" si="195"/>
        <v>0</v>
      </c>
      <c r="R1597">
        <f t="shared" si="196"/>
        <v>3.1224809575190996E-3</v>
      </c>
      <c r="S1597">
        <f t="array" ref="S1597">+$B$2*SIN(R1597*$B$3+$B$4)+0*R1597+ SUM($J$2:$J$20*SIN(2*PI()*N1597*$I$2:$I$20+$K$2:$K$20))</f>
        <v>-0.7160872159722228</v>
      </c>
      <c r="U1597" s="3">
        <f t="shared" si="200"/>
        <v>2012.9166666665458</v>
      </c>
      <c r="V1597" s="3">
        <f t="shared" si="201"/>
        <v>0.31157800000000002</v>
      </c>
      <c r="Z1597" s="1">
        <v>2012.9583</v>
      </c>
      <c r="AA1597" s="2">
        <f t="shared" si="197"/>
        <v>-0.31731599999999999</v>
      </c>
      <c r="AB1597">
        <v>-15.8658</v>
      </c>
      <c r="AE1597">
        <v>2012.9166666665458</v>
      </c>
      <c r="AF1597">
        <v>-0.7160872159722228</v>
      </c>
    </row>
    <row r="1598" spans="4:32" x14ac:dyDescent="0.35">
      <c r="D1598">
        <v>-0.28492400000000001</v>
      </c>
      <c r="M1598">
        <f t="shared" si="198"/>
        <v>1597</v>
      </c>
      <c r="N1598">
        <f t="shared" si="199"/>
        <v>2012.999999999879</v>
      </c>
      <c r="O1598">
        <f t="shared" si="194"/>
        <v>36.637715116165623</v>
      </c>
      <c r="P1598">
        <f t="array" ref="P1598">+SUM($G$2:$G$18*SIN(2*PI()*(N1598)*$B$1/$F$2:$F$18+$H$2:$H$18))</f>
        <v>0.50382411181984454</v>
      </c>
      <c r="Q1598">
        <f t="shared" si="195"/>
        <v>18.458964277510638</v>
      </c>
      <c r="R1598">
        <f t="shared" si="196"/>
        <v>3.1510166626960517E-2</v>
      </c>
      <c r="S1598">
        <f t="array" ref="S1598">+$B$2*SIN(R1598*$B$3+$B$4)+0*R1598+ SUM($J$2:$J$20*SIN(2*PI()*N1598*$I$2:$I$20+$K$2:$K$20))</f>
        <v>-0.60956961650205765</v>
      </c>
      <c r="U1598" s="3">
        <f t="shared" si="200"/>
        <v>2012.999999999879</v>
      </c>
      <c r="V1598" s="3">
        <f t="shared" si="201"/>
        <v>7.6158000000000003E-2</v>
      </c>
      <c r="Z1598" s="1">
        <v>2013.0417</v>
      </c>
      <c r="AA1598" s="2">
        <f t="shared" si="197"/>
        <v>-0.25433</v>
      </c>
      <c r="AB1598">
        <v>-12.7165</v>
      </c>
      <c r="AE1598">
        <v>2012.999999999879</v>
      </c>
      <c r="AF1598">
        <v>-0.60956961650205765</v>
      </c>
    </row>
    <row r="1599" spans="4:32" x14ac:dyDescent="0.35">
      <c r="D1599">
        <v>-0.31731599999999999</v>
      </c>
      <c r="M1599">
        <f t="shared" si="198"/>
        <v>1598</v>
      </c>
      <c r="N1599">
        <f t="shared" si="199"/>
        <v>2013.0833333332123</v>
      </c>
      <c r="O1599">
        <f t="shared" si="194"/>
        <v>0</v>
      </c>
      <c r="P1599">
        <f t="array" ref="P1599">+SUM($G$2:$G$18*SIN(2*PI()*(N1599)*$B$1/$F$2:$F$18+$H$2:$H$18))</f>
        <v>0.25193788932095618</v>
      </c>
      <c r="Q1599">
        <f t="shared" si="195"/>
        <v>0</v>
      </c>
      <c r="R1599">
        <f t="shared" si="196"/>
        <v>3.146169954995269E-2</v>
      </c>
      <c r="S1599">
        <f t="array" ref="S1599">+$B$2*SIN(R1599*$B$3+$B$4)+0*R1599+ SUM($J$2:$J$20*SIN(2*PI()*N1599*$I$2:$I$20+$K$2:$K$20))</f>
        <v>-0.60551579230630181</v>
      </c>
      <c r="U1599" s="3">
        <f t="shared" si="200"/>
        <v>2013.0833333332123</v>
      </c>
      <c r="V1599" s="3">
        <f t="shared" si="201"/>
        <v>-6.3879999999999992E-2</v>
      </c>
      <c r="Z1599" s="1">
        <v>2013.125</v>
      </c>
      <c r="AA1599" s="2">
        <f t="shared" si="197"/>
        <v>-0.25134000000000001</v>
      </c>
      <c r="AB1599">
        <v>-12.567</v>
      </c>
      <c r="AE1599">
        <v>2013.0833333332123</v>
      </c>
      <c r="AF1599">
        <v>-0.60551579230630181</v>
      </c>
    </row>
    <row r="1600" spans="4:32" x14ac:dyDescent="0.35">
      <c r="D1600">
        <v>-0.25433</v>
      </c>
      <c r="M1600">
        <f t="shared" si="198"/>
        <v>1599</v>
      </c>
      <c r="N1600">
        <f t="shared" si="199"/>
        <v>2013.1666666665456</v>
      </c>
      <c r="O1600">
        <f t="shared" si="194"/>
        <v>0</v>
      </c>
      <c r="P1600">
        <f t="array" ref="P1600">+SUM($G$2:$G$18*SIN(2*PI()*(N1600)*$B$1/$F$2:$F$18+$H$2:$H$18))</f>
        <v>-0.33399409564701504</v>
      </c>
      <c r="Q1600">
        <f t="shared" si="195"/>
        <v>0</v>
      </c>
      <c r="R1600">
        <f t="shared" si="196"/>
        <v>3.1413307022139778E-2</v>
      </c>
      <c r="S1600">
        <f t="array" ref="S1600">+$B$2*SIN(R1600*$B$3+$B$4)+0*R1600+ SUM($J$2:$J$20*SIN(2*PI()*N1600*$I$2:$I$20+$K$2:$K$20))</f>
        <v>-0.601417933386173</v>
      </c>
      <c r="U1600" s="3">
        <f t="shared" si="200"/>
        <v>2013.1666666665456</v>
      </c>
      <c r="V1600" s="3">
        <f t="shared" si="201"/>
        <v>-0.36392400000000003</v>
      </c>
      <c r="Z1600" s="1">
        <v>2013.2083</v>
      </c>
      <c r="AA1600" s="2">
        <f t="shared" si="197"/>
        <v>-0.228352</v>
      </c>
      <c r="AB1600">
        <v>-11.4176</v>
      </c>
      <c r="AE1600">
        <v>2013.1666666665456</v>
      </c>
      <c r="AF1600">
        <v>-0.601417933386173</v>
      </c>
    </row>
    <row r="1601" spans="4:32" x14ac:dyDescent="0.35">
      <c r="D1601">
        <v>-0.25134000000000001</v>
      </c>
      <c r="M1601">
        <f t="shared" si="198"/>
        <v>1600</v>
      </c>
      <c r="N1601">
        <f t="shared" si="199"/>
        <v>2013.2499999998788</v>
      </c>
      <c r="O1601">
        <f t="shared" si="194"/>
        <v>0</v>
      </c>
      <c r="P1601">
        <f t="array" ref="P1601">+SUM($G$2:$G$18*SIN(2*PI()*(N1601)*$B$1/$F$2:$F$18+$H$2:$H$18))</f>
        <v>-0.70425616075284259</v>
      </c>
      <c r="Q1601">
        <f t="shared" si="195"/>
        <v>0</v>
      </c>
      <c r="R1601">
        <f t="shared" si="196"/>
        <v>3.1364988928854608E-2</v>
      </c>
      <c r="S1601">
        <f t="array" ref="S1601">+$B$2*SIN(R1601*$B$3+$B$4)+0*R1601+ SUM($J$2:$J$20*SIN(2*PI()*N1601*$I$2:$I$20+$K$2:$K$20))</f>
        <v>-0.59727660115473058</v>
      </c>
      <c r="U1601" s="3">
        <f t="shared" si="200"/>
        <v>2013.2499999998788</v>
      </c>
      <c r="V1601" s="3">
        <f t="shared" si="201"/>
        <v>-0.490118</v>
      </c>
      <c r="Z1601" s="1">
        <v>2013.2917</v>
      </c>
      <c r="AA1601" s="2">
        <f t="shared" si="197"/>
        <v>-0.61460000000000004</v>
      </c>
      <c r="AB1601">
        <v>-30.73</v>
      </c>
      <c r="AE1601">
        <v>2013.2499999998788</v>
      </c>
      <c r="AF1601">
        <v>-0.59727660115473058</v>
      </c>
    </row>
    <row r="1602" spans="4:32" x14ac:dyDescent="0.35">
      <c r="D1602">
        <v>-0.228352</v>
      </c>
      <c r="M1602">
        <f t="shared" si="198"/>
        <v>1601</v>
      </c>
      <c r="N1602">
        <f t="shared" si="199"/>
        <v>2013.3333333332121</v>
      </c>
      <c r="O1602">
        <f t="shared" ref="O1602:O1665" si="202">+IF(MOD(M1602,$B$5)=1, $B$6, 0)</f>
        <v>0</v>
      </c>
      <c r="P1602">
        <f t="array" ref="P1602">+SUM($G$2:$G$18*SIN(2*PI()*(N1602)*$B$1/$F$2:$F$18+$H$2:$H$18))</f>
        <v>-0.61789542650727447</v>
      </c>
      <c r="Q1602">
        <f t="shared" si="195"/>
        <v>0</v>
      </c>
      <c r="R1602">
        <f t="shared" si="196"/>
        <v>3.1316745155606396E-2</v>
      </c>
      <c r="S1602">
        <f t="array" ref="S1602">+$B$2*SIN(R1602*$B$3+$B$4)+0*R1602+ SUM($J$2:$J$20*SIN(2*PI()*N1602*$I$2:$I$20+$K$2:$K$20))</f>
        <v>-0.59309235718847253</v>
      </c>
      <c r="U1602" s="3">
        <f t="shared" si="200"/>
        <v>2013.3333333332121</v>
      </c>
      <c r="V1602" s="3">
        <f t="shared" si="201"/>
        <v>-0.49477400000000005</v>
      </c>
      <c r="Z1602" s="1">
        <v>2013.375</v>
      </c>
      <c r="AA1602" s="2">
        <f t="shared" si="197"/>
        <v>-0.63007599999999997</v>
      </c>
      <c r="AB1602">
        <v>-31.503799999999998</v>
      </c>
      <c r="AE1602">
        <v>2013.3333333332121</v>
      </c>
      <c r="AF1602">
        <v>-0.59309235718847253</v>
      </c>
    </row>
    <row r="1603" spans="4:32" x14ac:dyDescent="0.35">
      <c r="D1603">
        <v>-0.61460000000000004</v>
      </c>
      <c r="M1603">
        <f t="shared" si="198"/>
        <v>1602</v>
      </c>
      <c r="N1603">
        <f t="shared" si="199"/>
        <v>2013.4166666665453</v>
      </c>
      <c r="O1603">
        <f t="shared" si="202"/>
        <v>0</v>
      </c>
      <c r="P1603">
        <f t="array" ref="P1603">+SUM($G$2:$G$18*SIN(2*PI()*(N1603)*$B$1/$F$2:$F$18+$H$2:$H$18))</f>
        <v>-0.14180863175766606</v>
      </c>
      <c r="Q1603">
        <f t="shared" ref="Q1603:Q1666" si="203">+O1603*P1603</f>
        <v>0</v>
      </c>
      <c r="R1603">
        <f t="shared" ref="R1603:R1666" si="204">+(1-$B$7)*R1602+($B$7)*Q1603</f>
        <v>3.1268575588080445E-2</v>
      </c>
      <c r="S1603">
        <f t="array" ref="S1603">+$B$2*SIN(R1603*$B$3+$B$4)+0*R1603+ SUM($J$2:$J$20*SIN(2*PI()*N1603*$I$2:$I$20+$K$2:$K$20))</f>
        <v>-0.5888657631588804</v>
      </c>
      <c r="U1603" s="3">
        <f t="shared" si="200"/>
        <v>2013.4166666665453</v>
      </c>
      <c r="V1603" s="3">
        <f t="shared" si="201"/>
        <v>-0.57174400000000003</v>
      </c>
      <c r="Z1603" s="1">
        <v>2013.4583</v>
      </c>
      <c r="AA1603" s="2">
        <f t="shared" ref="AA1603:AA1666" si="205">+AB1603/50</f>
        <v>-0.62863000000000002</v>
      </c>
      <c r="AB1603">
        <v>-31.4315</v>
      </c>
      <c r="AE1603">
        <v>2013.4166666665453</v>
      </c>
      <c r="AF1603">
        <v>-0.5888657631588804</v>
      </c>
    </row>
    <row r="1604" spans="4:32" x14ac:dyDescent="0.35">
      <c r="D1604">
        <v>-0.63007599999999997</v>
      </c>
      <c r="M1604">
        <f t="shared" ref="M1604:M1667" si="206">+M1603+1</f>
        <v>1603</v>
      </c>
      <c r="N1604">
        <f t="shared" ref="N1604:N1667" si="207">+N1603+1/12</f>
        <v>2013.4999999998786</v>
      </c>
      <c r="O1604">
        <f t="shared" si="202"/>
        <v>0</v>
      </c>
      <c r="P1604">
        <f t="array" ref="P1604">+SUM($G$2:$G$18*SIN(2*PI()*(N1604)*$B$1/$F$2:$F$18+$H$2:$H$18))</f>
        <v>0.22818384745893289</v>
      </c>
      <c r="Q1604">
        <f t="shared" si="203"/>
        <v>0</v>
      </c>
      <c r="R1604">
        <f t="shared" si="204"/>
        <v>3.1220480112137898E-2</v>
      </c>
      <c r="S1604">
        <f t="array" ref="S1604">+$B$2*SIN(R1604*$B$3+$B$4)+0*R1604+ SUM($J$2:$J$20*SIN(2*PI()*N1604*$I$2:$I$20+$K$2:$K$20))</f>
        <v>-0.58459738076480439</v>
      </c>
      <c r="U1604" s="3">
        <f t="shared" si="200"/>
        <v>2013.4999999998786</v>
      </c>
      <c r="V1604" s="3">
        <f t="shared" si="201"/>
        <v>-0.29486400000000001</v>
      </c>
      <c r="Z1604" s="1">
        <v>2013.5417</v>
      </c>
      <c r="AA1604" s="2">
        <f t="shared" si="205"/>
        <v>-0.49795800000000001</v>
      </c>
      <c r="AB1604">
        <v>-24.8979</v>
      </c>
      <c r="AE1604">
        <v>2013.4999999998786</v>
      </c>
      <c r="AF1604">
        <v>-0.58459738076480439</v>
      </c>
    </row>
    <row r="1605" spans="4:32" x14ac:dyDescent="0.35">
      <c r="D1605">
        <v>-0.62863000000000002</v>
      </c>
      <c r="M1605">
        <f t="shared" si="206"/>
        <v>1604</v>
      </c>
      <c r="N1605">
        <f t="shared" si="207"/>
        <v>2013.5833333332118</v>
      </c>
      <c r="O1605">
        <f t="shared" si="202"/>
        <v>0</v>
      </c>
      <c r="P1605">
        <f t="array" ref="P1605">+SUM($G$2:$G$18*SIN(2*PI()*(N1605)*$B$1/$F$2:$F$18+$H$2:$H$18))</f>
        <v>0.31088879833167915</v>
      </c>
      <c r="Q1605">
        <f t="shared" si="203"/>
        <v>0</v>
      </c>
      <c r="R1605">
        <f t="shared" si="204"/>
        <v>3.1172458613815457E-2</v>
      </c>
      <c r="S1605">
        <f t="array" ref="S1605">+$B$2*SIN(R1605*$B$3+$B$4)+0*R1605+ SUM($J$2:$J$20*SIN(2*PI()*N1605*$I$2:$I$20+$K$2:$K$20))</f>
        <v>-0.5802877716656536</v>
      </c>
      <c r="U1605" s="3">
        <f t="shared" si="200"/>
        <v>2013.5833333332118</v>
      </c>
      <c r="V1605" s="3">
        <f t="shared" si="201"/>
        <v>-9.3369999999999995E-2</v>
      </c>
      <c r="Z1605" s="1">
        <v>2013.625</v>
      </c>
      <c r="AA1605" s="2">
        <f t="shared" si="205"/>
        <v>-0.85805200000000004</v>
      </c>
      <c r="AB1605">
        <v>-42.9026</v>
      </c>
      <c r="AE1605">
        <v>2013.5833333332118</v>
      </c>
      <c r="AF1605">
        <v>-0.5802877716656536</v>
      </c>
    </row>
    <row r="1606" spans="4:32" x14ac:dyDescent="0.35">
      <c r="D1606">
        <v>-0.49795800000000001</v>
      </c>
      <c r="M1606">
        <f t="shared" si="206"/>
        <v>1605</v>
      </c>
      <c r="N1606">
        <f t="shared" si="207"/>
        <v>2013.6666666665451</v>
      </c>
      <c r="O1606">
        <f t="shared" si="202"/>
        <v>0</v>
      </c>
      <c r="P1606">
        <f t="array" ref="P1606">+SUM($G$2:$G$18*SIN(2*PI()*(N1606)*$B$1/$F$2:$F$18+$H$2:$H$18))</f>
        <v>0.51573009920959478</v>
      </c>
      <c r="Q1606">
        <f t="shared" si="203"/>
        <v>0</v>
      </c>
      <c r="R1606">
        <f t="shared" si="204"/>
        <v>3.1124510979325119E-2</v>
      </c>
      <c r="S1606">
        <f t="array" ref="S1606">+$B$2*SIN(R1606*$B$3+$B$4)+0*R1606+ SUM($J$2:$J$20*SIN(2*PI()*N1606*$I$2:$I$20+$K$2:$K$20))</f>
        <v>-0.5759374974154251</v>
      </c>
      <c r="U1606" s="3">
        <f t="shared" si="200"/>
        <v>2013.6666666665451</v>
      </c>
      <c r="V1606" s="3">
        <f t="shared" si="201"/>
        <v>-0.13803599999999999</v>
      </c>
      <c r="Z1606" s="1">
        <v>2013.7083</v>
      </c>
      <c r="AA1606" s="2">
        <f t="shared" si="205"/>
        <v>-0.96737799999999996</v>
      </c>
      <c r="AB1606">
        <v>-48.368899999999996</v>
      </c>
      <c r="AE1606">
        <v>2013.6666666665451</v>
      </c>
      <c r="AF1606">
        <v>-0.5759374974154251</v>
      </c>
    </row>
    <row r="1607" spans="4:32" x14ac:dyDescent="0.35">
      <c r="D1607">
        <v>-0.85805200000000004</v>
      </c>
      <c r="M1607">
        <f t="shared" si="206"/>
        <v>1606</v>
      </c>
      <c r="N1607">
        <f t="shared" si="207"/>
        <v>2013.7499999998784</v>
      </c>
      <c r="O1607">
        <f t="shared" si="202"/>
        <v>0</v>
      </c>
      <c r="P1607">
        <f t="array" ref="P1607">+SUM($G$2:$G$18*SIN(2*PI()*(N1607)*$B$1/$F$2:$F$18+$H$2:$H$18))</f>
        <v>0.59247532973427597</v>
      </c>
      <c r="Q1607">
        <f t="shared" si="203"/>
        <v>0</v>
      </c>
      <c r="R1607">
        <f t="shared" si="204"/>
        <v>3.1076637095053899E-2</v>
      </c>
      <c r="S1607">
        <f t="array" ref="S1607">+$B$2*SIN(R1607*$B$3+$B$4)+0*R1607+ SUM($J$2:$J$20*SIN(2*PI()*N1607*$I$2:$I$20+$K$2:$K$20))</f>
        <v>-0.5715471193975461</v>
      </c>
      <c r="U1607" s="3">
        <f t="shared" si="200"/>
        <v>2013.7499999998784</v>
      </c>
      <c r="V1607" s="3">
        <f t="shared" si="201"/>
        <v>-6.2698000000000004E-2</v>
      </c>
      <c r="Z1607" s="1">
        <v>2013.7917</v>
      </c>
      <c r="AA1607" s="2">
        <f t="shared" si="205"/>
        <v>-0.84593999999999991</v>
      </c>
      <c r="AB1607">
        <v>-42.296999999999997</v>
      </c>
      <c r="AE1607">
        <v>2013.7499999998784</v>
      </c>
      <c r="AF1607">
        <v>-0.5715471193975461</v>
      </c>
    </row>
    <row r="1608" spans="4:32" x14ac:dyDescent="0.35">
      <c r="D1608">
        <v>-0.96737799999999996</v>
      </c>
      <c r="M1608">
        <f t="shared" si="206"/>
        <v>1607</v>
      </c>
      <c r="N1608">
        <f t="shared" si="207"/>
        <v>2013.8333333332116</v>
      </c>
      <c r="O1608">
        <f t="shared" si="202"/>
        <v>0</v>
      </c>
      <c r="P1608">
        <f t="array" ref="P1608">+SUM($G$2:$G$18*SIN(2*PI()*(N1608)*$B$1/$F$2:$F$18+$H$2:$H$18))</f>
        <v>6.1990172005065083E-2</v>
      </c>
      <c r="Q1608">
        <f t="shared" si="203"/>
        <v>0</v>
      </c>
      <c r="R1608">
        <f t="shared" si="204"/>
        <v>3.1028836847563565E-2</v>
      </c>
      <c r="S1608">
        <f t="array" ref="S1608">+$B$2*SIN(R1608*$B$3+$B$4)+0*R1608+ SUM($J$2:$J$20*SIN(2*PI()*N1608*$I$2:$I$20+$K$2:$K$20))</f>
        <v>-0.56711719876053757</v>
      </c>
      <c r="U1608" s="3">
        <f t="shared" si="200"/>
        <v>2013.8333333332116</v>
      </c>
      <c r="V1608" s="3">
        <f t="shared" si="201"/>
        <v>-2.7362000000000001E-2</v>
      </c>
      <c r="Z1608" s="1">
        <v>2013.875</v>
      </c>
      <c r="AA1608" s="2">
        <f t="shared" si="205"/>
        <v>-0.65219199999999999</v>
      </c>
      <c r="AB1608">
        <v>-32.6096</v>
      </c>
      <c r="AE1608">
        <v>2013.8333333332116</v>
      </c>
      <c r="AF1608">
        <v>-0.56711719876053757</v>
      </c>
    </row>
    <row r="1609" spans="4:32" x14ac:dyDescent="0.35">
      <c r="D1609">
        <v>-0.84593999999999991</v>
      </c>
      <c r="M1609">
        <f t="shared" si="206"/>
        <v>1608</v>
      </c>
      <c r="N1609">
        <f t="shared" si="207"/>
        <v>2013.9166666665449</v>
      </c>
      <c r="O1609">
        <f t="shared" si="202"/>
        <v>0</v>
      </c>
      <c r="P1609">
        <f t="array" ref="P1609">+SUM($G$2:$G$18*SIN(2*PI()*(N1609)*$B$1/$F$2:$F$18+$H$2:$H$18))</f>
        <v>-0.58345131322421973</v>
      </c>
      <c r="Q1609">
        <f t="shared" si="203"/>
        <v>0</v>
      </c>
      <c r="R1609">
        <f t="shared" si="204"/>
        <v>3.0981110123590373E-2</v>
      </c>
      <c r="S1609">
        <f t="array" ref="S1609">+$B$2*SIN(R1609*$B$3+$B$4)+0*R1609+ SUM($J$2:$J$20*SIN(2*PI()*N1609*$I$2:$I$20+$K$2:$K$20))</f>
        <v>-0.56264829635450453</v>
      </c>
      <c r="U1609" s="3">
        <f t="shared" si="200"/>
        <v>2013.9166666665449</v>
      </c>
      <c r="V1609" s="3">
        <f t="shared" si="201"/>
        <v>-0.198184</v>
      </c>
      <c r="Z1609" s="1">
        <v>2013.9583</v>
      </c>
      <c r="AA1609" s="2">
        <f t="shared" si="205"/>
        <v>-0.62921399999999994</v>
      </c>
      <c r="AB1609">
        <v>-31.460699999999999</v>
      </c>
      <c r="AE1609">
        <v>2013.9166666665449</v>
      </c>
      <c r="AF1609">
        <v>-0.56264829635450453</v>
      </c>
    </row>
    <row r="1610" spans="4:32" x14ac:dyDescent="0.35">
      <c r="D1610">
        <v>-0.65219199999999999</v>
      </c>
      <c r="M1610">
        <f t="shared" si="206"/>
        <v>1609</v>
      </c>
      <c r="N1610">
        <f t="shared" si="207"/>
        <v>2013.9999999998781</v>
      </c>
      <c r="O1610">
        <f t="shared" si="202"/>
        <v>36.637715116165623</v>
      </c>
      <c r="P1610">
        <f t="array" ref="P1610">+SUM($G$2:$G$18*SIN(2*PI()*(N1610)*$B$1/$F$2:$F$18+$H$2:$H$18))</f>
        <v>-0.71970057655360176</v>
      </c>
      <c r="Q1610">
        <f t="shared" si="203"/>
        <v>-26.368184692711008</v>
      </c>
      <c r="R1610">
        <f t="shared" si="204"/>
        <v>-9.6245273221260592E-3</v>
      </c>
      <c r="S1610">
        <f t="array" ref="S1610">+$B$2*SIN(R1610*$B$3+$B$4)+0*R1610+ SUM($J$2:$J$20*SIN(2*PI()*N1610*$I$2:$I$20+$K$2:$K$20))</f>
        <v>0.37076640413834927</v>
      </c>
      <c r="U1610" s="3">
        <f t="shared" si="200"/>
        <v>2013.9999999998781</v>
      </c>
      <c r="V1610" s="3">
        <f t="shared" si="201"/>
        <v>-8.5925999999999988E-2</v>
      </c>
      <c r="Z1610" s="1">
        <v>2014.0417</v>
      </c>
      <c r="AA1610" s="2">
        <f t="shared" si="205"/>
        <v>-0.49085600000000001</v>
      </c>
      <c r="AB1610">
        <v>-24.5428</v>
      </c>
      <c r="AE1610">
        <v>2013.9999999998781</v>
      </c>
      <c r="AF1610">
        <v>0.37076640413834927</v>
      </c>
    </row>
    <row r="1611" spans="4:32" x14ac:dyDescent="0.35">
      <c r="D1611">
        <v>-0.62921399999999994</v>
      </c>
      <c r="M1611">
        <f t="shared" si="206"/>
        <v>1610</v>
      </c>
      <c r="N1611">
        <f t="shared" si="207"/>
        <v>2014.0833333332114</v>
      </c>
      <c r="O1611">
        <f t="shared" si="202"/>
        <v>0</v>
      </c>
      <c r="P1611">
        <f t="array" ref="P1611">+SUM($G$2:$G$18*SIN(2*PI()*(N1611)*$B$1/$F$2:$F$18+$H$2:$H$18))</f>
        <v>-0.32421182932580372</v>
      </c>
      <c r="Q1611">
        <f t="shared" si="203"/>
        <v>0</v>
      </c>
      <c r="R1611">
        <f t="shared" si="204"/>
        <v>-9.6097234427176166E-3</v>
      </c>
      <c r="S1611">
        <f t="array" ref="S1611">+$B$2*SIN(R1611*$B$3+$B$4)+0*R1611+ SUM($J$2:$J$20*SIN(2*PI()*N1611*$I$2:$I$20+$K$2:$K$20))</f>
        <v>0.36893972200358643</v>
      </c>
      <c r="U1611" s="3">
        <f t="shared" si="200"/>
        <v>2014.0833333332114</v>
      </c>
      <c r="V1611" s="3">
        <f t="shared" si="201"/>
        <v>0.30632999999999999</v>
      </c>
      <c r="Z1611" s="1">
        <v>2014.125</v>
      </c>
      <c r="AA1611" s="2">
        <f t="shared" si="205"/>
        <v>-0.62788200000000005</v>
      </c>
      <c r="AB1611">
        <v>-31.394100000000002</v>
      </c>
      <c r="AE1611">
        <v>2014.0833333332114</v>
      </c>
      <c r="AF1611">
        <v>0.36893972200358643</v>
      </c>
    </row>
    <row r="1612" spans="4:32" x14ac:dyDescent="0.35">
      <c r="D1612">
        <v>-0.49085600000000001</v>
      </c>
      <c r="M1612">
        <f t="shared" si="206"/>
        <v>1611</v>
      </c>
      <c r="N1612">
        <f t="shared" si="207"/>
        <v>2014.1666666665446</v>
      </c>
      <c r="O1612">
        <f t="shared" si="202"/>
        <v>0</v>
      </c>
      <c r="P1612">
        <f t="array" ref="P1612">+SUM($G$2:$G$18*SIN(2*PI()*(N1612)*$B$1/$F$2:$F$18+$H$2:$H$18))</f>
        <v>0.20150869609941585</v>
      </c>
      <c r="Q1612">
        <f t="shared" si="203"/>
        <v>0</v>
      </c>
      <c r="R1612">
        <f t="shared" si="204"/>
        <v>-9.5949423337620184E-3</v>
      </c>
      <c r="S1612">
        <f t="array" ref="S1612">+$B$2*SIN(R1612*$B$3+$B$4)+0*R1612+ SUM($J$2:$J$20*SIN(2*PI()*N1612*$I$2:$I$20+$K$2:$K$20))</f>
        <v>0.36711299197780956</v>
      </c>
      <c r="U1612" s="3">
        <f t="shared" si="200"/>
        <v>2014.1666666665446</v>
      </c>
      <c r="V1612" s="3">
        <f t="shared" si="201"/>
        <v>0.18781199999999998</v>
      </c>
      <c r="Z1612" s="1">
        <v>2014.2083</v>
      </c>
      <c r="AA1612" s="2">
        <f t="shared" si="205"/>
        <v>-0.62952200000000003</v>
      </c>
      <c r="AB1612">
        <v>-31.476099999999999</v>
      </c>
      <c r="AE1612">
        <v>2014.1666666665446</v>
      </c>
      <c r="AF1612">
        <v>0.36711299197780956</v>
      </c>
    </row>
    <row r="1613" spans="4:32" x14ac:dyDescent="0.35">
      <c r="D1613">
        <v>-0.62788200000000005</v>
      </c>
      <c r="M1613">
        <f t="shared" si="206"/>
        <v>1612</v>
      </c>
      <c r="N1613">
        <f t="shared" si="207"/>
        <v>2014.2499999998779</v>
      </c>
      <c r="O1613">
        <f t="shared" si="202"/>
        <v>0</v>
      </c>
      <c r="P1613">
        <f t="array" ref="P1613">+SUM($G$2:$G$18*SIN(2*PI()*(N1613)*$B$1/$F$2:$F$18+$H$2:$H$18))</f>
        <v>0.35007475564592516</v>
      </c>
      <c r="Q1613">
        <f t="shared" si="203"/>
        <v>0</v>
      </c>
      <c r="R1613">
        <f t="shared" si="204"/>
        <v>-9.5801839602351006E-3</v>
      </c>
      <c r="S1613">
        <f t="array" ref="S1613">+$B$2*SIN(R1613*$B$3+$B$4)+0*R1613+ SUM($J$2:$J$20*SIN(2*PI()*N1613*$I$2:$I$20+$K$2:$K$20))</f>
        <v>0.3652862370238798</v>
      </c>
      <c r="U1613" s="3">
        <f t="shared" si="200"/>
        <v>2014.2499999998779</v>
      </c>
      <c r="V1613" s="3">
        <f t="shared" si="201"/>
        <v>0.34160400000000002</v>
      </c>
      <c r="Z1613" s="1">
        <v>2014.2917</v>
      </c>
      <c r="AA1613" s="2">
        <f t="shared" si="205"/>
        <v>-0.82039799999999996</v>
      </c>
      <c r="AB1613">
        <v>-41.0199</v>
      </c>
      <c r="AE1613">
        <v>2014.2499999998779</v>
      </c>
      <c r="AF1613">
        <v>0.3652862370238798</v>
      </c>
    </row>
    <row r="1614" spans="4:32" x14ac:dyDescent="0.35">
      <c r="D1614">
        <v>-0.62952200000000003</v>
      </c>
      <c r="M1614">
        <f t="shared" si="206"/>
        <v>1613</v>
      </c>
      <c r="N1614">
        <f t="shared" si="207"/>
        <v>2014.3333333332112</v>
      </c>
      <c r="O1614">
        <f t="shared" si="202"/>
        <v>0</v>
      </c>
      <c r="P1614">
        <f t="array" ref="P1614">+SUM($G$2:$G$18*SIN(2*PI()*(N1614)*$B$1/$F$2:$F$18+$H$2:$H$18))</f>
        <v>0.32445393804028666</v>
      </c>
      <c r="Q1614">
        <f t="shared" si="203"/>
        <v>0</v>
      </c>
      <c r="R1614">
        <f t="shared" si="204"/>
        <v>-9.5654482871665673E-3</v>
      </c>
      <c r="S1614">
        <f t="array" ref="S1614">+$B$2*SIN(R1614*$B$3+$B$4)+0*R1614+ SUM($J$2:$J$20*SIN(2*PI()*N1614*$I$2:$I$20+$K$2:$K$20))</f>
        <v>0.36345947995581313</v>
      </c>
      <c r="U1614" s="3">
        <f t="shared" si="200"/>
        <v>2014.3333333332112</v>
      </c>
      <c r="V1614" s="3">
        <f t="shared" si="201"/>
        <v>0.32001199999999996</v>
      </c>
      <c r="Z1614" s="1">
        <v>2014.375</v>
      </c>
      <c r="AA1614" s="2">
        <f t="shared" si="205"/>
        <v>-0.69588800000000006</v>
      </c>
      <c r="AB1614">
        <v>-34.794400000000003</v>
      </c>
      <c r="AE1614">
        <v>2014.3333333332112</v>
      </c>
      <c r="AF1614">
        <v>0.36345947995581313</v>
      </c>
    </row>
    <row r="1615" spans="4:32" x14ac:dyDescent="0.35">
      <c r="D1615">
        <v>-0.82039799999999996</v>
      </c>
      <c r="M1615">
        <f t="shared" si="206"/>
        <v>1614</v>
      </c>
      <c r="N1615">
        <f t="shared" si="207"/>
        <v>2014.4166666665444</v>
      </c>
      <c r="O1615">
        <f t="shared" si="202"/>
        <v>0</v>
      </c>
      <c r="P1615">
        <f t="array" ref="P1615">+SUM($G$2:$G$18*SIN(2*PI()*(N1615)*$B$1/$F$2:$F$18+$H$2:$H$18))</f>
        <v>0.52343510942646843</v>
      </c>
      <c r="Q1615">
        <f t="shared" si="203"/>
        <v>0</v>
      </c>
      <c r="R1615">
        <f t="shared" si="204"/>
        <v>-9.5507352796399166E-3</v>
      </c>
      <c r="S1615">
        <f t="array" ref="S1615">+$B$2*SIN(R1615*$B$3+$B$4)+0*R1615+ SUM($J$2:$J$20*SIN(2*PI()*N1615*$I$2:$I$20+$K$2:$K$20))</f>
        <v>0.36163274343931395</v>
      </c>
      <c r="U1615" s="3">
        <f t="shared" si="200"/>
        <v>2014.4166666665444</v>
      </c>
      <c r="V1615" s="3">
        <f t="shared" si="201"/>
        <v>0.43072000000000005</v>
      </c>
      <c r="Z1615" s="1">
        <v>2014.4583</v>
      </c>
      <c r="AA1615" s="2">
        <f t="shared" si="205"/>
        <v>-1.1159939999999999</v>
      </c>
      <c r="AB1615">
        <v>-55.799700000000001</v>
      </c>
      <c r="AE1615">
        <v>2014.4166666665444</v>
      </c>
      <c r="AF1615">
        <v>0.36163274343931395</v>
      </c>
    </row>
    <row r="1616" spans="4:32" x14ac:dyDescent="0.35">
      <c r="D1616">
        <v>-0.69588800000000006</v>
      </c>
      <c r="M1616">
        <f t="shared" si="206"/>
        <v>1615</v>
      </c>
      <c r="N1616">
        <f t="shared" si="207"/>
        <v>2014.4999999998777</v>
      </c>
      <c r="O1616">
        <f t="shared" si="202"/>
        <v>0</v>
      </c>
      <c r="P1616">
        <f t="array" ref="P1616">+SUM($G$2:$G$18*SIN(2*PI()*(N1616)*$B$1/$F$2:$F$18+$H$2:$H$18))</f>
        <v>0.42757843640539583</v>
      </c>
      <c r="Q1616">
        <f t="shared" si="203"/>
        <v>0</v>
      </c>
      <c r="R1616">
        <f t="shared" si="204"/>
        <v>-9.5360449027923483E-3</v>
      </c>
      <c r="S1616">
        <f t="array" ref="S1616">+$B$2*SIN(R1616*$B$3+$B$4)+0*R1616+ SUM($J$2:$J$20*SIN(2*PI()*N1616*$I$2:$I$20+$K$2:$K$20))</f>
        <v>0.35980604999231164</v>
      </c>
      <c r="U1616" s="3">
        <f t="shared" si="200"/>
        <v>2014.4999999998777</v>
      </c>
      <c r="V1616" s="3">
        <f t="shared" si="201"/>
        <v>0.40604799999999996</v>
      </c>
      <c r="Z1616" s="1">
        <v>2014.5417</v>
      </c>
      <c r="AA1616" s="2">
        <f t="shared" si="205"/>
        <v>-1.116104</v>
      </c>
      <c r="AB1616">
        <v>-55.805199999999999</v>
      </c>
      <c r="AE1616">
        <v>2014.4999999998777</v>
      </c>
      <c r="AF1616">
        <v>0.35980604999231164</v>
      </c>
    </row>
    <row r="1617" spans="4:32" x14ac:dyDescent="0.35">
      <c r="D1617">
        <v>-1.1159939999999999</v>
      </c>
      <c r="M1617">
        <f t="shared" si="206"/>
        <v>1616</v>
      </c>
      <c r="N1617">
        <f t="shared" si="207"/>
        <v>2014.5833333332109</v>
      </c>
      <c r="O1617">
        <f t="shared" si="202"/>
        <v>0</v>
      </c>
      <c r="P1617">
        <f t="array" ref="P1617">+SUM($G$2:$G$18*SIN(2*PI()*(N1617)*$B$1/$F$2:$F$18+$H$2:$H$18))</f>
        <v>-0.24400147931472183</v>
      </c>
      <c r="Q1617">
        <f t="shared" si="203"/>
        <v>0</v>
      </c>
      <c r="R1617">
        <f t="shared" si="204"/>
        <v>-9.5213771218146913E-3</v>
      </c>
      <c r="S1617">
        <f t="array" ref="S1617">+$B$2*SIN(R1617*$B$3+$B$4)+0*R1617+ SUM($J$2:$J$20*SIN(2*PI()*N1617*$I$2:$I$20+$K$2:$K$20))</f>
        <v>0.35797942198549632</v>
      </c>
      <c r="U1617" s="3">
        <f t="shared" si="200"/>
        <v>2014.5833333332109</v>
      </c>
      <c r="V1617" s="3">
        <f t="shared" si="201"/>
        <v>0.40137400000000001</v>
      </c>
      <c r="Z1617" s="1">
        <v>2014.625</v>
      </c>
      <c r="AA1617" s="2">
        <f t="shared" si="205"/>
        <v>-1.14852</v>
      </c>
      <c r="AB1617">
        <v>-57.426000000000002</v>
      </c>
      <c r="AE1617">
        <v>2014.5833333332109</v>
      </c>
      <c r="AF1617">
        <v>0.35797942198549632</v>
      </c>
    </row>
    <row r="1618" spans="4:32" x14ac:dyDescent="0.35">
      <c r="D1618">
        <v>-1.116104</v>
      </c>
      <c r="M1618">
        <f t="shared" si="206"/>
        <v>1617</v>
      </c>
      <c r="N1618">
        <f t="shared" si="207"/>
        <v>2014.6666666665442</v>
      </c>
      <c r="O1618">
        <f t="shared" si="202"/>
        <v>0</v>
      </c>
      <c r="P1618">
        <f t="array" ref="P1618">+SUM($G$2:$G$18*SIN(2*PI()*(N1618)*$B$1/$F$2:$F$18+$H$2:$H$18))</f>
        <v>-0.76962714771625396</v>
      </c>
      <c r="Q1618">
        <f t="shared" si="203"/>
        <v>0</v>
      </c>
      <c r="R1618">
        <f t="shared" si="204"/>
        <v>-9.5067319019513114E-3</v>
      </c>
      <c r="S1618">
        <f t="array" ref="S1618">+$B$2*SIN(R1618*$B$3+$B$4)+0*R1618+ SUM($J$2:$J$20*SIN(2*PI()*N1618*$I$2:$I$20+$K$2:$K$20))</f>
        <v>0.35615288164285569</v>
      </c>
      <c r="U1618" s="3">
        <f t="shared" si="200"/>
        <v>2014.6666666665442</v>
      </c>
      <c r="V1618" s="3">
        <f t="shared" si="201"/>
        <v>0.45515800000000001</v>
      </c>
      <c r="Z1618" s="1">
        <v>2014.7083</v>
      </c>
      <c r="AA1618" s="2">
        <f t="shared" si="205"/>
        <v>-0.85478200000000004</v>
      </c>
      <c r="AB1618">
        <v>-42.739100000000001</v>
      </c>
      <c r="AE1618">
        <v>2014.6666666665442</v>
      </c>
      <c r="AF1618">
        <v>0.35615288164285569</v>
      </c>
    </row>
    <row r="1619" spans="4:32" x14ac:dyDescent="0.35">
      <c r="D1619">
        <v>-1.14852</v>
      </c>
      <c r="M1619">
        <f t="shared" si="206"/>
        <v>1618</v>
      </c>
      <c r="N1619">
        <f t="shared" si="207"/>
        <v>2014.7499999998774</v>
      </c>
      <c r="O1619">
        <f t="shared" si="202"/>
        <v>0</v>
      </c>
      <c r="P1619">
        <f t="array" ref="P1619">+SUM($G$2:$G$18*SIN(2*PI()*(N1619)*$B$1/$F$2:$F$18+$H$2:$H$18))</f>
        <v>-0.65309843690921765</v>
      </c>
      <c r="Q1619">
        <f t="shared" si="203"/>
        <v>0</v>
      </c>
      <c r="R1619">
        <f t="shared" si="204"/>
        <v>-9.4921092085000353E-3</v>
      </c>
      <c r="S1619">
        <f t="array" ref="S1619">+$B$2*SIN(R1619*$B$3+$B$4)+0*R1619+ SUM($J$2:$J$20*SIN(2*PI()*N1619*$I$2:$I$20+$K$2:$K$20))</f>
        <v>0.35432645104221139</v>
      </c>
      <c r="U1619" s="3">
        <f t="shared" si="200"/>
        <v>2014.7499999998774</v>
      </c>
      <c r="V1619" s="3">
        <f t="shared" si="201"/>
        <v>0.41048200000000001</v>
      </c>
      <c r="Z1619" s="1">
        <v>2014.7917</v>
      </c>
      <c r="AA1619" s="2">
        <f t="shared" si="205"/>
        <v>-0.750282</v>
      </c>
      <c r="AB1619">
        <v>-37.514099999999999</v>
      </c>
      <c r="AE1619">
        <v>2014.7499999998774</v>
      </c>
      <c r="AF1619">
        <v>0.35432645104221139</v>
      </c>
    </row>
    <row r="1620" spans="4:32" x14ac:dyDescent="0.35">
      <c r="D1620">
        <v>-0.85478200000000004</v>
      </c>
      <c r="M1620">
        <f t="shared" si="206"/>
        <v>1619</v>
      </c>
      <c r="N1620">
        <f t="shared" si="207"/>
        <v>2014.8333333332107</v>
      </c>
      <c r="O1620">
        <f t="shared" si="202"/>
        <v>0</v>
      </c>
      <c r="P1620">
        <f t="array" ref="P1620">+SUM($G$2:$G$18*SIN(2*PI()*(N1620)*$B$1/$F$2:$F$18+$H$2:$H$18))</f>
        <v>-7.6229017004165747E-2</v>
      </c>
      <c r="Q1620">
        <f t="shared" si="203"/>
        <v>0</v>
      </c>
      <c r="R1620">
        <f t="shared" si="204"/>
        <v>-9.4775090068120668E-3</v>
      </c>
      <c r="S1620">
        <f t="array" ref="S1620">+$B$2*SIN(R1620*$B$3+$B$4)+0*R1620+ SUM($J$2:$J$20*SIN(2*PI()*N1620*$I$2:$I$20+$K$2:$K$20))</f>
        <v>0.35250015211575653</v>
      </c>
      <c r="U1620" s="3">
        <f t="shared" si="200"/>
        <v>2014.8333333332107</v>
      </c>
      <c r="V1620" s="3">
        <f t="shared" si="201"/>
        <v>0.32734400000000002</v>
      </c>
      <c r="Z1620" s="1">
        <v>2014.875</v>
      </c>
      <c r="AA1620" s="2">
        <f t="shared" si="205"/>
        <v>-0.69808599999999998</v>
      </c>
      <c r="AB1620">
        <v>-34.904299999999999</v>
      </c>
      <c r="AE1620">
        <v>2014.8333333332107</v>
      </c>
      <c r="AF1620">
        <v>0.35250015211575653</v>
      </c>
    </row>
    <row r="1621" spans="4:32" x14ac:dyDescent="0.35">
      <c r="D1621">
        <v>-0.750282</v>
      </c>
      <c r="M1621">
        <f t="shared" si="206"/>
        <v>1620</v>
      </c>
      <c r="N1621">
        <f t="shared" si="207"/>
        <v>2014.916666666544</v>
      </c>
      <c r="O1621">
        <f t="shared" si="202"/>
        <v>0</v>
      </c>
      <c r="P1621">
        <f t="array" ref="P1621">+SUM($G$2:$G$18*SIN(2*PI()*(N1621)*$B$1/$F$2:$F$18+$H$2:$H$18))</f>
        <v>0.387843005266925</v>
      </c>
      <c r="Q1621">
        <f t="shared" si="203"/>
        <v>0</v>
      </c>
      <c r="R1621">
        <f t="shared" si="204"/>
        <v>-9.4629312622919043E-3</v>
      </c>
      <c r="S1621">
        <f t="array" ref="S1621">+$B$2*SIN(R1621*$B$3+$B$4)+0*R1621+ SUM($J$2:$J$20*SIN(2*PI()*N1621*$I$2:$I$20+$K$2:$K$20))</f>
        <v>0.35067400665059573</v>
      </c>
      <c r="U1621" s="3">
        <f t="shared" si="200"/>
        <v>2014.916666666544</v>
      </c>
      <c r="V1621" s="3">
        <f t="shared" si="201"/>
        <v>0.34112200000000004</v>
      </c>
      <c r="Z1621" s="1">
        <v>2014.9583</v>
      </c>
      <c r="AA1621" s="2">
        <f t="shared" si="205"/>
        <v>-0.53050600000000003</v>
      </c>
      <c r="AB1621">
        <v>-26.525300000000001</v>
      </c>
      <c r="AE1621">
        <v>2014.916666666544</v>
      </c>
      <c r="AF1621">
        <v>0.35067400665059573</v>
      </c>
    </row>
    <row r="1622" spans="4:32" x14ac:dyDescent="0.35">
      <c r="D1622">
        <v>-0.69808599999999998</v>
      </c>
      <c r="M1622">
        <f t="shared" si="206"/>
        <v>1621</v>
      </c>
      <c r="N1622">
        <f t="shared" si="207"/>
        <v>2014.9999999998772</v>
      </c>
      <c r="O1622">
        <f t="shared" si="202"/>
        <v>36.637715116165623</v>
      </c>
      <c r="P1622">
        <f t="array" ref="P1622">+SUM($G$2:$G$18*SIN(2*PI()*(N1622)*$B$1/$F$2:$F$18+$H$2:$H$18))</f>
        <v>0.33344725052142188</v>
      </c>
      <c r="Q1622">
        <f t="shared" si="203"/>
        <v>12.216745370872564</v>
      </c>
      <c r="R1622">
        <f t="shared" si="204"/>
        <v>9.3427001489472267E-3</v>
      </c>
      <c r="S1622">
        <f t="array" ref="S1622">+$B$2*SIN(R1622*$B$3+$B$4)+0*R1622+ SUM($J$2:$J$20*SIN(2*PI()*N1622*$I$2:$I$20+$K$2:$K$20))</f>
        <v>-6.5227349909487156E-2</v>
      </c>
      <c r="U1622" s="3">
        <f t="shared" si="200"/>
        <v>2014.9999999998772</v>
      </c>
      <c r="V1622" s="3">
        <f t="shared" si="201"/>
        <v>0.26105800000000001</v>
      </c>
      <c r="Z1622" s="1">
        <v>2015.0417</v>
      </c>
      <c r="AA1622" s="2">
        <f t="shared" si="205"/>
        <v>-0.37831600000000004</v>
      </c>
      <c r="AB1622">
        <v>-18.915800000000001</v>
      </c>
      <c r="AE1622">
        <v>2014.9999999998772</v>
      </c>
      <c r="AF1622">
        <v>-6.5227349909487156E-2</v>
      </c>
    </row>
    <row r="1623" spans="4:32" x14ac:dyDescent="0.35">
      <c r="D1623">
        <v>-0.53050600000000003</v>
      </c>
      <c r="M1623">
        <f t="shared" si="206"/>
        <v>1622</v>
      </c>
      <c r="N1623">
        <f t="shared" si="207"/>
        <v>2015.0833333332105</v>
      </c>
      <c r="O1623">
        <f t="shared" si="202"/>
        <v>0</v>
      </c>
      <c r="P1623">
        <f t="array" ref="P1623">+SUM($G$2:$G$18*SIN(2*PI()*(N1623)*$B$1/$F$2:$F$18+$H$2:$H$18))</f>
        <v>0.21026478377653296</v>
      </c>
      <c r="Q1623">
        <f t="shared" si="203"/>
        <v>0</v>
      </c>
      <c r="R1623">
        <f t="shared" si="204"/>
        <v>9.3283297594491058E-3</v>
      </c>
      <c r="S1623">
        <f t="array" ref="S1623">+$B$2*SIN(R1623*$B$3+$B$4)+0*R1623+ SUM($J$2:$J$20*SIN(2*PI()*N1623*$I$2:$I$20+$K$2:$K$20))</f>
        <v>-6.7255349850101537E-2</v>
      </c>
      <c r="U1623" s="3">
        <f t="shared" si="200"/>
        <v>2015.0833333332105</v>
      </c>
      <c r="V1623" s="3">
        <f t="shared" si="201"/>
        <v>-6.2084E-2</v>
      </c>
      <c r="Z1623" s="1">
        <v>2015.125</v>
      </c>
      <c r="AA1623" s="2">
        <f t="shared" si="205"/>
        <v>-0.33689199999999997</v>
      </c>
      <c r="AB1623">
        <v>-16.8446</v>
      </c>
      <c r="AE1623">
        <v>2015.0833333332105</v>
      </c>
      <c r="AF1623">
        <v>-6.7255349850101537E-2</v>
      </c>
    </row>
    <row r="1624" spans="4:32" x14ac:dyDescent="0.35">
      <c r="D1624">
        <v>-0.37831600000000004</v>
      </c>
      <c r="M1624">
        <f t="shared" si="206"/>
        <v>1623</v>
      </c>
      <c r="N1624">
        <f t="shared" si="207"/>
        <v>2015.1666666665437</v>
      </c>
      <c r="O1624">
        <f t="shared" si="202"/>
        <v>0</v>
      </c>
      <c r="P1624">
        <f t="array" ref="P1624">+SUM($G$2:$G$18*SIN(2*PI()*(N1624)*$B$1/$F$2:$F$18+$H$2:$H$18))</f>
        <v>0.30843246001860619</v>
      </c>
      <c r="Q1624">
        <f t="shared" si="203"/>
        <v>0</v>
      </c>
      <c r="R1624">
        <f t="shared" si="204"/>
        <v>9.3139814736352567E-3</v>
      </c>
      <c r="S1624">
        <f t="array" ref="S1624">+$B$2*SIN(R1624*$B$3+$B$4)+0*R1624+ SUM($J$2:$J$20*SIN(2*PI()*N1624*$I$2:$I$20+$K$2:$K$20))</f>
        <v>-6.9279739590921194E-2</v>
      </c>
      <c r="U1624" s="3">
        <f t="shared" si="200"/>
        <v>2015.1666666665437</v>
      </c>
      <c r="V1624" s="3">
        <f t="shared" si="201"/>
        <v>0.16861599999999999</v>
      </c>
      <c r="Z1624" s="1">
        <v>2015.2083</v>
      </c>
      <c r="AA1624" s="2">
        <f t="shared" si="205"/>
        <v>-0.318546</v>
      </c>
      <c r="AB1624">
        <v>-15.927300000000001</v>
      </c>
      <c r="AE1624">
        <v>2015.1666666665437</v>
      </c>
      <c r="AF1624">
        <v>-6.9279739590921194E-2</v>
      </c>
    </row>
    <row r="1625" spans="4:32" x14ac:dyDescent="0.35">
      <c r="D1625">
        <v>-0.33689199999999997</v>
      </c>
      <c r="M1625">
        <f t="shared" si="206"/>
        <v>1624</v>
      </c>
      <c r="N1625">
        <f t="shared" si="207"/>
        <v>2015.249999999877</v>
      </c>
      <c r="O1625">
        <f t="shared" si="202"/>
        <v>0</v>
      </c>
      <c r="P1625">
        <f t="array" ref="P1625">+SUM($G$2:$G$18*SIN(2*PI()*(N1625)*$B$1/$F$2:$F$18+$H$2:$H$18))</f>
        <v>7.5842075254604235E-2</v>
      </c>
      <c r="Q1625">
        <f t="shared" si="203"/>
        <v>0</v>
      </c>
      <c r="R1625">
        <f t="shared" si="204"/>
        <v>9.2996552575070959E-3</v>
      </c>
      <c r="S1625">
        <f t="array" ref="S1625">+$B$2*SIN(R1625*$B$3+$B$4)+0*R1625+ SUM($J$2:$J$20*SIN(2*PI()*N1625*$I$2:$I$20+$K$2:$K$20))</f>
        <v>-7.1300511464334068E-2</v>
      </c>
      <c r="U1625" s="3">
        <f t="shared" si="200"/>
        <v>2015.249999999877</v>
      </c>
      <c r="V1625" s="3">
        <f t="shared" si="201"/>
        <v>2.5472000000000002E-2</v>
      </c>
      <c r="Z1625" s="1">
        <v>2015.2917</v>
      </c>
      <c r="AA1625" s="2">
        <f t="shared" si="205"/>
        <v>-0.44636000000000003</v>
      </c>
      <c r="AB1625">
        <v>-22.318000000000001</v>
      </c>
      <c r="AE1625">
        <v>2015.249999999877</v>
      </c>
      <c r="AF1625">
        <v>-7.1300511464334068E-2</v>
      </c>
    </row>
    <row r="1626" spans="4:32" x14ac:dyDescent="0.35">
      <c r="D1626">
        <v>-0.318546</v>
      </c>
      <c r="M1626">
        <f t="shared" si="206"/>
        <v>1625</v>
      </c>
      <c r="N1626">
        <f t="shared" si="207"/>
        <v>2015.3333333332102</v>
      </c>
      <c r="O1626">
        <f t="shared" si="202"/>
        <v>0</v>
      </c>
      <c r="P1626">
        <f t="array" ref="P1626">+SUM($G$2:$G$18*SIN(2*PI()*(N1626)*$B$1/$F$2:$F$18+$H$2:$H$18))</f>
        <v>-0.49060228759846997</v>
      </c>
      <c r="Q1626">
        <f t="shared" si="203"/>
        <v>0</v>
      </c>
      <c r="R1626">
        <f t="shared" si="204"/>
        <v>9.2853510771183385E-3</v>
      </c>
      <c r="S1626">
        <f t="array" ref="S1626">+$B$2*SIN(R1626*$B$3+$B$4)+0*R1626+ SUM($J$2:$J$20*SIN(2*PI()*N1626*$I$2:$I$20+$K$2:$K$20))</f>
        <v>-7.3317657926679602E-2</v>
      </c>
      <c r="U1626" s="3">
        <f t="shared" si="200"/>
        <v>2015.3333333332102</v>
      </c>
      <c r="V1626" s="3">
        <f t="shared" si="201"/>
        <v>2.2326000000000002E-2</v>
      </c>
      <c r="Z1626" s="1">
        <v>2015.375</v>
      </c>
      <c r="AA1626" s="2">
        <f t="shared" si="205"/>
        <v>-0.38494</v>
      </c>
      <c r="AB1626">
        <v>-19.247</v>
      </c>
      <c r="AE1626">
        <v>2015.3333333332102</v>
      </c>
      <c r="AF1626">
        <v>-7.3317657926679602E-2</v>
      </c>
    </row>
    <row r="1627" spans="4:32" x14ac:dyDescent="0.35">
      <c r="D1627">
        <v>-0.44636000000000003</v>
      </c>
      <c r="M1627">
        <f t="shared" si="206"/>
        <v>1626</v>
      </c>
      <c r="N1627">
        <f t="shared" si="207"/>
        <v>2015.4166666665435</v>
      </c>
      <c r="O1627">
        <f t="shared" si="202"/>
        <v>0</v>
      </c>
      <c r="P1627">
        <f t="array" ref="P1627">+SUM($G$2:$G$18*SIN(2*PI()*(N1627)*$B$1/$F$2:$F$18+$H$2:$H$18))</f>
        <v>-0.74597898367194904</v>
      </c>
      <c r="Q1627">
        <f t="shared" si="203"/>
        <v>0</v>
      </c>
      <c r="R1627">
        <f t="shared" si="204"/>
        <v>9.2710688985749093E-3</v>
      </c>
      <c r="S1627">
        <f t="array" ref="S1627">+$B$2*SIN(R1627*$B$3+$B$4)+0*R1627+ SUM($J$2:$J$20*SIN(2*PI()*N1627*$I$2:$I$20+$K$2:$K$20))</f>
        <v>-7.5331171557468865E-2</v>
      </c>
      <c r="U1627" s="3">
        <f t="shared" si="200"/>
        <v>2015.4166666665435</v>
      </c>
      <c r="V1627" s="3">
        <f t="shared" si="201"/>
        <v>0.34994599999999998</v>
      </c>
      <c r="Z1627" s="1">
        <v>2015.4583</v>
      </c>
      <c r="AA1627" s="2">
        <f t="shared" si="205"/>
        <v>-0.15890399999999999</v>
      </c>
      <c r="AB1627">
        <v>-7.9451999999999998</v>
      </c>
      <c r="AE1627">
        <v>2015.4166666665435</v>
      </c>
      <c r="AF1627">
        <v>-7.5331171557468865E-2</v>
      </c>
    </row>
    <row r="1628" spans="4:32" x14ac:dyDescent="0.35">
      <c r="D1628">
        <v>-0.38494</v>
      </c>
      <c r="M1628">
        <f t="shared" si="206"/>
        <v>1627</v>
      </c>
      <c r="N1628">
        <f t="shared" si="207"/>
        <v>2015.4999999998768</v>
      </c>
      <c r="O1628">
        <f t="shared" si="202"/>
        <v>0</v>
      </c>
      <c r="P1628">
        <f t="array" ref="P1628">+SUM($G$2:$G$18*SIN(2*PI()*(N1628)*$B$1/$F$2:$F$18+$H$2:$H$18))</f>
        <v>-0.48136871117219548</v>
      </c>
      <c r="Q1628">
        <f t="shared" si="203"/>
        <v>0</v>
      </c>
      <c r="R1628">
        <f t="shared" si="204"/>
        <v>9.2568086880348722E-3</v>
      </c>
      <c r="S1628">
        <f t="array" ref="S1628">+$B$2*SIN(R1628*$B$3+$B$4)+0*R1628+ SUM($J$2:$J$20*SIN(2*PI()*N1628*$I$2:$I$20+$K$2:$K$20))</f>
        <v>-7.7341045058605409E-2</v>
      </c>
      <c r="U1628" s="3">
        <f t="shared" si="200"/>
        <v>2015.4999999998768</v>
      </c>
      <c r="V1628" s="3">
        <f t="shared" si="201"/>
        <v>0.22218199999999999</v>
      </c>
      <c r="Z1628" s="1">
        <v>2015.5417</v>
      </c>
      <c r="AA1628" s="2">
        <f t="shared" si="205"/>
        <v>-3.7490000000000002E-2</v>
      </c>
      <c r="AB1628">
        <v>-1.8745000000000001</v>
      </c>
      <c r="AE1628">
        <v>2015.4999999998768</v>
      </c>
      <c r="AF1628">
        <v>-7.7341045058605409E-2</v>
      </c>
    </row>
    <row r="1629" spans="4:32" x14ac:dyDescent="0.35">
      <c r="D1629">
        <v>-0.15890399999999999</v>
      </c>
      <c r="M1629">
        <f t="shared" si="206"/>
        <v>1628</v>
      </c>
      <c r="N1629">
        <f t="shared" si="207"/>
        <v>2015.58333333321</v>
      </c>
      <c r="O1629">
        <f t="shared" si="202"/>
        <v>0</v>
      </c>
      <c r="P1629">
        <f t="array" ref="P1629">+SUM($G$2:$G$18*SIN(2*PI()*(N1629)*$B$1/$F$2:$F$18+$H$2:$H$18))</f>
        <v>9.199469394985467E-2</v>
      </c>
      <c r="Q1629">
        <f t="shared" si="203"/>
        <v>0</v>
      </c>
      <c r="R1629">
        <f t="shared" si="204"/>
        <v>9.2425704117083396E-3</v>
      </c>
      <c r="S1629">
        <f t="array" ref="S1629">+$B$2*SIN(R1629*$B$3+$B$4)+0*R1629+ SUM($J$2:$J$20*SIN(2*PI()*N1629*$I$2:$I$20+$K$2:$K$20))</f>
        <v>-7.9347271253609422E-2</v>
      </c>
      <c r="U1629" s="3">
        <f t="shared" si="200"/>
        <v>2015.58333333321</v>
      </c>
      <c r="V1629" s="3">
        <f t="shared" si="201"/>
        <v>0.35595599999999999</v>
      </c>
      <c r="Z1629" s="1">
        <v>2015.625</v>
      </c>
      <c r="AA1629" s="2">
        <f t="shared" si="205"/>
        <v>-3.1458E-2</v>
      </c>
      <c r="AB1629">
        <v>-1.5729</v>
      </c>
      <c r="AE1629">
        <v>2015.58333333321</v>
      </c>
      <c r="AF1629">
        <v>-7.9347271253609422E-2</v>
      </c>
    </row>
    <row r="1630" spans="4:32" x14ac:dyDescent="0.35">
      <c r="D1630">
        <v>-3.7490000000000002E-2</v>
      </c>
      <c r="M1630">
        <f t="shared" si="206"/>
        <v>1629</v>
      </c>
      <c r="N1630">
        <f t="shared" si="207"/>
        <v>2015.6666666665433</v>
      </c>
      <c r="O1630">
        <f t="shared" si="202"/>
        <v>0</v>
      </c>
      <c r="P1630">
        <f t="array" ref="P1630">+SUM($G$2:$G$18*SIN(2*PI()*(N1630)*$B$1/$F$2:$F$18+$H$2:$H$18))</f>
        <v>0.45111732928094617</v>
      </c>
      <c r="Q1630">
        <f t="shared" si="203"/>
        <v>0</v>
      </c>
      <c r="R1630">
        <f t="shared" si="204"/>
        <v>9.2283540358574015E-3</v>
      </c>
      <c r="S1630">
        <f t="array" ref="S1630">+$B$2*SIN(R1630*$B$3+$B$4)+0*R1630+ SUM($J$2:$J$20*SIN(2*PI()*N1630*$I$2:$I$20+$K$2:$K$20))</f>
        <v>-8.1349843086844967E-2</v>
      </c>
      <c r="U1630" s="3">
        <f t="shared" si="200"/>
        <v>2015.6666666665433</v>
      </c>
      <c r="V1630" s="3">
        <f t="shared" si="201"/>
        <v>0.27588000000000001</v>
      </c>
      <c r="Z1630" s="1">
        <v>2015.7083</v>
      </c>
      <c r="AA1630" s="2">
        <f t="shared" si="205"/>
        <v>-0.230042</v>
      </c>
      <c r="AB1630">
        <v>-11.5021</v>
      </c>
      <c r="AE1630">
        <v>2015.6666666665433</v>
      </c>
      <c r="AF1630">
        <v>-8.1349843086844967E-2</v>
      </c>
    </row>
    <row r="1631" spans="4:32" x14ac:dyDescent="0.35">
      <c r="D1631">
        <v>-3.1458E-2</v>
      </c>
      <c r="M1631">
        <f t="shared" si="206"/>
        <v>1630</v>
      </c>
      <c r="N1631">
        <f t="shared" si="207"/>
        <v>2015.7499999998765</v>
      </c>
      <c r="O1631">
        <f t="shared" si="202"/>
        <v>0</v>
      </c>
      <c r="P1631">
        <f t="array" ref="P1631">+SUM($G$2:$G$18*SIN(2*PI()*(N1631)*$B$1/$F$2:$F$18+$H$2:$H$18))</f>
        <v>0.28998470888746086</v>
      </c>
      <c r="Q1631">
        <f t="shared" si="203"/>
        <v>0</v>
      </c>
      <c r="R1631">
        <f t="shared" si="204"/>
        <v>9.2141595267960404E-3</v>
      </c>
      <c r="S1631">
        <f t="array" ref="S1631">+$B$2*SIN(R1631*$B$3+$B$4)+0*R1631+ SUM($J$2:$J$20*SIN(2*PI()*N1631*$I$2:$I$20+$K$2:$K$20))</f>
        <v>-8.3348753622749891E-2</v>
      </c>
      <c r="U1631" s="3">
        <f t="shared" si="200"/>
        <v>2015.7499999998765</v>
      </c>
      <c r="V1631" s="3">
        <f t="shared" si="201"/>
        <v>0.177344</v>
      </c>
      <c r="Z1631" s="1">
        <v>2015.7917</v>
      </c>
      <c r="AA1631" s="2">
        <f t="shared" si="205"/>
        <v>-0.24863199999999999</v>
      </c>
      <c r="AB1631">
        <v>-12.4316</v>
      </c>
      <c r="AE1631">
        <v>2015.7499999998765</v>
      </c>
      <c r="AF1631">
        <v>-8.3348753622749891E-2</v>
      </c>
    </row>
    <row r="1632" spans="4:32" x14ac:dyDescent="0.35">
      <c r="D1632">
        <v>-0.230042</v>
      </c>
      <c r="M1632">
        <f t="shared" si="206"/>
        <v>1631</v>
      </c>
      <c r="N1632">
        <f t="shared" si="207"/>
        <v>2015.8333333332098</v>
      </c>
      <c r="O1632">
        <f t="shared" si="202"/>
        <v>0</v>
      </c>
      <c r="P1632">
        <f t="array" ref="P1632">+SUM($G$2:$G$18*SIN(2*PI()*(N1632)*$B$1/$F$2:$F$18+$H$2:$H$18))</f>
        <v>7.9889589687331702E-2</v>
      </c>
      <c r="Q1632">
        <f t="shared" si="203"/>
        <v>0</v>
      </c>
      <c r="R1632">
        <f t="shared" si="204"/>
        <v>9.1999868508900497E-3</v>
      </c>
      <c r="S1632">
        <f t="array" ref="S1632">+$B$2*SIN(R1632*$B$3+$B$4)+0*R1632+ SUM($J$2:$J$20*SIN(2*PI()*N1632*$I$2:$I$20+$K$2:$K$20))</f>
        <v>-8.5343996045068329E-2</v>
      </c>
      <c r="U1632" s="3">
        <f t="shared" si="200"/>
        <v>2015.8333333332098</v>
      </c>
      <c r="V1632" s="3">
        <f t="shared" si="201"/>
        <v>0.300346</v>
      </c>
      <c r="Z1632" s="1">
        <v>2015.875</v>
      </c>
      <c r="AA1632" s="2">
        <f t="shared" si="205"/>
        <v>-0.26106400000000002</v>
      </c>
      <c r="AB1632">
        <v>-13.0532</v>
      </c>
      <c r="AE1632">
        <v>2015.8333333332098</v>
      </c>
      <c r="AF1632">
        <v>-8.5343996045068329E-2</v>
      </c>
    </row>
    <row r="1633" spans="4:32" x14ac:dyDescent="0.35">
      <c r="D1633">
        <v>-0.24863199999999999</v>
      </c>
      <c r="M1633">
        <f t="shared" si="206"/>
        <v>1632</v>
      </c>
      <c r="N1633">
        <f t="shared" si="207"/>
        <v>2015.9166666665431</v>
      </c>
      <c r="O1633">
        <f t="shared" si="202"/>
        <v>0</v>
      </c>
      <c r="P1633">
        <f t="array" ref="P1633">+SUM($G$2:$G$18*SIN(2*PI()*(N1633)*$B$1/$F$2:$F$18+$H$2:$H$18))</f>
        <v>1.0949503540250982E-3</v>
      </c>
      <c r="Q1633">
        <f t="shared" si="203"/>
        <v>0</v>
      </c>
      <c r="R1633">
        <f t="shared" si="204"/>
        <v>9.1858359745569627E-3</v>
      </c>
      <c r="S1633">
        <f t="array" ref="S1633">+$B$2*SIN(R1633*$B$3+$B$4)+0*R1633+ SUM($J$2:$J$20*SIN(2*PI()*N1633*$I$2:$I$20+$K$2:$K$20))</f>
        <v>-8.7335563656085635E-2</v>
      </c>
      <c r="U1633" s="3">
        <f t="shared" si="200"/>
        <v>2015.9166666665431</v>
      </c>
      <c r="V1633" s="3">
        <f t="shared" si="201"/>
        <v>0.417188</v>
      </c>
      <c r="Z1633" s="1">
        <v>2015.9583</v>
      </c>
      <c r="AA1633" s="2">
        <f t="shared" si="205"/>
        <v>-0.41349800000000003</v>
      </c>
      <c r="AB1633">
        <v>-20.674900000000001</v>
      </c>
      <c r="AE1633">
        <v>2015.9166666665431</v>
      </c>
      <c r="AF1633">
        <v>-8.7335563656085635E-2</v>
      </c>
    </row>
    <row r="1634" spans="4:32" x14ac:dyDescent="0.35">
      <c r="D1634">
        <v>-0.26106400000000002</v>
      </c>
      <c r="M1634">
        <f t="shared" si="206"/>
        <v>1633</v>
      </c>
      <c r="N1634">
        <f t="shared" si="207"/>
        <v>2015.9999999998763</v>
      </c>
      <c r="O1634">
        <f t="shared" si="202"/>
        <v>36.637715116165623</v>
      </c>
      <c r="P1634">
        <f t="array" ref="P1634">+SUM($G$2:$G$18*SIN(2*PI()*(N1634)*$B$1/$F$2:$F$18+$H$2:$H$18))</f>
        <v>-0.26171285168602748</v>
      </c>
      <c r="Q1634">
        <f t="shared" si="203"/>
        <v>-9.5885609023119809</v>
      </c>
      <c r="R1634">
        <f t="shared" si="204"/>
        <v>-5.5768511217460688E-3</v>
      </c>
      <c r="S1634">
        <f t="array" ref="S1634">+$B$2*SIN(R1634*$B$3+$B$4)+0*R1634+ SUM($J$2:$J$20*SIN(2*PI()*N1634*$I$2:$I$20+$K$2:$K$20))</f>
        <v>-0.18388769466567842</v>
      </c>
      <c r="U1634" s="3">
        <f t="shared" si="200"/>
        <v>2015.9999999998763</v>
      </c>
      <c r="V1634" s="3">
        <f t="shared" si="201"/>
        <v>0.38480400000000003</v>
      </c>
      <c r="Z1634" s="1">
        <v>2016.0417</v>
      </c>
      <c r="AA1634" s="2">
        <f t="shared" si="205"/>
        <v>-0.44747599999999998</v>
      </c>
      <c r="AB1634">
        <v>-22.373799999999999</v>
      </c>
      <c r="AE1634">
        <v>2015.9999999998763</v>
      </c>
      <c r="AF1634">
        <v>-0.18388769466567842</v>
      </c>
    </row>
    <row r="1635" spans="4:32" x14ac:dyDescent="0.35">
      <c r="D1635">
        <v>-0.41349800000000003</v>
      </c>
      <c r="M1635">
        <f t="shared" si="206"/>
        <v>1634</v>
      </c>
      <c r="N1635">
        <f t="shared" si="207"/>
        <v>2016.0833333332096</v>
      </c>
      <c r="O1635">
        <f t="shared" si="202"/>
        <v>0</v>
      </c>
      <c r="P1635">
        <f t="array" ref="P1635">+SUM($G$2:$G$18*SIN(2*PI()*(N1635)*$B$1/$F$2:$F$18+$H$2:$H$18))</f>
        <v>-0.49135865076834762</v>
      </c>
      <c r="Q1635">
        <f t="shared" si="203"/>
        <v>0</v>
      </c>
      <c r="R1635">
        <f t="shared" si="204"/>
        <v>-5.5682731387738174E-3</v>
      </c>
      <c r="S1635">
        <f t="array" ref="S1635">+$B$2*SIN(R1635*$B$3+$B$4)+0*R1635+ SUM($J$2:$J$20*SIN(2*PI()*N1635*$I$2:$I$20+$K$2:$K$20))</f>
        <v>-0.18506590370464343</v>
      </c>
      <c r="U1635" s="3">
        <f t="shared" si="200"/>
        <v>2016.0833333332096</v>
      </c>
      <c r="V1635" s="3">
        <f t="shared" si="201"/>
        <v>0.49703200000000003</v>
      </c>
      <c r="Z1635" s="1">
        <v>2016.125</v>
      </c>
      <c r="AA1635" s="2">
        <f t="shared" si="205"/>
        <v>-0.46452800000000005</v>
      </c>
      <c r="AB1635">
        <v>-23.226400000000002</v>
      </c>
      <c r="AE1635">
        <v>2016.0833333332096</v>
      </c>
      <c r="AF1635">
        <v>-0.18506590370464343</v>
      </c>
    </row>
    <row r="1636" spans="4:32" x14ac:dyDescent="0.35">
      <c r="D1636">
        <v>-0.44747599999999998</v>
      </c>
      <c r="M1636">
        <f t="shared" si="206"/>
        <v>1635</v>
      </c>
      <c r="N1636">
        <f t="shared" si="207"/>
        <v>2016.1666666665428</v>
      </c>
      <c r="O1636">
        <f t="shared" si="202"/>
        <v>0</v>
      </c>
      <c r="P1636">
        <f t="array" ref="P1636">+SUM($G$2:$G$18*SIN(2*PI()*(N1636)*$B$1/$F$2:$F$18+$H$2:$H$18))</f>
        <v>-0.43975056103864429</v>
      </c>
      <c r="Q1636">
        <f t="shared" si="203"/>
        <v>0</v>
      </c>
      <c r="R1636">
        <f t="shared" si="204"/>
        <v>-5.5597083499482744E-3</v>
      </c>
      <c r="S1636">
        <f t="array" ref="S1636">+$B$2*SIN(R1636*$B$3+$B$4)+0*R1636+ SUM($J$2:$J$20*SIN(2*PI()*N1636*$I$2:$I$20+$K$2:$K$20))</f>
        <v>-0.18624181922383648</v>
      </c>
      <c r="U1636" s="3">
        <f t="shared" si="200"/>
        <v>2016.1666666665428</v>
      </c>
      <c r="V1636" s="3">
        <f t="shared" si="201"/>
        <v>0.42002600000000001</v>
      </c>
      <c r="Z1636" s="1">
        <v>2016.2083</v>
      </c>
      <c r="AA1636" s="2">
        <f t="shared" si="205"/>
        <v>-0.50004199999999999</v>
      </c>
      <c r="AB1636">
        <v>-25.002099999999999</v>
      </c>
      <c r="AE1636">
        <v>2016.1666666665428</v>
      </c>
      <c r="AF1636">
        <v>-0.18624181922383648</v>
      </c>
    </row>
    <row r="1637" spans="4:32" x14ac:dyDescent="0.35">
      <c r="D1637">
        <v>-0.46452800000000005</v>
      </c>
      <c r="M1637">
        <f t="shared" si="206"/>
        <v>1636</v>
      </c>
      <c r="N1637">
        <f t="shared" si="207"/>
        <v>2016.2499999998761</v>
      </c>
      <c r="O1637">
        <f t="shared" si="202"/>
        <v>0</v>
      </c>
      <c r="P1637">
        <f t="array" ref="P1637">+SUM($G$2:$G$18*SIN(2*PI()*(N1637)*$B$1/$F$2:$F$18+$H$2:$H$18))</f>
        <v>-0.2035418695557184</v>
      </c>
      <c r="Q1637">
        <f t="shared" si="203"/>
        <v>0</v>
      </c>
      <c r="R1637">
        <f t="shared" si="204"/>
        <v>-5.5511567349749835E-3</v>
      </c>
      <c r="S1637">
        <f t="array" ref="S1637">+$B$2*SIN(R1637*$B$3+$B$4)+0*R1637+ SUM($J$2:$J$20*SIN(2*PI()*N1637*$I$2:$I$20+$K$2:$K$20))</f>
        <v>-0.18741544318178344</v>
      </c>
      <c r="U1637" s="3">
        <f t="shared" si="200"/>
        <v>2016.2499999998761</v>
      </c>
      <c r="V1637" s="3">
        <f t="shared" si="201"/>
        <v>5.9945999999999999E-2</v>
      </c>
      <c r="Z1637" s="1">
        <v>2016.2917</v>
      </c>
      <c r="AA1637" s="2">
        <f t="shared" si="205"/>
        <v>-0.43248399999999998</v>
      </c>
      <c r="AB1637">
        <v>-21.624199999999998</v>
      </c>
      <c r="AE1637">
        <v>2016.2499999998761</v>
      </c>
      <c r="AF1637">
        <v>-0.18741544318178344</v>
      </c>
    </row>
    <row r="1638" spans="4:32" x14ac:dyDescent="0.35">
      <c r="D1638">
        <v>-0.50004199999999999</v>
      </c>
      <c r="M1638">
        <f t="shared" si="206"/>
        <v>1637</v>
      </c>
      <c r="N1638">
        <f t="shared" si="207"/>
        <v>2016.3333333332093</v>
      </c>
      <c r="O1638">
        <f t="shared" si="202"/>
        <v>0</v>
      </c>
      <c r="P1638">
        <f t="array" ref="P1638">+SUM($G$2:$G$18*SIN(2*PI()*(N1638)*$B$1/$F$2:$F$18+$H$2:$H$18))</f>
        <v>0.20532820062793197</v>
      </c>
      <c r="Q1638">
        <f t="shared" si="203"/>
        <v>0</v>
      </c>
      <c r="R1638">
        <f t="shared" si="204"/>
        <v>-5.5426182735907022E-3</v>
      </c>
      <c r="S1638">
        <f t="array" ref="S1638">+$B$2*SIN(R1638*$B$3+$B$4)+0*R1638+ SUM($J$2:$J$20*SIN(2*PI()*N1638*$I$2:$I$20+$K$2:$K$20))</f>
        <v>-0.18858677755411507</v>
      </c>
      <c r="U1638" s="3">
        <f t="shared" si="200"/>
        <v>2016.3333333332093</v>
      </c>
      <c r="V1638" s="3">
        <f t="shared" si="201"/>
        <v>0.11217000000000001</v>
      </c>
      <c r="Z1638" s="1">
        <v>2016.375</v>
      </c>
      <c r="AA1638" s="2">
        <f t="shared" si="205"/>
        <v>-0.45569200000000004</v>
      </c>
      <c r="AB1638">
        <v>-22.784600000000001</v>
      </c>
      <c r="AE1638">
        <v>2016.3333333332093</v>
      </c>
      <c r="AF1638">
        <v>-0.18858677755411507</v>
      </c>
    </row>
    <row r="1639" spans="4:32" x14ac:dyDescent="0.35">
      <c r="D1639">
        <v>-0.43248399999999998</v>
      </c>
      <c r="M1639">
        <f t="shared" si="206"/>
        <v>1638</v>
      </c>
      <c r="N1639">
        <f t="shared" si="207"/>
        <v>2016.4166666665426</v>
      </c>
      <c r="O1639">
        <f t="shared" si="202"/>
        <v>0</v>
      </c>
      <c r="P1639">
        <f t="array" ref="P1639">+SUM($G$2:$G$18*SIN(2*PI()*(N1639)*$B$1/$F$2:$F$18+$H$2:$H$18))</f>
        <v>0.46345630535595905</v>
      </c>
      <c r="Q1639">
        <f t="shared" si="203"/>
        <v>0</v>
      </c>
      <c r="R1639">
        <f t="shared" si="204"/>
        <v>-5.5340929455633577E-3</v>
      </c>
      <c r="S1639">
        <f t="array" ref="S1639">+$B$2*SIN(R1639*$B$3+$B$4)+0*R1639+ SUM($J$2:$J$20*SIN(2*PI()*N1639*$I$2:$I$20+$K$2:$K$20))</f>
        <v>-0.18975582433340821</v>
      </c>
      <c r="U1639" s="3">
        <f t="shared" si="200"/>
        <v>2016.4166666665426</v>
      </c>
      <c r="V1639" s="3">
        <f t="shared" si="201"/>
        <v>-0.13560800000000001</v>
      </c>
      <c r="Z1639" s="1">
        <v>2016.4583</v>
      </c>
      <c r="AA1639" s="2">
        <f t="shared" si="205"/>
        <v>-0.38043999999999994</v>
      </c>
      <c r="AB1639">
        <v>-19.021999999999998</v>
      </c>
      <c r="AE1639">
        <v>2016.4166666665426</v>
      </c>
      <c r="AF1639">
        <v>-0.18975582433340821</v>
      </c>
    </row>
    <row r="1640" spans="4:32" x14ac:dyDescent="0.35">
      <c r="D1640">
        <v>-0.45569200000000004</v>
      </c>
      <c r="M1640">
        <f t="shared" si="206"/>
        <v>1639</v>
      </c>
      <c r="N1640">
        <f t="shared" si="207"/>
        <v>2016.4999999998759</v>
      </c>
      <c r="O1640">
        <f t="shared" si="202"/>
        <v>0</v>
      </c>
      <c r="P1640">
        <f t="array" ref="P1640">+SUM($G$2:$G$18*SIN(2*PI()*(N1640)*$B$1/$F$2:$F$18+$H$2:$H$18))</f>
        <v>0.29229653642601261</v>
      </c>
      <c r="Q1640">
        <f t="shared" si="203"/>
        <v>0</v>
      </c>
      <c r="R1640">
        <f t="shared" si="204"/>
        <v>-5.525580730691996E-3</v>
      </c>
      <c r="S1640">
        <f t="array" ref="S1640">+$B$2*SIN(R1640*$B$3+$B$4)+0*R1640+ SUM($J$2:$J$20*SIN(2*PI()*N1640*$I$2:$I$20+$K$2:$K$20))</f>
        <v>-0.19092258552902924</v>
      </c>
      <c r="U1640" s="3">
        <f t="shared" si="200"/>
        <v>2016.4999999998759</v>
      </c>
      <c r="V1640" s="3">
        <f t="shared" si="201"/>
        <v>-0.28492400000000001</v>
      </c>
      <c r="Z1640" s="1">
        <v>2016.5417</v>
      </c>
      <c r="AA1640" s="2">
        <f t="shared" si="205"/>
        <v>-0.40211599999999997</v>
      </c>
      <c r="AB1640">
        <v>-20.105799999999999</v>
      </c>
      <c r="AE1640">
        <v>2016.4999999998759</v>
      </c>
      <c r="AF1640">
        <v>-0.19092258552902924</v>
      </c>
    </row>
    <row r="1641" spans="4:32" x14ac:dyDescent="0.35">
      <c r="D1641">
        <v>-0.38043999999999994</v>
      </c>
      <c r="M1641">
        <f t="shared" si="206"/>
        <v>1640</v>
      </c>
      <c r="N1641">
        <f t="shared" si="207"/>
        <v>2016.5833333332091</v>
      </c>
      <c r="O1641">
        <f t="shared" si="202"/>
        <v>0</v>
      </c>
      <c r="P1641">
        <f t="array" ref="P1641">+SUM($G$2:$G$18*SIN(2*PI()*(N1641)*$B$1/$F$2:$F$18+$H$2:$H$18))</f>
        <v>7.0887830227632231E-3</v>
      </c>
      <c r="Q1641">
        <f t="shared" si="203"/>
        <v>0</v>
      </c>
      <c r="R1641">
        <f t="shared" si="204"/>
        <v>-5.5170816088067351E-3</v>
      </c>
      <c r="S1641">
        <f t="array" ref="S1641">+$B$2*SIN(R1641*$B$3+$B$4)+0*R1641+ SUM($J$2:$J$20*SIN(2*PI()*N1641*$I$2:$I$20+$K$2:$K$20))</f>
        <v>-0.19208706316697699</v>
      </c>
      <c r="U1641" s="3">
        <f t="shared" si="200"/>
        <v>2016.5833333332091</v>
      </c>
      <c r="V1641" s="3">
        <f t="shared" si="201"/>
        <v>-0.31731599999999999</v>
      </c>
      <c r="Z1641" s="1">
        <v>2016.625</v>
      </c>
      <c r="AA1641" s="2">
        <f t="shared" si="205"/>
        <v>-0.48379</v>
      </c>
      <c r="AB1641">
        <v>-24.189499999999999</v>
      </c>
      <c r="AE1641">
        <v>2016.5833333332091</v>
      </c>
      <c r="AF1641">
        <v>-0.19208706316697699</v>
      </c>
    </row>
    <row r="1642" spans="4:32" x14ac:dyDescent="0.35">
      <c r="D1642">
        <v>-0.40211599999999997</v>
      </c>
      <c r="M1642">
        <f t="shared" si="206"/>
        <v>1641</v>
      </c>
      <c r="N1642">
        <f t="shared" si="207"/>
        <v>2016.6666666665424</v>
      </c>
      <c r="O1642">
        <f t="shared" si="202"/>
        <v>0</v>
      </c>
      <c r="P1642">
        <f t="array" ref="P1642">+SUM($G$2:$G$18*SIN(2*PI()*(N1642)*$B$1/$F$2:$F$18+$H$2:$H$18))</f>
        <v>-0.25745613723052346</v>
      </c>
      <c r="Q1642">
        <f t="shared" si="203"/>
        <v>0</v>
      </c>
      <c r="R1642">
        <f t="shared" si="204"/>
        <v>-5.5085955597687164E-3</v>
      </c>
      <c r="S1642">
        <f t="array" ref="S1642">+$B$2*SIN(R1642*$B$3+$B$4)+0*R1642+ SUM($J$2:$J$20*SIN(2*PI()*N1642*$I$2:$I$20+$K$2:$K$20))</f>
        <v>-0.19324925928972622</v>
      </c>
      <c r="U1642" s="3">
        <f t="shared" si="200"/>
        <v>2016.6666666665424</v>
      </c>
      <c r="V1642" s="3">
        <f t="shared" si="201"/>
        <v>-0.25433</v>
      </c>
      <c r="Z1642" s="1">
        <v>2016.7083</v>
      </c>
      <c r="AA1642" s="2">
        <f t="shared" si="205"/>
        <v>-0.63007999999999997</v>
      </c>
      <c r="AB1642">
        <v>-31.504000000000001</v>
      </c>
      <c r="AE1642">
        <v>2016.6666666665424</v>
      </c>
      <c r="AF1642">
        <v>-0.19324925928972622</v>
      </c>
    </row>
    <row r="1643" spans="4:32" x14ac:dyDescent="0.35">
      <c r="D1643">
        <v>-0.48379</v>
      </c>
      <c r="M1643">
        <f t="shared" si="206"/>
        <v>1642</v>
      </c>
      <c r="N1643">
        <f t="shared" si="207"/>
        <v>2016.7499999998756</v>
      </c>
      <c r="O1643">
        <f t="shared" si="202"/>
        <v>0</v>
      </c>
      <c r="P1643">
        <f t="array" ref="P1643">+SUM($G$2:$G$18*SIN(2*PI()*(N1643)*$B$1/$F$2:$F$18+$H$2:$H$18))</f>
        <v>-0.42829414791475878</v>
      </c>
      <c r="Q1643">
        <f t="shared" si="203"/>
        <v>0</v>
      </c>
      <c r="R1643">
        <f t="shared" si="204"/>
        <v>-5.5001225634700593E-3</v>
      </c>
      <c r="S1643">
        <f t="array" ref="S1643">+$B$2*SIN(R1643*$B$3+$B$4)+0*R1643+ SUM($J$2:$J$20*SIN(2*PI()*N1643*$I$2:$I$20+$K$2:$K$20))</f>
        <v>-0.19440917595607507</v>
      </c>
      <c r="U1643" s="3">
        <f t="shared" si="200"/>
        <v>2016.7499999998756</v>
      </c>
      <c r="V1643" s="3">
        <f t="shared" si="201"/>
        <v>-0.25134000000000001</v>
      </c>
      <c r="Z1643" s="1">
        <v>2016.7917</v>
      </c>
      <c r="AA1643" s="2">
        <f t="shared" si="205"/>
        <v>-0.38252999999999998</v>
      </c>
      <c r="AB1643">
        <v>-19.1265</v>
      </c>
      <c r="AE1643">
        <v>2016.7499999998756</v>
      </c>
      <c r="AF1643">
        <v>-0.19440917595607507</v>
      </c>
    </row>
    <row r="1644" spans="4:32" x14ac:dyDescent="0.35">
      <c r="D1644">
        <v>-0.63007999999999997</v>
      </c>
      <c r="M1644">
        <f t="shared" si="206"/>
        <v>1643</v>
      </c>
      <c r="N1644">
        <f t="shared" si="207"/>
        <v>2016.8333333332089</v>
      </c>
      <c r="O1644">
        <f t="shared" si="202"/>
        <v>0</v>
      </c>
      <c r="P1644">
        <f t="array" ref="P1644">+SUM($G$2:$G$18*SIN(2*PI()*(N1644)*$B$1/$F$2:$F$18+$H$2:$H$18))</f>
        <v>-0.22992569769942492</v>
      </c>
      <c r="Q1644">
        <f t="shared" si="203"/>
        <v>0</v>
      </c>
      <c r="R1644">
        <f t="shared" si="204"/>
        <v>-5.4916625998338115E-3</v>
      </c>
      <c r="S1644">
        <f t="array" ref="S1644">+$B$2*SIN(R1644*$B$3+$B$4)+0*R1644+ SUM($J$2:$J$20*SIN(2*PI()*N1644*$I$2:$I$20+$K$2:$K$20))</f>
        <v>-0.19556681524098807</v>
      </c>
      <c r="U1644" s="3">
        <f t="shared" si="200"/>
        <v>2016.8333333332089</v>
      </c>
      <c r="V1644" s="3">
        <f t="shared" si="201"/>
        <v>-0.228352</v>
      </c>
      <c r="Z1644" s="1">
        <v>2016.875</v>
      </c>
      <c r="AA1644" s="2">
        <f t="shared" si="205"/>
        <v>-0.29189799999999999</v>
      </c>
      <c r="AB1644">
        <v>-14.594900000000001</v>
      </c>
      <c r="AE1644">
        <v>2016.8333333332089</v>
      </c>
      <c r="AF1644">
        <v>-0.19556681524098807</v>
      </c>
    </row>
    <row r="1645" spans="4:32" x14ac:dyDescent="0.35">
      <c r="D1645">
        <v>-0.38252999999999998</v>
      </c>
      <c r="M1645">
        <f t="shared" si="206"/>
        <v>1644</v>
      </c>
      <c r="N1645">
        <f t="shared" si="207"/>
        <v>2016.9166666665421</v>
      </c>
      <c r="O1645">
        <f t="shared" si="202"/>
        <v>0</v>
      </c>
      <c r="P1645">
        <f t="array" ref="P1645">+SUM($G$2:$G$18*SIN(2*PI()*(N1645)*$B$1/$F$2:$F$18+$H$2:$H$18))</f>
        <v>3.0533072537268113E-2</v>
      </c>
      <c r="Q1645">
        <f t="shared" si="203"/>
        <v>0</v>
      </c>
      <c r="R1645">
        <f t="shared" si="204"/>
        <v>-5.4832156488139007E-3</v>
      </c>
      <c r="S1645">
        <f t="array" ref="S1645">+$B$2*SIN(R1645*$B$3+$B$4)+0*R1645+ SUM($J$2:$J$20*SIN(2*PI()*N1645*$I$2:$I$20+$K$2:$K$20))</f>
        <v>-0.19672217923544477</v>
      </c>
      <c r="U1645" s="3">
        <f t="shared" si="200"/>
        <v>2016.9166666665421</v>
      </c>
      <c r="V1645" s="3">
        <f t="shared" si="201"/>
        <v>-0.61460000000000004</v>
      </c>
      <c r="Z1645" s="1">
        <v>2016.9583</v>
      </c>
      <c r="AA1645" s="2">
        <f t="shared" si="205"/>
        <v>-0.15203800000000001</v>
      </c>
      <c r="AB1645">
        <v>-7.6018999999999997</v>
      </c>
      <c r="AE1645">
        <v>2016.9166666665421</v>
      </c>
      <c r="AF1645">
        <v>-0.19672217923544477</v>
      </c>
    </row>
    <row r="1646" spans="4:32" x14ac:dyDescent="0.35">
      <c r="D1646">
        <v>-0.29189799999999999</v>
      </c>
      <c r="M1646">
        <f t="shared" si="206"/>
        <v>1645</v>
      </c>
      <c r="N1646">
        <f t="shared" si="207"/>
        <v>2016.9999999998754</v>
      </c>
      <c r="O1646">
        <f t="shared" si="202"/>
        <v>36.637715116165623</v>
      </c>
      <c r="P1646">
        <f t="array" ref="P1646">+SUM($G$2:$G$18*SIN(2*PI()*(N1646)*$B$1/$F$2:$F$18+$H$2:$H$18))</f>
        <v>8.6139353817383718E-2</v>
      </c>
      <c r="Q1646">
        <f t="shared" si="203"/>
        <v>3.1559491054518984</v>
      </c>
      <c r="R1646">
        <f t="shared" si="204"/>
        <v>-6.2048719752316305E-4</v>
      </c>
      <c r="S1646">
        <f t="array" ref="S1646">+$B$2*SIN(R1646*$B$3+$B$4)+0*R1646+ SUM($J$2:$J$20*SIN(2*PI()*N1646*$I$2:$I$20+$K$2:$K$20))</f>
        <v>-0.69587686789737879</v>
      </c>
      <c r="U1646" s="3">
        <f t="shared" si="200"/>
        <v>2016.9999999998754</v>
      </c>
      <c r="V1646" s="3">
        <f t="shared" si="201"/>
        <v>-0.63007599999999997</v>
      </c>
      <c r="Z1646" s="1">
        <v>2017.0417</v>
      </c>
      <c r="AA1646" s="2">
        <f t="shared" si="205"/>
        <v>0.17089400000000002</v>
      </c>
      <c r="AB1646">
        <v>8.5447000000000006</v>
      </c>
      <c r="AE1646">
        <v>2016.9999999998754</v>
      </c>
      <c r="AF1646">
        <v>-0.69587686789737879</v>
      </c>
    </row>
    <row r="1647" spans="4:32" x14ac:dyDescent="0.35">
      <c r="D1647">
        <v>-0.15203800000000001</v>
      </c>
      <c r="M1647">
        <f t="shared" si="206"/>
        <v>1646</v>
      </c>
      <c r="N1647">
        <f t="shared" si="207"/>
        <v>2017.0833333332087</v>
      </c>
      <c r="O1647">
        <f t="shared" si="202"/>
        <v>0</v>
      </c>
      <c r="P1647">
        <f t="array" ref="P1647">+SUM($G$2:$G$18*SIN(2*PI()*(N1647)*$B$1/$F$2:$F$18+$H$2:$H$18))</f>
        <v>0.25431753065051566</v>
      </c>
      <c r="Q1647">
        <f t="shared" si="203"/>
        <v>0</v>
      </c>
      <c r="R1647">
        <f t="shared" si="204"/>
        <v>-6.1953280076795846E-4</v>
      </c>
      <c r="S1647">
        <f t="array" ref="S1647">+$B$2*SIN(R1647*$B$3+$B$4)+0*R1647+ SUM($J$2:$J$20*SIN(2*PI()*N1647*$I$2:$I$20+$K$2:$K$20))</f>
        <v>-0.69592840765471797</v>
      </c>
      <c r="U1647" s="3">
        <f t="shared" si="200"/>
        <v>2017.0833333332087</v>
      </c>
      <c r="V1647" s="3">
        <f t="shared" si="201"/>
        <v>-0.62863000000000002</v>
      </c>
      <c r="Z1647" s="1">
        <v>2017.125</v>
      </c>
      <c r="AA1647" s="2">
        <f t="shared" si="205"/>
        <v>0.18767399999999998</v>
      </c>
      <c r="AB1647">
        <v>9.3836999999999993</v>
      </c>
      <c r="AE1647">
        <v>2017.0833333332087</v>
      </c>
      <c r="AF1647">
        <v>-0.69592840765471797</v>
      </c>
    </row>
    <row r="1648" spans="4:32" x14ac:dyDescent="0.35">
      <c r="D1648">
        <v>0.17089400000000002</v>
      </c>
      <c r="M1648">
        <f t="shared" si="206"/>
        <v>1647</v>
      </c>
      <c r="N1648">
        <f t="shared" si="207"/>
        <v>2017.1666666665419</v>
      </c>
      <c r="O1648">
        <f t="shared" si="202"/>
        <v>0</v>
      </c>
      <c r="P1648">
        <f t="array" ref="P1648">+SUM($G$2:$G$18*SIN(2*PI()*(N1648)*$B$1/$F$2:$F$18+$H$2:$H$18))</f>
        <v>0.41841862446176259</v>
      </c>
      <c r="Q1648">
        <f t="shared" si="203"/>
        <v>0</v>
      </c>
      <c r="R1648">
        <f t="shared" si="204"/>
        <v>-6.1857987200946677E-4</v>
      </c>
      <c r="S1648">
        <f t="array" ref="S1648">+$B$2*SIN(R1648*$B$3+$B$4)+0*R1648+ SUM($J$2:$J$20*SIN(2*PI()*N1648*$I$2:$I$20+$K$2:$K$20))</f>
        <v>-0.69597984573322369</v>
      </c>
      <c r="U1648" s="3">
        <f t="shared" si="200"/>
        <v>2017.1666666665419</v>
      </c>
      <c r="V1648" s="3">
        <f t="shared" si="201"/>
        <v>-0.49795800000000001</v>
      </c>
      <c r="Z1648" s="1">
        <v>2017.2083</v>
      </c>
      <c r="AA1648" s="2">
        <f t="shared" si="205"/>
        <v>0.19522400000000001</v>
      </c>
      <c r="AB1648">
        <v>9.7612000000000005</v>
      </c>
      <c r="AE1648">
        <v>2017.1666666665419</v>
      </c>
      <c r="AF1648">
        <v>-0.69597984573322369</v>
      </c>
    </row>
    <row r="1649" spans="4:32" x14ac:dyDescent="0.35">
      <c r="D1649">
        <v>0.18767399999999998</v>
      </c>
      <c r="M1649">
        <f t="shared" si="206"/>
        <v>1648</v>
      </c>
      <c r="N1649">
        <f t="shared" si="207"/>
        <v>2017.2499999998752</v>
      </c>
      <c r="O1649">
        <f t="shared" si="202"/>
        <v>0</v>
      </c>
      <c r="P1649">
        <f t="array" ref="P1649">+SUM($G$2:$G$18*SIN(2*PI()*(N1649)*$B$1/$F$2:$F$18+$H$2:$H$18))</f>
        <v>0.28169391554376483</v>
      </c>
      <c r="Q1649">
        <f t="shared" si="203"/>
        <v>0</v>
      </c>
      <c r="R1649">
        <f t="shared" si="204"/>
        <v>-6.1762840898970208E-4</v>
      </c>
      <c r="S1649">
        <f t="array" ref="S1649">+$B$2*SIN(R1649*$B$3+$B$4)+0*R1649+ SUM($J$2:$J$20*SIN(2*PI()*N1649*$I$2:$I$20+$K$2:$K$20))</f>
        <v>-0.69603118235650763</v>
      </c>
      <c r="U1649" s="3">
        <f t="shared" si="200"/>
        <v>2017.2499999998752</v>
      </c>
      <c r="V1649" s="3">
        <f t="shared" si="201"/>
        <v>-0.85805200000000004</v>
      </c>
      <c r="Z1649" s="1">
        <v>2017.2917</v>
      </c>
      <c r="AA1649" s="2">
        <f t="shared" si="205"/>
        <v>0.29353800000000002</v>
      </c>
      <c r="AB1649">
        <v>14.6769</v>
      </c>
      <c r="AE1649">
        <v>2017.2499999998752</v>
      </c>
      <c r="AF1649">
        <v>-0.69603118235650763</v>
      </c>
    </row>
    <row r="1650" spans="4:32" x14ac:dyDescent="0.35">
      <c r="D1650">
        <v>0.19522400000000001</v>
      </c>
      <c r="M1650">
        <f t="shared" si="206"/>
        <v>1649</v>
      </c>
      <c r="N1650">
        <f t="shared" si="207"/>
        <v>2017.3333333332084</v>
      </c>
      <c r="O1650">
        <f t="shared" si="202"/>
        <v>0</v>
      </c>
      <c r="P1650">
        <f t="array" ref="P1650">+SUM($G$2:$G$18*SIN(2*PI()*(N1650)*$B$1/$F$2:$F$18+$H$2:$H$18))</f>
        <v>-4.2448049712798447E-2</v>
      </c>
      <c r="Q1650">
        <f t="shared" si="203"/>
        <v>0</v>
      </c>
      <c r="R1650">
        <f t="shared" si="204"/>
        <v>-6.1667840945415174E-4</v>
      </c>
      <c r="S1650">
        <f t="array" ref="S1650">+$B$2*SIN(R1650*$B$3+$B$4)+0*R1650+ SUM($J$2:$J$20*SIN(2*PI()*N1650*$I$2:$I$20+$K$2:$K$20))</f>
        <v>-0.69608241774763946</v>
      </c>
      <c r="U1650" s="3">
        <f t="shared" si="200"/>
        <v>2017.3333333332084</v>
      </c>
      <c r="V1650" s="3">
        <f t="shared" si="201"/>
        <v>-0.96737799999999996</v>
      </c>
      <c r="Z1650" s="1">
        <v>2017.375</v>
      </c>
      <c r="AA1650" s="2">
        <f t="shared" si="205"/>
        <v>0.47954599999999997</v>
      </c>
      <c r="AB1650">
        <v>23.9773</v>
      </c>
      <c r="AE1650">
        <v>2017.3333333332084</v>
      </c>
      <c r="AF1650">
        <v>-0.69608241774763946</v>
      </c>
    </row>
    <row r="1651" spans="4:32" x14ac:dyDescent="0.35">
      <c r="D1651">
        <v>0.29353800000000002</v>
      </c>
      <c r="M1651">
        <f t="shared" si="206"/>
        <v>1650</v>
      </c>
      <c r="N1651">
        <f t="shared" si="207"/>
        <v>2017.4166666665417</v>
      </c>
      <c r="O1651">
        <f t="shared" si="202"/>
        <v>0</v>
      </c>
      <c r="P1651">
        <f t="array" ref="P1651">+SUM($G$2:$G$18*SIN(2*PI()*(N1651)*$B$1/$F$2:$F$18+$H$2:$H$18))</f>
        <v>-0.41572461441273112</v>
      </c>
      <c r="Q1651">
        <f t="shared" si="203"/>
        <v>0</v>
      </c>
      <c r="R1651">
        <f t="shared" si="204"/>
        <v>-6.157298711517707E-4</v>
      </c>
      <c r="S1651">
        <f t="array" ref="S1651">+$B$2*SIN(R1651*$B$3+$B$4)+0*R1651+ SUM($J$2:$J$20*SIN(2*PI()*N1651*$I$2:$I$20+$K$2:$K$20))</f>
        <v>-0.69613355212914785</v>
      </c>
      <c r="U1651" s="3">
        <f t="shared" si="200"/>
        <v>2017.4166666665417</v>
      </c>
      <c r="V1651" s="3">
        <f t="shared" si="201"/>
        <v>-0.84593999999999991</v>
      </c>
      <c r="Z1651" s="1">
        <v>2017.4583</v>
      </c>
      <c r="AA1651" s="2">
        <f t="shared" si="205"/>
        <v>0.76863000000000004</v>
      </c>
      <c r="AB1651">
        <v>38.4315</v>
      </c>
      <c r="AE1651">
        <v>2017.4166666665417</v>
      </c>
      <c r="AF1651">
        <v>-0.69613355212914785</v>
      </c>
    </row>
    <row r="1652" spans="4:32" x14ac:dyDescent="0.35">
      <c r="D1652">
        <v>0.47954599999999997</v>
      </c>
      <c r="M1652">
        <f t="shared" si="206"/>
        <v>1651</v>
      </c>
      <c r="N1652">
        <f t="shared" si="207"/>
        <v>2017.4999999998749</v>
      </c>
      <c r="O1652">
        <f t="shared" si="202"/>
        <v>0</v>
      </c>
      <c r="P1652">
        <f t="array" ref="P1652">+SUM($G$2:$G$18*SIN(2*PI()*(N1652)*$B$1/$F$2:$F$18+$H$2:$H$18))</f>
        <v>-0.42258827139261568</v>
      </c>
      <c r="Q1652">
        <f t="shared" si="203"/>
        <v>0</v>
      </c>
      <c r="R1652">
        <f t="shared" si="204"/>
        <v>-6.1478279183497652E-4</v>
      </c>
      <c r="S1652">
        <f t="array" ref="S1652">+$B$2*SIN(R1652*$B$3+$B$4)+0*R1652+ SUM($J$2:$J$20*SIN(2*PI()*N1652*$I$2:$I$20+$K$2:$K$20))</f>
        <v>-0.696184585723022</v>
      </c>
      <c r="U1652" s="3">
        <f t="shared" si="200"/>
        <v>2017.4999999998749</v>
      </c>
      <c r="V1652" s="3">
        <f t="shared" si="201"/>
        <v>-0.65219199999999999</v>
      </c>
      <c r="Z1652" s="1">
        <v>2017.5417</v>
      </c>
      <c r="AA1652" s="2">
        <f t="shared" si="205"/>
        <v>0.79771000000000003</v>
      </c>
      <c r="AB1652">
        <v>39.8855</v>
      </c>
      <c r="AE1652">
        <v>2017.4999999998749</v>
      </c>
      <c r="AF1652">
        <v>-0.696184585723022</v>
      </c>
    </row>
    <row r="1653" spans="4:32" x14ac:dyDescent="0.35">
      <c r="D1653">
        <v>0.76863000000000004</v>
      </c>
      <c r="M1653">
        <f t="shared" si="206"/>
        <v>1652</v>
      </c>
      <c r="N1653">
        <f t="shared" si="207"/>
        <v>2017.5833333332082</v>
      </c>
      <c r="O1653">
        <f t="shared" si="202"/>
        <v>0</v>
      </c>
      <c r="P1653">
        <f t="array" ref="P1653">+SUM($G$2:$G$18*SIN(2*PI()*(N1653)*$B$1/$F$2:$F$18+$H$2:$H$18))</f>
        <v>0.10590481106413384</v>
      </c>
      <c r="Q1653">
        <f t="shared" si="203"/>
        <v>0</v>
      </c>
      <c r="R1653">
        <f t="shared" si="204"/>
        <v>-6.1383716925964363E-4</v>
      </c>
      <c r="S1653">
        <f t="array" ref="S1653">+$B$2*SIN(R1653*$B$3+$B$4)+0*R1653+ SUM($J$2:$J$20*SIN(2*PI()*N1653*$I$2:$I$20+$K$2:$K$20))</f>
        <v>-0.69623551875071332</v>
      </c>
      <c r="U1653" s="3">
        <f t="shared" si="200"/>
        <v>2017.5833333332082</v>
      </c>
      <c r="V1653" s="3">
        <f t="shared" si="201"/>
        <v>-0.62921399999999994</v>
      </c>
      <c r="Z1653" s="1">
        <v>2017.625</v>
      </c>
      <c r="AA1653" s="2">
        <f t="shared" si="205"/>
        <v>0.66986800000000002</v>
      </c>
      <c r="AB1653">
        <v>33.493400000000001</v>
      </c>
      <c r="AE1653">
        <v>2017.5833333332082</v>
      </c>
      <c r="AF1653">
        <v>-0.69623551875071332</v>
      </c>
    </row>
    <row r="1654" spans="4:32" x14ac:dyDescent="0.35">
      <c r="D1654">
        <v>0.79771000000000003</v>
      </c>
      <c r="M1654">
        <f t="shared" si="206"/>
        <v>1653</v>
      </c>
      <c r="N1654">
        <f t="shared" si="207"/>
        <v>2017.6666666665415</v>
      </c>
      <c r="O1654">
        <f t="shared" si="202"/>
        <v>0</v>
      </c>
      <c r="P1654">
        <f t="array" ref="P1654">+SUM($G$2:$G$18*SIN(2*PI()*(N1654)*$B$1/$F$2:$F$18+$H$2:$H$18))</f>
        <v>0.4050667474380249</v>
      </c>
      <c r="Q1654">
        <f t="shared" si="203"/>
        <v>0</v>
      </c>
      <c r="R1654">
        <f t="shared" si="204"/>
        <v>-6.1289300118509845E-4</v>
      </c>
      <c r="S1654">
        <f t="array" ref="S1654">+$B$2*SIN(R1654*$B$3+$B$4)+0*R1654+ SUM($J$2:$J$20*SIN(2*PI()*N1654*$I$2:$I$20+$K$2:$K$20))</f>
        <v>-0.69628635143313622</v>
      </c>
      <c r="U1654" s="3">
        <f t="shared" si="200"/>
        <v>2017.6666666665415</v>
      </c>
      <c r="V1654" s="3">
        <f t="shared" si="201"/>
        <v>-0.49085600000000001</v>
      </c>
      <c r="Z1654" s="1">
        <v>2017.7083</v>
      </c>
      <c r="AA1654" s="2">
        <f t="shared" si="205"/>
        <v>0.76664199999999993</v>
      </c>
      <c r="AB1654">
        <v>38.332099999999997</v>
      </c>
      <c r="AE1654">
        <v>2017.6666666665415</v>
      </c>
      <c r="AF1654">
        <v>-0.69628635143313622</v>
      </c>
    </row>
    <row r="1655" spans="4:32" x14ac:dyDescent="0.35">
      <c r="D1655">
        <v>0.66986800000000002</v>
      </c>
      <c r="M1655">
        <f t="shared" si="206"/>
        <v>1654</v>
      </c>
      <c r="N1655">
        <f t="shared" si="207"/>
        <v>2017.7499999998747</v>
      </c>
      <c r="O1655">
        <f t="shared" si="202"/>
        <v>0</v>
      </c>
      <c r="P1655">
        <f t="array" ref="P1655">+SUM($G$2:$G$18*SIN(2*PI()*(N1655)*$B$1/$F$2:$F$18+$H$2:$H$18))</f>
        <v>0.24094586704848664</v>
      </c>
      <c r="Q1655">
        <f t="shared" si="203"/>
        <v>0</v>
      </c>
      <c r="R1655">
        <f t="shared" si="204"/>
        <v>-6.1195028537411377E-4</v>
      </c>
      <c r="S1655">
        <f t="array" ref="S1655">+$B$2*SIN(R1655*$B$3+$B$4)+0*R1655+ SUM($J$2:$J$20*SIN(2*PI()*N1655*$I$2:$I$20+$K$2:$K$20))</f>
        <v>-0.69633708399067007</v>
      </c>
      <c r="U1655" s="3">
        <f t="shared" si="200"/>
        <v>2017.7499999998747</v>
      </c>
      <c r="V1655" s="3">
        <f t="shared" si="201"/>
        <v>-0.62788200000000005</v>
      </c>
      <c r="Z1655" s="1">
        <v>2017.7917</v>
      </c>
      <c r="AA1655" s="2">
        <f t="shared" si="205"/>
        <v>0.66648600000000002</v>
      </c>
      <c r="AB1655">
        <v>33.324300000000001</v>
      </c>
      <c r="AE1655">
        <v>2017.7499999998747</v>
      </c>
      <c r="AF1655">
        <v>-0.69633708399067007</v>
      </c>
    </row>
    <row r="1656" spans="4:32" x14ac:dyDescent="0.35">
      <c r="D1656">
        <v>0.76664199999999993</v>
      </c>
      <c r="M1656">
        <f t="shared" si="206"/>
        <v>1655</v>
      </c>
      <c r="N1656">
        <f t="shared" si="207"/>
        <v>2017.833333333208</v>
      </c>
      <c r="O1656">
        <f t="shared" si="202"/>
        <v>0</v>
      </c>
      <c r="P1656">
        <f t="array" ref="P1656">+SUM($G$2:$G$18*SIN(2*PI()*(N1656)*$B$1/$F$2:$F$18+$H$2:$H$18))</f>
        <v>0.19151211173193228</v>
      </c>
      <c r="Q1656">
        <f t="shared" si="203"/>
        <v>0</v>
      </c>
      <c r="R1656">
        <f t="shared" si="204"/>
        <v>-6.110090195929035E-4</v>
      </c>
      <c r="S1656">
        <f t="array" ref="S1656">+$B$2*SIN(R1656*$B$3+$B$4)+0*R1656+ SUM($J$2:$J$20*SIN(2*PI()*N1656*$I$2:$I$20+$K$2:$K$20))</f>
        <v>-0.69638771664316024</v>
      </c>
      <c r="U1656" s="3">
        <f t="shared" si="200"/>
        <v>2017.833333333208</v>
      </c>
      <c r="V1656" s="3">
        <f t="shared" si="201"/>
        <v>-0.62952200000000003</v>
      </c>
      <c r="Z1656" s="1">
        <v>2017.875</v>
      </c>
      <c r="AA1656" s="2">
        <f t="shared" si="205"/>
        <v>0.48171999999999998</v>
      </c>
      <c r="AB1656">
        <v>24.085999999999999</v>
      </c>
      <c r="AE1656">
        <v>2017.833333333208</v>
      </c>
      <c r="AF1656">
        <v>-0.69638771664316024</v>
      </c>
    </row>
    <row r="1657" spans="4:32" x14ac:dyDescent="0.35">
      <c r="D1657">
        <v>0.66648600000000002</v>
      </c>
      <c r="M1657">
        <f t="shared" si="206"/>
        <v>1656</v>
      </c>
      <c r="N1657">
        <f t="shared" si="207"/>
        <v>2017.9166666665412</v>
      </c>
      <c r="O1657">
        <f t="shared" si="202"/>
        <v>0</v>
      </c>
      <c r="P1657">
        <f t="array" ref="P1657">+SUM($G$2:$G$18*SIN(2*PI()*(N1657)*$B$1/$F$2:$F$18+$H$2:$H$18))</f>
        <v>0.24426830290620843</v>
      </c>
      <c r="Q1657">
        <f t="shared" si="203"/>
        <v>0</v>
      </c>
      <c r="R1657">
        <f t="shared" si="204"/>
        <v>-6.1006920161111764E-4</v>
      </c>
      <c r="S1657">
        <f t="array" ref="S1657">+$B$2*SIN(R1657*$B$3+$B$4)+0*R1657+ SUM($J$2:$J$20*SIN(2*PI()*N1657*$I$2:$I$20+$K$2:$K$20))</f>
        <v>-0.69643824960991985</v>
      </c>
      <c r="U1657" s="3">
        <f t="shared" si="200"/>
        <v>2017.9166666665412</v>
      </c>
      <c r="V1657" s="3">
        <f t="shared" si="201"/>
        <v>-0.82039799999999996</v>
      </c>
      <c r="Z1657" s="1">
        <v>2017.9583</v>
      </c>
      <c r="AA1657" s="2">
        <f t="shared" si="205"/>
        <v>0.37848999999999999</v>
      </c>
      <c r="AB1657">
        <v>18.924499999999998</v>
      </c>
      <c r="AE1657">
        <v>2017.9166666665412</v>
      </c>
      <c r="AF1657">
        <v>-0.69643824960991985</v>
      </c>
    </row>
    <row r="1658" spans="4:32" x14ac:dyDescent="0.35">
      <c r="D1658">
        <v>0.48171999999999998</v>
      </c>
      <c r="M1658">
        <f t="shared" si="206"/>
        <v>1657</v>
      </c>
      <c r="N1658">
        <f t="shared" si="207"/>
        <v>2017.9999999998745</v>
      </c>
      <c r="O1658">
        <f t="shared" si="202"/>
        <v>36.637715116165623</v>
      </c>
      <c r="P1658">
        <f t="array" ref="P1658">+SUM($G$2:$G$18*SIN(2*PI()*(N1658)*$B$1/$F$2:$F$18+$H$2:$H$18))</f>
        <v>0.14011247100592744</v>
      </c>
      <c r="Q1658">
        <f t="shared" si="203"/>
        <v>5.1334007969371855</v>
      </c>
      <c r="R1658">
        <f t="shared" si="204"/>
        <v>7.2867630479297452E-3</v>
      </c>
      <c r="S1658">
        <f t="array" ref="S1658">+$B$2*SIN(R1658*$B$3+$B$4)+0*R1658+ SUM($J$2:$J$20*SIN(2*PI()*N1658*$I$2:$I$20+$K$2:$K$20))</f>
        <v>-0.34339283779266899</v>
      </c>
      <c r="U1658" s="3">
        <f t="shared" si="200"/>
        <v>2017.9999999998745</v>
      </c>
      <c r="V1658" s="3">
        <f t="shared" si="201"/>
        <v>-0.69588800000000006</v>
      </c>
      <c r="Z1658" s="1">
        <v>2018.0417</v>
      </c>
      <c r="AA1658" s="2">
        <f t="shared" si="205"/>
        <v>0.242946</v>
      </c>
      <c r="AB1658">
        <v>12.1473</v>
      </c>
      <c r="AE1658">
        <v>2017.9999999998745</v>
      </c>
      <c r="AF1658">
        <v>-0.34339283779266899</v>
      </c>
    </row>
    <row r="1659" spans="4:32" x14ac:dyDescent="0.35">
      <c r="D1659">
        <v>0.37848999999999999</v>
      </c>
      <c r="M1659">
        <f t="shared" si="206"/>
        <v>1658</v>
      </c>
      <c r="N1659">
        <f t="shared" si="207"/>
        <v>2018.0833333332077</v>
      </c>
      <c r="O1659">
        <f t="shared" si="202"/>
        <v>0</v>
      </c>
      <c r="P1659">
        <f t="array" ref="P1659">+SUM($G$2:$G$18*SIN(2*PI()*(N1659)*$B$1/$F$2:$F$18+$H$2:$H$18))</f>
        <v>-0.13942811987637296</v>
      </c>
      <c r="Q1659">
        <f t="shared" si="203"/>
        <v>0</v>
      </c>
      <c r="R1659">
        <f t="shared" si="204"/>
        <v>7.2755549794367132E-3</v>
      </c>
      <c r="S1659">
        <f t="array" ref="S1659">+$B$2*SIN(R1659*$B$3+$B$4)+0*R1659+ SUM($J$2:$J$20*SIN(2*PI()*N1659*$I$2:$I$20+$K$2:$K$20))</f>
        <v>-0.34480509749300203</v>
      </c>
      <c r="U1659" s="3">
        <f t="shared" ref="U1659:U1722" si="208">+N1659</f>
        <v>2018.0833333332077</v>
      </c>
      <c r="V1659" s="3">
        <f t="shared" ref="V1659:V1722" si="209">+D1617</f>
        <v>-1.1159939999999999</v>
      </c>
      <c r="Z1659" s="1">
        <v>2018.125</v>
      </c>
      <c r="AA1659" s="2">
        <f t="shared" si="205"/>
        <v>6.7405999999999994E-2</v>
      </c>
      <c r="AB1659">
        <v>3.3702999999999999</v>
      </c>
      <c r="AE1659">
        <v>2018.0833333332077</v>
      </c>
      <c r="AF1659">
        <v>-0.34480509749300203</v>
      </c>
    </row>
    <row r="1660" spans="4:32" x14ac:dyDescent="0.35">
      <c r="D1660">
        <v>0.242946</v>
      </c>
      <c r="M1660">
        <f t="shared" si="206"/>
        <v>1659</v>
      </c>
      <c r="N1660">
        <f t="shared" si="207"/>
        <v>2018.166666666541</v>
      </c>
      <c r="O1660">
        <f t="shared" si="202"/>
        <v>0</v>
      </c>
      <c r="P1660">
        <f t="array" ref="P1660">+SUM($G$2:$G$18*SIN(2*PI()*(N1660)*$B$1/$F$2:$F$18+$H$2:$H$18))</f>
        <v>-0.48793208478771322</v>
      </c>
      <c r="Q1660">
        <f t="shared" si="203"/>
        <v>0</v>
      </c>
      <c r="R1660">
        <f t="shared" si="204"/>
        <v>7.2643641505325792E-3</v>
      </c>
      <c r="S1660">
        <f t="array" ref="S1660">+$B$2*SIN(R1660*$B$3+$B$4)+0*R1660+ SUM($J$2:$J$20*SIN(2*PI()*N1660*$I$2:$I$20+$K$2:$K$20))</f>
        <v>-0.34621365411198268</v>
      </c>
      <c r="U1660" s="3">
        <f t="shared" si="208"/>
        <v>2018.166666666541</v>
      </c>
      <c r="V1660" s="3">
        <f t="shared" si="209"/>
        <v>-1.116104</v>
      </c>
      <c r="Z1660" s="1">
        <v>2018.2083</v>
      </c>
      <c r="AA1660" s="2">
        <f t="shared" si="205"/>
        <v>-4.5058000000000001E-2</v>
      </c>
      <c r="AB1660">
        <v>-2.2528999999999999</v>
      </c>
      <c r="AE1660">
        <v>2018.166666666541</v>
      </c>
      <c r="AF1660">
        <v>-0.34621365411198268</v>
      </c>
    </row>
    <row r="1661" spans="4:32" x14ac:dyDescent="0.35">
      <c r="D1661">
        <v>6.7405999999999994E-2</v>
      </c>
      <c r="M1661">
        <f t="shared" si="206"/>
        <v>1660</v>
      </c>
      <c r="N1661">
        <f t="shared" si="207"/>
        <v>2018.2499999998743</v>
      </c>
      <c r="O1661">
        <f t="shared" si="202"/>
        <v>0</v>
      </c>
      <c r="P1661">
        <f t="array" ref="P1661">+SUM($G$2:$G$18*SIN(2*PI()*(N1661)*$B$1/$F$2:$F$18+$H$2:$H$18))</f>
        <v>-0.34833836192017703</v>
      </c>
      <c r="Q1661">
        <f t="shared" si="203"/>
        <v>0</v>
      </c>
      <c r="R1661">
        <f t="shared" si="204"/>
        <v>7.2531905347004259E-3</v>
      </c>
      <c r="S1661">
        <f t="array" ref="S1661">+$B$2*SIN(R1661*$B$3+$B$4)+0*R1661+ SUM($J$2:$J$20*SIN(2*PI()*N1661*$I$2:$I$20+$K$2:$K$20))</f>
        <v>-0.34761851181675374</v>
      </c>
      <c r="U1661" s="3">
        <f t="shared" si="208"/>
        <v>2018.2499999998743</v>
      </c>
      <c r="V1661" s="3">
        <f t="shared" si="209"/>
        <v>-1.14852</v>
      </c>
      <c r="Z1661" s="1">
        <v>2018.2917</v>
      </c>
      <c r="AA1661" s="2">
        <f t="shared" si="205"/>
        <v>0.11016400000000001</v>
      </c>
      <c r="AB1661">
        <v>5.5082000000000004</v>
      </c>
      <c r="AE1661">
        <v>2018.2499999998743</v>
      </c>
      <c r="AF1661">
        <v>-0.34761851181675374</v>
      </c>
    </row>
    <row r="1662" spans="4:32" x14ac:dyDescent="0.35">
      <c r="D1662">
        <v>-4.5058000000000001E-2</v>
      </c>
      <c r="M1662">
        <f t="shared" si="206"/>
        <v>1661</v>
      </c>
      <c r="N1662">
        <f t="shared" si="207"/>
        <v>2018.3333333332075</v>
      </c>
      <c r="O1662">
        <f t="shared" si="202"/>
        <v>0</v>
      </c>
      <c r="P1662">
        <f t="array" ref="P1662">+SUM($G$2:$G$18*SIN(2*PI()*(N1662)*$B$1/$F$2:$F$18+$H$2:$H$18))</f>
        <v>0.281256759125452</v>
      </c>
      <c r="Q1662">
        <f t="shared" si="203"/>
        <v>0</v>
      </c>
      <c r="R1662">
        <f t="shared" si="204"/>
        <v>7.2420341054641232E-3</v>
      </c>
      <c r="S1662">
        <f t="array" ref="S1662">+$B$2*SIN(R1662*$B$3+$B$4)+0*R1662+ SUM($J$2:$J$20*SIN(2*PI()*N1662*$I$2:$I$20+$K$2:$K$20))</f>
        <v>-0.34901967480823232</v>
      </c>
      <c r="U1662" s="3">
        <f t="shared" si="208"/>
        <v>2018.3333333332075</v>
      </c>
      <c r="V1662" s="3">
        <f t="shared" si="209"/>
        <v>-0.85478200000000004</v>
      </c>
      <c r="Z1662" s="1">
        <v>2018.375</v>
      </c>
      <c r="AA1662" s="2">
        <f t="shared" si="205"/>
        <v>-0.173072</v>
      </c>
      <c r="AB1662">
        <v>-8.6536000000000008</v>
      </c>
      <c r="AE1662">
        <v>2018.3333333332075</v>
      </c>
      <c r="AF1662">
        <v>-0.34901967480823232</v>
      </c>
    </row>
    <row r="1663" spans="4:32" x14ac:dyDescent="0.35">
      <c r="D1663">
        <v>0.11016400000000001</v>
      </c>
      <c r="M1663">
        <f t="shared" si="206"/>
        <v>1662</v>
      </c>
      <c r="N1663">
        <f t="shared" si="207"/>
        <v>2018.4166666665408</v>
      </c>
      <c r="O1663">
        <f t="shared" si="202"/>
        <v>0</v>
      </c>
      <c r="P1663">
        <f t="array" ref="P1663">+SUM($G$2:$G$18*SIN(2*PI()*(N1663)*$B$1/$F$2:$F$18+$H$2:$H$18))</f>
        <v>0.48399488098917087</v>
      </c>
      <c r="Q1663">
        <f t="shared" si="203"/>
        <v>0</v>
      </c>
      <c r="R1663">
        <f t="shared" si="204"/>
        <v>7.2308948363882641E-3</v>
      </c>
      <c r="S1663">
        <f t="array" ref="S1663">+$B$2*SIN(R1663*$B$3+$B$4)+0*R1663+ SUM($J$2:$J$20*SIN(2*PI()*N1663*$I$2:$I$20+$K$2:$K$20))</f>
        <v>-0.35041714732075713</v>
      </c>
      <c r="U1663" s="3">
        <f t="shared" si="208"/>
        <v>2018.4166666665408</v>
      </c>
      <c r="V1663" s="3">
        <f t="shared" si="209"/>
        <v>-0.750282</v>
      </c>
      <c r="Z1663" s="1">
        <v>2018.4583</v>
      </c>
      <c r="AA1663" s="2">
        <f t="shared" si="205"/>
        <v>-0.50707800000000003</v>
      </c>
      <c r="AB1663">
        <v>-25.353899999999999</v>
      </c>
      <c r="AE1663">
        <v>2018.4166666665408</v>
      </c>
      <c r="AF1663">
        <v>-0.35041714732075713</v>
      </c>
    </row>
    <row r="1664" spans="4:32" x14ac:dyDescent="0.35">
      <c r="D1664">
        <v>-0.173072</v>
      </c>
      <c r="M1664">
        <f t="shared" si="206"/>
        <v>1663</v>
      </c>
      <c r="N1664">
        <f t="shared" si="207"/>
        <v>2018.499999999874</v>
      </c>
      <c r="O1664">
        <f t="shared" si="202"/>
        <v>0</v>
      </c>
      <c r="P1664">
        <f t="array" ref="P1664">+SUM($G$2:$G$18*SIN(2*PI()*(N1664)*$B$1/$F$2:$F$18+$H$2:$H$18))</f>
        <v>0.19883353879160667</v>
      </c>
      <c r="Q1664">
        <f t="shared" si="203"/>
        <v>0</v>
      </c>
      <c r="R1664">
        <f t="shared" si="204"/>
        <v>7.2197727010781037E-3</v>
      </c>
      <c r="S1664">
        <f t="array" ref="S1664">+$B$2*SIN(R1664*$B$3+$B$4)+0*R1664+ SUM($J$2:$J$20*SIN(2*PI()*N1664*$I$2:$I$20+$K$2:$K$20))</f>
        <v>-0.35181093362173732</v>
      </c>
      <c r="U1664" s="3">
        <f t="shared" si="208"/>
        <v>2018.499999999874</v>
      </c>
      <c r="V1664" s="3">
        <f t="shared" si="209"/>
        <v>-0.69808599999999998</v>
      </c>
      <c r="Z1664" s="1">
        <v>2018.5417</v>
      </c>
      <c r="AA1664" s="2">
        <f t="shared" si="205"/>
        <v>-0.51032</v>
      </c>
      <c r="AB1664">
        <v>-25.515999999999998</v>
      </c>
      <c r="AE1664">
        <v>2018.499999999874</v>
      </c>
      <c r="AF1664">
        <v>-0.35181093362173732</v>
      </c>
    </row>
    <row r="1665" spans="4:32" x14ac:dyDescent="0.35">
      <c r="D1665">
        <v>-0.50707800000000003</v>
      </c>
      <c r="M1665">
        <f t="shared" si="206"/>
        <v>1664</v>
      </c>
      <c r="N1665">
        <f t="shared" si="207"/>
        <v>2018.5833333332073</v>
      </c>
      <c r="O1665">
        <f t="shared" si="202"/>
        <v>0</v>
      </c>
      <c r="P1665">
        <f t="array" ref="P1665">+SUM($G$2:$G$18*SIN(2*PI()*(N1665)*$B$1/$F$2:$F$18+$H$2:$H$18))</f>
        <v>1.7509689379302071E-2</v>
      </c>
      <c r="Q1665">
        <f t="shared" si="203"/>
        <v>0</v>
      </c>
      <c r="R1665">
        <f t="shared" si="204"/>
        <v>7.2086676731794959E-3</v>
      </c>
      <c r="S1665">
        <f t="array" ref="S1665">+$B$2*SIN(R1665*$B$3+$B$4)+0*R1665+ SUM($J$2:$J$20*SIN(2*PI()*N1665*$I$2:$I$20+$K$2:$K$20))</f>
        <v>-0.35320103801130309</v>
      </c>
      <c r="U1665" s="3">
        <f t="shared" si="208"/>
        <v>2018.5833333332073</v>
      </c>
      <c r="V1665" s="3">
        <f t="shared" si="209"/>
        <v>-0.53050600000000003</v>
      </c>
      <c r="Z1665" s="1">
        <v>2018.625</v>
      </c>
      <c r="AA1665" s="2">
        <f t="shared" si="205"/>
        <v>-0.71201999999999999</v>
      </c>
      <c r="AB1665">
        <v>-35.600999999999999</v>
      </c>
      <c r="AE1665">
        <v>2018.5833333332073</v>
      </c>
      <c r="AF1665">
        <v>-0.35320103801130309</v>
      </c>
    </row>
    <row r="1666" spans="4:32" x14ac:dyDescent="0.35">
      <c r="D1666">
        <v>-0.51032</v>
      </c>
      <c r="M1666">
        <f t="shared" si="206"/>
        <v>1665</v>
      </c>
      <c r="N1666">
        <f t="shared" si="207"/>
        <v>2018.6666666665406</v>
      </c>
      <c r="O1666">
        <f t="shared" ref="O1666:O1729" si="210">+IF(MOD(M1666,$B$5)=1, $B$6, 0)</f>
        <v>0</v>
      </c>
      <c r="P1666">
        <f t="array" ref="P1666">+SUM($G$2:$G$18*SIN(2*PI()*(N1666)*$B$1/$F$2:$F$18+$H$2:$H$18))</f>
        <v>-7.3856541841924431E-2</v>
      </c>
      <c r="Q1666">
        <f t="shared" si="203"/>
        <v>0</v>
      </c>
      <c r="R1666">
        <f t="shared" si="204"/>
        <v>7.1975797263788303E-3</v>
      </c>
      <c r="S1666">
        <f t="array" ref="S1666">+$B$2*SIN(R1666*$B$3+$B$4)+0*R1666+ SUM($J$2:$J$20*SIN(2*PI()*N1666*$I$2:$I$20+$K$2:$K$20))</f>
        <v>-0.35458746482195991</v>
      </c>
      <c r="U1666" s="3">
        <f t="shared" si="208"/>
        <v>2018.6666666665406</v>
      </c>
      <c r="V1666" s="3">
        <f t="shared" si="209"/>
        <v>-0.37831600000000004</v>
      </c>
      <c r="Z1666" s="1">
        <v>2018.7083</v>
      </c>
      <c r="AA1666" s="2">
        <f t="shared" si="205"/>
        <v>-0.69372200000000006</v>
      </c>
      <c r="AB1666">
        <v>-34.686100000000003</v>
      </c>
      <c r="AE1666">
        <v>2018.6666666665406</v>
      </c>
      <c r="AF1666">
        <v>-0.35458746482195991</v>
      </c>
    </row>
    <row r="1667" spans="4:32" x14ac:dyDescent="0.35">
      <c r="D1667">
        <v>-0.71201999999999999</v>
      </c>
      <c r="M1667">
        <f t="shared" si="206"/>
        <v>1666</v>
      </c>
      <c r="N1667">
        <f t="shared" si="207"/>
        <v>2018.7499999998738</v>
      </c>
      <c r="O1667">
        <f t="shared" si="210"/>
        <v>0</v>
      </c>
      <c r="P1667">
        <f t="array" ref="P1667">+SUM($G$2:$G$18*SIN(2*PI()*(N1667)*$B$1/$F$2:$F$18+$H$2:$H$18))</f>
        <v>-0.14617252413338561</v>
      </c>
      <c r="Q1667">
        <f t="shared" ref="Q1667:Q1730" si="211">+O1667*P1667</f>
        <v>0</v>
      </c>
      <c r="R1667">
        <f t="shared" ref="R1667:R1730" si="212">+(1-$B$7)*R1666+($B$7)*Q1667</f>
        <v>7.1865088344029715E-3</v>
      </c>
      <c r="S1667">
        <f t="array" ref="S1667">+$B$2*SIN(R1667*$B$3+$B$4)+0*R1667+ SUM($J$2:$J$20*SIN(2*PI()*N1667*$I$2:$I$20+$K$2:$K$20))</f>
        <v>-0.35597021841824245</v>
      </c>
      <c r="U1667" s="3">
        <f t="shared" si="208"/>
        <v>2018.7499999998738</v>
      </c>
      <c r="V1667" s="3">
        <f t="shared" si="209"/>
        <v>-0.33689199999999997</v>
      </c>
      <c r="Z1667" s="1">
        <v>2018.7917</v>
      </c>
      <c r="AA1667" s="2">
        <f t="shared" ref="AA1667:AA1730" si="213">+AB1667/50</f>
        <v>-0.58927600000000002</v>
      </c>
      <c r="AB1667">
        <v>-29.463799999999999</v>
      </c>
      <c r="AE1667">
        <v>2018.7499999998738</v>
      </c>
      <c r="AF1667">
        <v>-0.35597021841824245</v>
      </c>
    </row>
    <row r="1668" spans="4:32" x14ac:dyDescent="0.35">
      <c r="D1668">
        <v>-0.69372200000000006</v>
      </c>
      <c r="M1668">
        <f t="shared" ref="M1668:M1731" si="214">+M1667+1</f>
        <v>1667</v>
      </c>
      <c r="N1668">
        <f t="shared" ref="N1668:N1731" si="215">+N1667+1/12</f>
        <v>2018.8333333332071</v>
      </c>
      <c r="O1668">
        <f t="shared" si="210"/>
        <v>0</v>
      </c>
      <c r="P1668">
        <f t="array" ref="P1668">+SUM($G$2:$G$18*SIN(2*PI()*(N1668)*$B$1/$F$2:$F$18+$H$2:$H$18))</f>
        <v>-0.26123883148606453</v>
      </c>
      <c r="Q1668">
        <f t="shared" si="211"/>
        <v>0</v>
      </c>
      <c r="R1668">
        <f t="shared" si="212"/>
        <v>7.1754549710191951E-3</v>
      </c>
      <c r="S1668">
        <f t="array" ref="S1668">+$B$2*SIN(R1668*$B$3+$B$4)+0*R1668+ SUM($J$2:$J$20*SIN(2*PI()*N1668*$I$2:$I$20+$K$2:$K$20))</f>
        <v>-0.3573493031963732</v>
      </c>
      <c r="U1668" s="3">
        <f t="shared" si="208"/>
        <v>2018.8333333332071</v>
      </c>
      <c r="V1668" s="3">
        <f t="shared" si="209"/>
        <v>-0.318546</v>
      </c>
      <c r="Z1668" s="1">
        <v>2018.875</v>
      </c>
      <c r="AA1668" s="2">
        <f t="shared" si="213"/>
        <v>-0.42944000000000004</v>
      </c>
      <c r="AB1668">
        <v>-21.472000000000001</v>
      </c>
      <c r="AE1668">
        <v>2018.8333333332071</v>
      </c>
      <c r="AF1668">
        <v>-0.3573493031963732</v>
      </c>
    </row>
    <row r="1669" spans="4:32" x14ac:dyDescent="0.35">
      <c r="D1669">
        <v>-0.58927600000000002</v>
      </c>
      <c r="M1669">
        <f t="shared" si="214"/>
        <v>1668</v>
      </c>
      <c r="N1669">
        <f t="shared" si="215"/>
        <v>2018.9166666665403</v>
      </c>
      <c r="O1669">
        <f t="shared" si="210"/>
        <v>0</v>
      </c>
      <c r="P1669">
        <f t="array" ref="P1669">+SUM($G$2:$G$18*SIN(2*PI()*(N1669)*$B$1/$F$2:$F$18+$H$2:$H$18))</f>
        <v>-0.4661484677175034</v>
      </c>
      <c r="Q1669">
        <f t="shared" si="211"/>
        <v>0</v>
      </c>
      <c r="R1669">
        <f t="shared" si="212"/>
        <v>7.1644181100351265E-3</v>
      </c>
      <c r="S1669">
        <f t="array" ref="S1669">+$B$2*SIN(R1669*$B$3+$B$4)+0*R1669+ SUM($J$2:$J$20*SIN(2*PI()*N1669*$I$2:$I$20+$K$2:$K$20))</f>
        <v>-0.3587247235839211</v>
      </c>
      <c r="U1669" s="3">
        <f t="shared" si="208"/>
        <v>2018.9166666665403</v>
      </c>
      <c r="V1669" s="3">
        <f t="shared" si="209"/>
        <v>-0.44636000000000003</v>
      </c>
      <c r="Z1669" s="1">
        <v>2018.9583</v>
      </c>
      <c r="AA1669" s="2">
        <f t="shared" si="213"/>
        <v>-0.30499199999999999</v>
      </c>
      <c r="AB1669">
        <v>-15.249599999999999</v>
      </c>
      <c r="AE1669">
        <v>2018.9166666665403</v>
      </c>
      <c r="AF1669">
        <v>-0.3587247235839211</v>
      </c>
    </row>
    <row r="1670" spans="4:32" x14ac:dyDescent="0.35">
      <c r="D1670">
        <v>-0.42944000000000004</v>
      </c>
      <c r="M1670">
        <f t="shared" si="214"/>
        <v>1669</v>
      </c>
      <c r="N1670">
        <f t="shared" si="215"/>
        <v>2018.9999999998736</v>
      </c>
      <c r="O1670">
        <f t="shared" si="210"/>
        <v>36.637715116165623</v>
      </c>
      <c r="P1670">
        <f t="array" ref="P1670">+SUM($G$2:$G$18*SIN(2*PI()*(N1670)*$B$1/$F$2:$F$18+$H$2:$H$18))</f>
        <v>-0.28099393569248987</v>
      </c>
      <c r="Q1670">
        <f t="shared" si="211"/>
        <v>-10.294975765271607</v>
      </c>
      <c r="R1670">
        <f t="shared" si="212"/>
        <v>-8.6817253751663697E-3</v>
      </c>
      <c r="S1670">
        <f t="array" ref="S1670">+$B$2*SIN(R1670*$B$3+$B$4)+0*R1670+ SUM($J$2:$J$20*SIN(2*PI()*N1670*$I$2:$I$20+$K$2:$K$20))</f>
        <v>0.2493107261154783</v>
      </c>
      <c r="U1670" s="3">
        <f t="shared" si="208"/>
        <v>2018.9999999998736</v>
      </c>
      <c r="V1670" s="3">
        <f t="shared" si="209"/>
        <v>-0.38494</v>
      </c>
      <c r="Z1670" s="1">
        <v>2019.0417</v>
      </c>
      <c r="AA1670" s="2">
        <f t="shared" si="213"/>
        <v>-3.4394000000000001E-2</v>
      </c>
      <c r="AB1670">
        <v>-1.7197</v>
      </c>
      <c r="AE1670">
        <v>2018.9999999998736</v>
      </c>
      <c r="AF1670">
        <v>0.2493107261154783</v>
      </c>
    </row>
    <row r="1671" spans="4:32" x14ac:dyDescent="0.35">
      <c r="D1671">
        <v>-0.30499199999999999</v>
      </c>
      <c r="M1671">
        <f t="shared" si="214"/>
        <v>1670</v>
      </c>
      <c r="N1671">
        <f t="shared" si="215"/>
        <v>2019.0833333332068</v>
      </c>
      <c r="O1671">
        <f t="shared" si="210"/>
        <v>0</v>
      </c>
      <c r="P1671">
        <f t="array" ref="P1671">+SUM($G$2:$G$18*SIN(2*PI()*(N1671)*$B$1/$F$2:$F$18+$H$2:$H$18))</f>
        <v>0.21551880268118562</v>
      </c>
      <c r="Q1671">
        <f t="shared" si="211"/>
        <v>0</v>
      </c>
      <c r="R1671">
        <f t="shared" si="212"/>
        <v>-8.6683716580216626E-3</v>
      </c>
      <c r="S1671">
        <f t="array" ref="S1671">+$B$2*SIN(R1671*$B$3+$B$4)+0*R1671+ SUM($J$2:$J$20*SIN(2*PI()*N1671*$I$2:$I$20+$K$2:$K$20))</f>
        <v>0.24752485756125334</v>
      </c>
      <c r="U1671" s="3">
        <f t="shared" si="208"/>
        <v>2019.0833333332068</v>
      </c>
      <c r="V1671" s="3">
        <f t="shared" si="209"/>
        <v>-0.15890399999999999</v>
      </c>
      <c r="Z1671" s="1">
        <v>2019.125</v>
      </c>
      <c r="AA1671" s="2">
        <f t="shared" si="213"/>
        <v>-8.0717999999999998E-2</v>
      </c>
      <c r="AB1671">
        <v>-4.0358999999999998</v>
      </c>
      <c r="AE1671">
        <v>2019.0833333332068</v>
      </c>
      <c r="AF1671">
        <v>0.24752485756125334</v>
      </c>
    </row>
    <row r="1672" spans="4:32" x14ac:dyDescent="0.35">
      <c r="D1672">
        <v>-3.4394000000000001E-2</v>
      </c>
      <c r="M1672">
        <f t="shared" si="214"/>
        <v>1671</v>
      </c>
      <c r="N1672">
        <f t="shared" si="215"/>
        <v>2019.1666666665401</v>
      </c>
      <c r="O1672">
        <f t="shared" si="210"/>
        <v>0</v>
      </c>
      <c r="P1672">
        <f t="array" ref="P1672">+SUM($G$2:$G$18*SIN(2*PI()*(N1672)*$B$1/$F$2:$F$18+$H$2:$H$18))</f>
        <v>0.30041773675867123</v>
      </c>
      <c r="Q1672">
        <f t="shared" si="211"/>
        <v>0</v>
      </c>
      <c r="R1672">
        <f t="shared" si="212"/>
        <v>-8.6550384807758673E-3</v>
      </c>
      <c r="S1672">
        <f t="array" ref="S1672">+$B$2*SIN(R1672*$B$3+$B$4)+0*R1672+ SUM($J$2:$J$20*SIN(2*PI()*N1672*$I$2:$I$20+$K$2:$K$20))</f>
        <v>0.24574017595373726</v>
      </c>
      <c r="U1672" s="3">
        <f t="shared" si="208"/>
        <v>2019.1666666665401</v>
      </c>
      <c r="V1672" s="3">
        <f t="shared" si="209"/>
        <v>-3.7490000000000002E-2</v>
      </c>
      <c r="Z1672" s="1">
        <v>2019.2083</v>
      </c>
      <c r="AA1672" s="2">
        <f t="shared" si="213"/>
        <v>-3.9639999999999996E-3</v>
      </c>
      <c r="AB1672">
        <v>-0.19819999999999999</v>
      </c>
      <c r="AE1672">
        <v>2019.1666666665401</v>
      </c>
      <c r="AF1672">
        <v>0.24574017595373726</v>
      </c>
    </row>
    <row r="1673" spans="4:32" x14ac:dyDescent="0.35">
      <c r="D1673">
        <v>-8.0717999999999998E-2</v>
      </c>
      <c r="M1673">
        <f t="shared" si="214"/>
        <v>1672</v>
      </c>
      <c r="N1673">
        <f t="shared" si="215"/>
        <v>2019.2499999998734</v>
      </c>
      <c r="O1673">
        <f t="shared" si="210"/>
        <v>0</v>
      </c>
      <c r="P1673">
        <f t="array" ref="P1673">+SUM($G$2:$G$18*SIN(2*PI()*(N1673)*$B$1/$F$2:$F$18+$H$2:$H$18))</f>
        <v>6.8427290883623954E-2</v>
      </c>
      <c r="Q1673">
        <f t="shared" si="211"/>
        <v>0</v>
      </c>
      <c r="R1673">
        <f t="shared" si="212"/>
        <v>-8.6417258118357231E-3</v>
      </c>
      <c r="S1673">
        <f t="array" ref="S1673">+$B$2*SIN(R1673*$B$3+$B$4)+0*R1673+ SUM($J$2:$J$20*SIN(2*PI()*N1673*$I$2:$I$20+$K$2:$K$20))</f>
        <v>0.24395669547540594</v>
      </c>
      <c r="U1673" s="3">
        <f t="shared" si="208"/>
        <v>2019.2499999998734</v>
      </c>
      <c r="V1673" s="3">
        <f t="shared" si="209"/>
        <v>-3.1458E-2</v>
      </c>
      <c r="Z1673" s="1">
        <v>2019.2917</v>
      </c>
      <c r="AA1673" s="2">
        <f t="shared" si="213"/>
        <v>0.109706</v>
      </c>
      <c r="AB1673">
        <v>5.4852999999999996</v>
      </c>
      <c r="AE1673">
        <v>2019.2499999998734</v>
      </c>
      <c r="AF1673">
        <v>0.24395669547540594</v>
      </c>
    </row>
    <row r="1674" spans="4:32" x14ac:dyDescent="0.35">
      <c r="D1674">
        <v>-3.9639999999999996E-3</v>
      </c>
      <c r="M1674">
        <f t="shared" si="214"/>
        <v>1673</v>
      </c>
      <c r="N1674">
        <f t="shared" si="215"/>
        <v>2019.3333333332066</v>
      </c>
      <c r="O1674">
        <f t="shared" si="210"/>
        <v>0</v>
      </c>
      <c r="P1674">
        <f t="array" ref="P1674">+SUM($G$2:$G$18*SIN(2*PI()*(N1674)*$B$1/$F$2:$F$18+$H$2:$H$18))</f>
        <v>-0.16322234090341403</v>
      </c>
      <c r="Q1674">
        <f t="shared" si="211"/>
        <v>0</v>
      </c>
      <c r="R1674">
        <f t="shared" si="212"/>
        <v>-8.628433619656567E-3</v>
      </c>
      <c r="S1674">
        <f t="array" ref="S1674">+$B$2*SIN(R1674*$B$3+$B$4)+0*R1674+ SUM($J$2:$J$20*SIN(2*PI()*N1674*$I$2:$I$20+$K$2:$K$20))</f>
        <v>0.24217443019572121</v>
      </c>
      <c r="U1674" s="3">
        <f t="shared" si="208"/>
        <v>2019.3333333332066</v>
      </c>
      <c r="V1674" s="3">
        <f t="shared" si="209"/>
        <v>-0.230042</v>
      </c>
      <c r="Z1674" s="1">
        <v>2019.375</v>
      </c>
      <c r="AA1674" s="2">
        <f t="shared" si="213"/>
        <v>-0.23200399999999999</v>
      </c>
      <c r="AB1674">
        <v>-11.600199999999999</v>
      </c>
      <c r="AE1674">
        <v>2019.3333333332066</v>
      </c>
      <c r="AF1674">
        <v>0.24217443019572121</v>
      </c>
    </row>
    <row r="1675" spans="4:32" x14ac:dyDescent="0.35">
      <c r="D1675">
        <v>0.109706</v>
      </c>
      <c r="M1675">
        <f t="shared" si="214"/>
        <v>1674</v>
      </c>
      <c r="N1675">
        <f t="shared" si="215"/>
        <v>2019.4166666665399</v>
      </c>
      <c r="O1675">
        <f t="shared" si="210"/>
        <v>0</v>
      </c>
      <c r="P1675">
        <f t="array" ref="P1675">+SUM($G$2:$G$18*SIN(2*PI()*(N1675)*$B$1/$F$2:$F$18+$H$2:$H$18))</f>
        <v>-0.41360548235203892</v>
      </c>
      <c r="Q1675">
        <f t="shared" si="211"/>
        <v>0</v>
      </c>
      <c r="R1675">
        <f t="shared" si="212"/>
        <v>-8.6151618727422549E-3</v>
      </c>
      <c r="S1675">
        <f t="array" ref="S1675">+$B$2*SIN(R1675*$B$3+$B$4)+0*R1675+ SUM($J$2:$J$20*SIN(2*PI()*N1675*$I$2:$I$20+$K$2:$K$20))</f>
        <v>0.24039339407165203</v>
      </c>
      <c r="U1675" s="3">
        <f t="shared" si="208"/>
        <v>2019.4166666665399</v>
      </c>
      <c r="V1675" s="3">
        <f t="shared" si="209"/>
        <v>-0.24863199999999999</v>
      </c>
      <c r="Z1675" s="1">
        <v>2019.4583</v>
      </c>
      <c r="AA1675" s="2">
        <f t="shared" si="213"/>
        <v>-0.18602399999999999</v>
      </c>
      <c r="AB1675">
        <v>-9.3011999999999997</v>
      </c>
      <c r="AE1675">
        <v>2019.4166666665399</v>
      </c>
      <c r="AF1675">
        <v>0.24039339407165203</v>
      </c>
    </row>
    <row r="1676" spans="4:32" x14ac:dyDescent="0.35">
      <c r="D1676">
        <v>-0.23200399999999999</v>
      </c>
      <c r="M1676">
        <f t="shared" si="214"/>
        <v>1675</v>
      </c>
      <c r="N1676">
        <f t="shared" si="215"/>
        <v>2019.4999999998731</v>
      </c>
      <c r="O1676">
        <f t="shared" si="210"/>
        <v>0</v>
      </c>
      <c r="P1676">
        <f t="array" ref="P1676">+SUM($G$2:$G$18*SIN(2*PI()*(N1676)*$B$1/$F$2:$F$18+$H$2:$H$18))</f>
        <v>-0.41301208786546123</v>
      </c>
      <c r="Q1676">
        <f t="shared" si="211"/>
        <v>0</v>
      </c>
      <c r="R1676">
        <f t="shared" si="212"/>
        <v>-8.6019105396450864E-3</v>
      </c>
      <c r="S1676">
        <f t="array" ref="S1676">+$B$2*SIN(R1676*$B$3+$B$4)+0*R1676+ SUM($J$2:$J$20*SIN(2*PI()*N1676*$I$2:$I$20+$K$2:$K$20))</f>
        <v>0.23861360094818776</v>
      </c>
      <c r="U1676" s="3">
        <f t="shared" si="208"/>
        <v>2019.4999999998731</v>
      </c>
      <c r="V1676" s="3">
        <f t="shared" si="209"/>
        <v>-0.26106400000000002</v>
      </c>
      <c r="Z1676" s="1">
        <v>2019.5417</v>
      </c>
      <c r="AA1676" s="2">
        <f t="shared" si="213"/>
        <v>3.8412000000000002E-2</v>
      </c>
      <c r="AB1676">
        <v>1.9206000000000001</v>
      </c>
      <c r="AE1676">
        <v>2019.4999999998731</v>
      </c>
      <c r="AF1676">
        <v>0.23861360094818776</v>
      </c>
    </row>
    <row r="1677" spans="4:32" x14ac:dyDescent="0.35">
      <c r="D1677">
        <v>-0.18602399999999999</v>
      </c>
      <c r="M1677">
        <f t="shared" si="214"/>
        <v>1676</v>
      </c>
      <c r="N1677">
        <f t="shared" si="215"/>
        <v>2019.5833333332064</v>
      </c>
      <c r="O1677">
        <f t="shared" si="210"/>
        <v>0</v>
      </c>
      <c r="P1677">
        <f t="array" ref="P1677">+SUM($G$2:$G$18*SIN(2*PI()*(N1677)*$B$1/$F$2:$F$18+$H$2:$H$18))</f>
        <v>-0.26394072622250719</v>
      </c>
      <c r="Q1677">
        <f t="shared" si="211"/>
        <v>0</v>
      </c>
      <c r="R1677">
        <f t="shared" si="212"/>
        <v>-8.5886795889657357E-3</v>
      </c>
      <c r="S1677">
        <f t="array" ref="S1677">+$B$2*SIN(R1677*$B$3+$B$4)+0*R1677+ SUM($J$2:$J$20*SIN(2*PI()*N1677*$I$2:$I$20+$K$2:$K$20))</f>
        <v>0.236835064558859</v>
      </c>
      <c r="U1677" s="3">
        <f t="shared" si="208"/>
        <v>2019.5833333332064</v>
      </c>
      <c r="V1677" s="3">
        <f t="shared" si="209"/>
        <v>-0.41349800000000003</v>
      </c>
      <c r="Z1677" s="1">
        <v>2019.625</v>
      </c>
      <c r="AA1677" s="2">
        <f t="shared" si="213"/>
        <v>2.4390000000000002E-2</v>
      </c>
      <c r="AB1677">
        <v>1.2195</v>
      </c>
      <c r="AE1677">
        <v>2019.5833333332064</v>
      </c>
      <c r="AF1677">
        <v>0.236835064558859</v>
      </c>
    </row>
    <row r="1678" spans="4:32" x14ac:dyDescent="0.35">
      <c r="D1678">
        <v>3.8412000000000002E-2</v>
      </c>
      <c r="M1678">
        <f t="shared" si="214"/>
        <v>1677</v>
      </c>
      <c r="N1678">
        <f t="shared" si="215"/>
        <v>2019.6666666665396</v>
      </c>
      <c r="O1678">
        <f t="shared" si="210"/>
        <v>0</v>
      </c>
      <c r="P1678">
        <f t="array" ref="P1678">+SUM($G$2:$G$18*SIN(2*PI()*(N1678)*$B$1/$F$2:$F$18+$H$2:$H$18))</f>
        <v>-0.298799638844927</v>
      </c>
      <c r="Q1678">
        <f t="shared" si="211"/>
        <v>0</v>
      </c>
      <c r="R1678">
        <f t="shared" si="212"/>
        <v>-8.5754689893531716E-3</v>
      </c>
      <c r="S1678">
        <f t="array" ref="S1678">+$B$2*SIN(R1678*$B$3+$B$4)+0*R1678+ SUM($J$2:$J$20*SIN(2*PI()*N1678*$I$2:$I$20+$K$2:$K$20))</f>
        <v>0.23505779852625078</v>
      </c>
      <c r="U1678" s="3">
        <f t="shared" si="208"/>
        <v>2019.6666666665396</v>
      </c>
      <c r="V1678" s="3">
        <f t="shared" si="209"/>
        <v>-0.44747599999999998</v>
      </c>
      <c r="Z1678" s="1">
        <v>2019.7083</v>
      </c>
      <c r="AA1678" s="2">
        <f t="shared" si="213"/>
        <v>0.32728999999999997</v>
      </c>
      <c r="AB1678">
        <v>16.3645</v>
      </c>
      <c r="AE1678">
        <v>2019.6666666665396</v>
      </c>
      <c r="AF1678">
        <v>0.23505779852625078</v>
      </c>
    </row>
    <row r="1679" spans="4:32" x14ac:dyDescent="0.35">
      <c r="D1679">
        <v>2.4390000000000002E-2</v>
      </c>
      <c r="M1679">
        <f t="shared" si="214"/>
        <v>1678</v>
      </c>
      <c r="N1679">
        <f t="shared" si="215"/>
        <v>2019.7499999998729</v>
      </c>
      <c r="O1679">
        <f t="shared" si="210"/>
        <v>0</v>
      </c>
      <c r="P1679">
        <f t="array" ref="P1679">+SUM($G$2:$G$18*SIN(2*PI()*(N1679)*$B$1/$F$2:$F$18+$H$2:$H$18))</f>
        <v>-0.20612892491975301</v>
      </c>
      <c r="Q1679">
        <f t="shared" si="211"/>
        <v>0</v>
      </c>
      <c r="R1679">
        <f t="shared" si="212"/>
        <v>-8.5622787095045831E-3</v>
      </c>
      <c r="S1679">
        <f t="array" ref="S1679">+$B$2*SIN(R1679*$B$3+$B$4)+0*R1679+ SUM($J$2:$J$20*SIN(2*PI()*N1679*$I$2:$I$20+$K$2:$K$20))</f>
        <v>0.23328181636251896</v>
      </c>
      <c r="U1679" s="3">
        <f t="shared" si="208"/>
        <v>2019.7499999998729</v>
      </c>
      <c r="V1679" s="3">
        <f t="shared" si="209"/>
        <v>-0.46452800000000005</v>
      </c>
      <c r="Z1679" s="1">
        <v>2019.7917</v>
      </c>
      <c r="AA1679" s="2">
        <f t="shared" si="213"/>
        <v>0.339416</v>
      </c>
      <c r="AB1679">
        <v>16.970800000000001</v>
      </c>
      <c r="AE1679">
        <v>2019.7499999998729</v>
      </c>
      <c r="AF1679">
        <v>0.23328181636251896</v>
      </c>
    </row>
    <row r="1680" spans="4:32" x14ac:dyDescent="0.35">
      <c r="D1680">
        <v>0.32728999999999997</v>
      </c>
      <c r="M1680">
        <f t="shared" si="214"/>
        <v>1679</v>
      </c>
      <c r="N1680">
        <f t="shared" si="215"/>
        <v>2019.8333333332062</v>
      </c>
      <c r="O1680">
        <f t="shared" si="210"/>
        <v>0</v>
      </c>
      <c r="P1680">
        <f t="array" ref="P1680">+SUM($G$2:$G$18*SIN(2*PI()*(N1680)*$B$1/$F$2:$F$18+$H$2:$H$18))</f>
        <v>3.5369333255465873E-2</v>
      </c>
      <c r="Q1680">
        <f t="shared" si="211"/>
        <v>0</v>
      </c>
      <c r="R1680">
        <f t="shared" si="212"/>
        <v>-8.5491087181653116E-3</v>
      </c>
      <c r="S1680">
        <f t="array" ref="S1680">+$B$2*SIN(R1680*$B$3+$B$4)+0*R1680+ SUM($J$2:$J$20*SIN(2*PI()*N1680*$I$2:$I$20+$K$2:$K$20))</f>
        <v>0.23150713146990301</v>
      </c>
      <c r="U1680" s="3">
        <f t="shared" si="208"/>
        <v>2019.8333333332062</v>
      </c>
      <c r="V1680" s="3">
        <f t="shared" si="209"/>
        <v>-0.50004199999999999</v>
      </c>
      <c r="Z1680" s="1">
        <v>2019.875</v>
      </c>
      <c r="AA1680" s="2">
        <f t="shared" si="213"/>
        <v>0.47615999999999997</v>
      </c>
      <c r="AB1680">
        <v>23.808</v>
      </c>
      <c r="AE1680">
        <v>2019.8333333332062</v>
      </c>
      <c r="AF1680">
        <v>0.23150713146990301</v>
      </c>
    </row>
    <row r="1681" spans="4:32" x14ac:dyDescent="0.35">
      <c r="D1681">
        <v>0.339416</v>
      </c>
      <c r="M1681">
        <f t="shared" si="214"/>
        <v>1680</v>
      </c>
      <c r="N1681">
        <f t="shared" si="215"/>
        <v>2019.9166666665394</v>
      </c>
      <c r="O1681">
        <f t="shared" si="210"/>
        <v>0</v>
      </c>
      <c r="P1681">
        <f t="array" ref="P1681">+SUM($G$2:$G$18*SIN(2*PI()*(N1681)*$B$1/$F$2:$F$18+$H$2:$H$18))</f>
        <v>9.382388581707872E-2</v>
      </c>
      <c r="Q1681">
        <f t="shared" si="211"/>
        <v>0</v>
      </c>
      <c r="R1681">
        <f t="shared" si="212"/>
        <v>-8.5359589841287713E-3</v>
      </c>
      <c r="S1681">
        <f t="array" ref="S1681">+$B$2*SIN(R1681*$B$3+$B$4)+0*R1681+ SUM($J$2:$J$20*SIN(2*PI()*N1681*$I$2:$I$20+$K$2:$K$20))</f>
        <v>0.22973375714124061</v>
      </c>
      <c r="U1681" s="3">
        <f t="shared" si="208"/>
        <v>2019.9166666665394</v>
      </c>
      <c r="V1681" s="3">
        <f t="shared" si="209"/>
        <v>-0.43248399999999998</v>
      </c>
      <c r="Z1681" s="1">
        <v>2019.9583</v>
      </c>
      <c r="AA1681" s="2">
        <f t="shared" si="213"/>
        <v>0.50828600000000002</v>
      </c>
      <c r="AB1681">
        <v>25.414300000000001</v>
      </c>
      <c r="AE1681">
        <v>2019.9166666665394</v>
      </c>
      <c r="AF1681">
        <v>0.22973375714124061</v>
      </c>
    </row>
    <row r="1682" spans="4:32" x14ac:dyDescent="0.35">
      <c r="D1682">
        <v>0.47615999999999997</v>
      </c>
      <c r="M1682">
        <f t="shared" si="214"/>
        <v>1681</v>
      </c>
      <c r="N1682">
        <f t="shared" si="215"/>
        <v>2019.9999999998727</v>
      </c>
      <c r="O1682">
        <f t="shared" si="210"/>
        <v>36.637715116165623</v>
      </c>
      <c r="P1682">
        <f t="array" ref="P1682">+SUM($G$2:$G$18*SIN(2*PI()*(N1682)*$B$1/$F$2:$F$18+$H$2:$H$18))</f>
        <v>4.9487530574400612E-2</v>
      </c>
      <c r="Q1682">
        <f t="shared" si="211"/>
        <v>1.8131100469874257</v>
      </c>
      <c r="R1682">
        <f t="shared" si="212"/>
        <v>-5.7340107019229784E-3</v>
      </c>
      <c r="S1682">
        <f t="array" ref="S1682">+$B$2*SIN(R1682*$B$3+$B$4)+0*R1682+ SUM($J$2:$J$20*SIN(2*PI()*N1682*$I$2:$I$20+$K$2:$K$20))</f>
        <v>-0.16221971249532069</v>
      </c>
      <c r="U1682" s="3">
        <f t="shared" si="208"/>
        <v>2019.9999999998727</v>
      </c>
      <c r="V1682" s="3">
        <f t="shared" si="209"/>
        <v>-0.45569200000000004</v>
      </c>
      <c r="Z1682" s="1">
        <v>2020.0417</v>
      </c>
      <c r="AA1682" s="2">
        <f t="shared" si="213"/>
        <v>0.61425600000000002</v>
      </c>
      <c r="AB1682">
        <v>30.712800000000001</v>
      </c>
      <c r="AE1682">
        <v>2019.9999999998727</v>
      </c>
      <c r="AF1682">
        <v>-0.16221971249532069</v>
      </c>
    </row>
    <row r="1683" spans="4:32" x14ac:dyDescent="0.35">
      <c r="D1683">
        <v>0.50828600000000002</v>
      </c>
      <c r="M1683">
        <f t="shared" si="214"/>
        <v>1682</v>
      </c>
      <c r="N1683">
        <f t="shared" si="215"/>
        <v>2020.0833333332059</v>
      </c>
      <c r="O1683">
        <f t="shared" si="210"/>
        <v>0</v>
      </c>
      <c r="P1683">
        <f t="array" ref="P1683">+SUM($G$2:$G$18*SIN(2*PI()*(N1683)*$B$1/$F$2:$F$18+$H$2:$H$18))</f>
        <v>-0.21221216645012325</v>
      </c>
      <c r="Q1683">
        <f t="shared" si="211"/>
        <v>0</v>
      </c>
      <c r="R1683">
        <f t="shared" si="212"/>
        <v>-5.7251909853678765E-3</v>
      </c>
      <c r="S1683">
        <f t="array" ref="S1683">+$B$2*SIN(R1683*$B$3+$B$4)+0*R1683+ SUM($J$2:$J$20*SIN(2*PI()*N1683*$I$2:$I$20+$K$2:$K$20))</f>
        <v>-0.163439644891785</v>
      </c>
      <c r="U1683" s="3">
        <f t="shared" si="208"/>
        <v>2020.0833333332059</v>
      </c>
      <c r="V1683" s="3">
        <f t="shared" si="209"/>
        <v>-0.38043999999999994</v>
      </c>
      <c r="Z1683" s="1">
        <v>2020.125</v>
      </c>
      <c r="AA1683" s="2">
        <f t="shared" si="213"/>
        <v>0.56637999999999999</v>
      </c>
      <c r="AB1683">
        <v>28.318999999999999</v>
      </c>
      <c r="AE1683">
        <v>2020.0833333332059</v>
      </c>
      <c r="AF1683">
        <v>-0.163439644891785</v>
      </c>
    </row>
    <row r="1684" spans="4:32" x14ac:dyDescent="0.35">
      <c r="D1684">
        <v>0.61425600000000002</v>
      </c>
      <c r="M1684">
        <f t="shared" si="214"/>
        <v>1683</v>
      </c>
      <c r="N1684">
        <f t="shared" si="215"/>
        <v>2020.1666666665392</v>
      </c>
      <c r="O1684">
        <f t="shared" si="210"/>
        <v>0</v>
      </c>
      <c r="P1684">
        <f t="array" ref="P1684">+SUM($G$2:$G$18*SIN(2*PI()*(N1684)*$B$1/$F$2:$F$18+$H$2:$H$18))</f>
        <v>-0.58805950382065819</v>
      </c>
      <c r="Q1684">
        <f t="shared" si="211"/>
        <v>0</v>
      </c>
      <c r="R1684">
        <f t="shared" si="212"/>
        <v>-5.7163848347798014E-3</v>
      </c>
      <c r="S1684">
        <f t="array" ref="S1684">+$B$2*SIN(R1684*$B$3+$B$4)+0*R1684+ SUM($J$2:$J$20*SIN(2*PI()*N1684*$I$2:$I$20+$K$2:$K$20))</f>
        <v>-0.16465725153917765</v>
      </c>
      <c r="U1684" s="3">
        <f t="shared" si="208"/>
        <v>2020.1666666665392</v>
      </c>
      <c r="V1684" s="3">
        <f t="shared" si="209"/>
        <v>-0.40211599999999997</v>
      </c>
      <c r="Z1684" s="1">
        <v>2020.2083</v>
      </c>
      <c r="AA1684" s="2">
        <f t="shared" si="213"/>
        <v>0.71850399999999992</v>
      </c>
      <c r="AB1684">
        <v>35.925199999999997</v>
      </c>
      <c r="AE1684">
        <v>2020.1666666665392</v>
      </c>
      <c r="AF1684">
        <v>-0.16465725153917765</v>
      </c>
    </row>
    <row r="1685" spans="4:32" x14ac:dyDescent="0.35">
      <c r="D1685">
        <v>0.56637999999999999</v>
      </c>
      <c r="M1685">
        <f t="shared" si="214"/>
        <v>1684</v>
      </c>
      <c r="N1685">
        <f t="shared" si="215"/>
        <v>2020.2499999998724</v>
      </c>
      <c r="O1685">
        <f t="shared" si="210"/>
        <v>0</v>
      </c>
      <c r="P1685">
        <f t="array" ref="P1685">+SUM($G$2:$G$18*SIN(2*PI()*(N1685)*$B$1/$F$2:$F$18+$H$2:$H$18))</f>
        <v>-0.43452242353677462</v>
      </c>
      <c r="Q1685">
        <f t="shared" si="211"/>
        <v>0</v>
      </c>
      <c r="R1685">
        <f t="shared" si="212"/>
        <v>-5.7075922292923837E-3</v>
      </c>
      <c r="S1685">
        <f t="array" ref="S1685">+$B$2*SIN(R1685*$B$3+$B$4)+0*R1685+ SUM($J$2:$J$20*SIN(2*PI()*N1685*$I$2:$I$20+$K$2:$K$20))</f>
        <v>-0.16587253405888641</v>
      </c>
      <c r="U1685" s="3">
        <f t="shared" si="208"/>
        <v>2020.2499999998724</v>
      </c>
      <c r="V1685" s="3">
        <f t="shared" si="209"/>
        <v>-0.48379</v>
      </c>
      <c r="Z1685" s="1">
        <v>2020.2917</v>
      </c>
      <c r="AA1685" s="2">
        <f t="shared" si="213"/>
        <v>0.58292999999999995</v>
      </c>
      <c r="AB1685">
        <v>29.1465</v>
      </c>
      <c r="AE1685">
        <v>2020.2499999998724</v>
      </c>
      <c r="AF1685">
        <v>-0.16587253405888641</v>
      </c>
    </row>
    <row r="1686" spans="4:32" x14ac:dyDescent="0.35">
      <c r="D1686">
        <v>0.71850399999999992</v>
      </c>
      <c r="M1686">
        <f t="shared" si="214"/>
        <v>1685</v>
      </c>
      <c r="N1686">
        <f t="shared" si="215"/>
        <v>2020.3333333332057</v>
      </c>
      <c r="O1686">
        <f t="shared" si="210"/>
        <v>0</v>
      </c>
      <c r="P1686">
        <f t="array" ref="P1686">+SUM($G$2:$G$18*SIN(2*PI()*(N1686)*$B$1/$F$2:$F$18+$H$2:$H$18))</f>
        <v>-1.3459627741872468E-2</v>
      </c>
      <c r="Q1686">
        <f t="shared" si="211"/>
        <v>0</v>
      </c>
      <c r="R1686">
        <f t="shared" si="212"/>
        <v>-5.6988131480713499E-3</v>
      </c>
      <c r="S1686">
        <f t="array" ref="S1686">+$B$2*SIN(R1686*$B$3+$B$4)+0*R1686+ SUM($J$2:$J$20*SIN(2*PI()*N1686*$I$2:$I$20+$K$2:$K$20))</f>
        <v>-0.16708549409242521</v>
      </c>
      <c r="U1686" s="3">
        <f t="shared" si="208"/>
        <v>2020.3333333332057</v>
      </c>
      <c r="V1686" s="3">
        <f t="shared" si="209"/>
        <v>-0.63007999999999997</v>
      </c>
      <c r="Z1686" s="1">
        <v>2020.375</v>
      </c>
      <c r="AA1686" s="2">
        <f t="shared" si="213"/>
        <v>0.45659</v>
      </c>
      <c r="AB1686">
        <v>22.829499999999999</v>
      </c>
      <c r="AE1686">
        <v>2020.3333333332057</v>
      </c>
      <c r="AF1686">
        <v>-0.16708549409242521</v>
      </c>
    </row>
    <row r="1687" spans="4:32" x14ac:dyDescent="0.35">
      <c r="D1687">
        <v>0.58292999999999995</v>
      </c>
      <c r="M1687">
        <f t="shared" si="214"/>
        <v>1686</v>
      </c>
      <c r="N1687">
        <f t="shared" si="215"/>
        <v>2020.416666666539</v>
      </c>
      <c r="O1687">
        <f t="shared" si="210"/>
        <v>0</v>
      </c>
      <c r="P1687">
        <f t="array" ref="P1687">+SUM($G$2:$G$18*SIN(2*PI()*(N1687)*$B$1/$F$2:$F$18+$H$2:$H$18))</f>
        <v>2.2124666963722645E-2</v>
      </c>
      <c r="Q1687">
        <f t="shared" si="211"/>
        <v>0</v>
      </c>
      <c r="R1687">
        <f t="shared" si="212"/>
        <v>-5.690047570314472E-3</v>
      </c>
      <c r="S1687">
        <f t="array" ref="S1687">+$B$2*SIN(R1687*$B$3+$B$4)+0*R1687+ SUM($J$2:$J$20*SIN(2*PI()*N1687*$I$2:$I$20+$K$2:$K$20))</f>
        <v>-0.16829613330125964</v>
      </c>
      <c r="U1687" s="3">
        <f t="shared" si="208"/>
        <v>2020.416666666539</v>
      </c>
      <c r="V1687" s="3">
        <f t="shared" si="209"/>
        <v>-0.38252999999999998</v>
      </c>
      <c r="Z1687" s="1">
        <v>2020.4583</v>
      </c>
      <c r="AA1687" s="2">
        <f t="shared" si="213"/>
        <v>0.39024999999999999</v>
      </c>
      <c r="AB1687">
        <v>19.512499999999999</v>
      </c>
      <c r="AE1687">
        <v>2020.416666666539</v>
      </c>
      <c r="AF1687">
        <v>-0.16829613330125964</v>
      </c>
    </row>
    <row r="1688" spans="4:32" x14ac:dyDescent="0.35">
      <c r="D1688">
        <v>0.45659</v>
      </c>
      <c r="M1688">
        <f t="shared" si="214"/>
        <v>1687</v>
      </c>
      <c r="N1688">
        <f t="shared" si="215"/>
        <v>2020.4999999998722</v>
      </c>
      <c r="O1688">
        <f t="shared" si="210"/>
        <v>0</v>
      </c>
      <c r="P1688">
        <f t="array" ref="P1688">+SUM($G$2:$G$18*SIN(2*PI()*(N1688)*$B$1/$F$2:$F$18+$H$2:$H$18))</f>
        <v>-8.8857153117810284E-2</v>
      </c>
      <c r="Q1688">
        <f t="shared" si="211"/>
        <v>0</v>
      </c>
      <c r="R1688">
        <f t="shared" si="212"/>
        <v>-5.681295475251519E-3</v>
      </c>
      <c r="S1688">
        <f t="array" ref="S1688">+$B$2*SIN(R1688*$B$3+$B$4)+0*R1688+ SUM($J$2:$J$20*SIN(2*PI()*N1688*$I$2:$I$20+$K$2:$K$20))</f>
        <v>-0.16950445336663225</v>
      </c>
      <c r="U1688" s="3">
        <f t="shared" si="208"/>
        <v>2020.4999999998722</v>
      </c>
      <c r="V1688" s="3">
        <f t="shared" si="209"/>
        <v>-0.29189799999999999</v>
      </c>
      <c r="Z1688" s="1">
        <v>2020.5417</v>
      </c>
      <c r="AA1688" s="2">
        <f t="shared" si="213"/>
        <v>0.48698000000000002</v>
      </c>
      <c r="AB1688">
        <v>24.349</v>
      </c>
      <c r="AE1688">
        <v>2020.4999999998722</v>
      </c>
      <c r="AF1688">
        <v>-0.16950445336663225</v>
      </c>
    </row>
    <row r="1689" spans="4:32" x14ac:dyDescent="0.35">
      <c r="D1689">
        <v>0.39024999999999999</v>
      </c>
      <c r="M1689">
        <f t="shared" si="214"/>
        <v>1688</v>
      </c>
      <c r="N1689">
        <f t="shared" si="215"/>
        <v>2020.5833333332055</v>
      </c>
      <c r="O1689">
        <f t="shared" si="210"/>
        <v>0</v>
      </c>
      <c r="P1689">
        <f t="array" ref="P1689">+SUM($G$2:$G$18*SIN(2*PI()*(N1689)*$B$1/$F$2:$F$18+$H$2:$H$18))</f>
        <v>-6.6348800895410023E-2</v>
      </c>
      <c r="Q1689">
        <f t="shared" si="211"/>
        <v>0</v>
      </c>
      <c r="R1689">
        <f t="shared" si="212"/>
        <v>-5.6725568421442081E-3</v>
      </c>
      <c r="S1689">
        <f t="array" ref="S1689">+$B$2*SIN(R1689*$B$3+$B$4)+0*R1689+ SUM($J$2:$J$20*SIN(2*PI()*N1689*$I$2:$I$20+$K$2:$K$20))</f>
        <v>-0.17071045598938675</v>
      </c>
      <c r="U1689" s="3">
        <f t="shared" si="208"/>
        <v>2020.5833333332055</v>
      </c>
      <c r="V1689" s="3">
        <f t="shared" si="209"/>
        <v>-0.15203800000000001</v>
      </c>
      <c r="Z1689" s="1">
        <v>2020.625</v>
      </c>
      <c r="AA1689" s="2">
        <f t="shared" si="213"/>
        <v>0.34371400000000002</v>
      </c>
      <c r="AB1689">
        <v>17.185700000000001</v>
      </c>
      <c r="AE1689">
        <v>2020.5833333332055</v>
      </c>
      <c r="AF1689">
        <v>-0.17071045598938675</v>
      </c>
    </row>
    <row r="1690" spans="4:32" x14ac:dyDescent="0.35">
      <c r="D1690">
        <v>0.48698000000000002</v>
      </c>
      <c r="M1690">
        <f t="shared" si="214"/>
        <v>1689</v>
      </c>
      <c r="N1690">
        <f t="shared" si="215"/>
        <v>2020.6666666665387</v>
      </c>
      <c r="O1690">
        <f t="shared" si="210"/>
        <v>0</v>
      </c>
      <c r="P1690">
        <f t="array" ref="P1690">+SUM($G$2:$G$18*SIN(2*PI()*(N1690)*$B$1/$F$2:$F$18+$H$2:$H$18))</f>
        <v>9.6433696343597303E-2</v>
      </c>
      <c r="Q1690">
        <f t="shared" si="211"/>
        <v>0</v>
      </c>
      <c r="R1690">
        <f t="shared" si="212"/>
        <v>-5.6638316502861533E-3</v>
      </c>
      <c r="S1690">
        <f t="array" ref="S1690">+$B$2*SIN(R1690*$B$3+$B$4)+0*R1690+ SUM($J$2:$J$20*SIN(2*PI()*N1690*$I$2:$I$20+$K$2:$K$20))</f>
        <v>-0.17191414288979942</v>
      </c>
      <c r="U1690" s="3">
        <f t="shared" si="208"/>
        <v>2020.6666666665387</v>
      </c>
      <c r="V1690" s="3">
        <f t="shared" si="209"/>
        <v>0.17089400000000002</v>
      </c>
      <c r="Z1690" s="1">
        <v>2020.7083</v>
      </c>
      <c r="AA1690" s="2">
        <f t="shared" si="213"/>
        <v>8.5061999999999999E-2</v>
      </c>
      <c r="AB1690">
        <v>4.2530999999999999</v>
      </c>
      <c r="AE1690">
        <v>2020.6666666665387</v>
      </c>
      <c r="AF1690">
        <v>-0.17191414288979942</v>
      </c>
    </row>
    <row r="1691" spans="4:32" x14ac:dyDescent="0.35">
      <c r="D1691">
        <v>0.34371400000000002</v>
      </c>
      <c r="M1691">
        <f t="shared" si="214"/>
        <v>1690</v>
      </c>
      <c r="N1691">
        <f t="shared" si="215"/>
        <v>2020.749999999872</v>
      </c>
      <c r="O1691">
        <f t="shared" si="210"/>
        <v>0</v>
      </c>
      <c r="P1691">
        <f t="array" ref="P1691">+SUM($G$2:$G$18*SIN(2*PI()*(N1691)*$B$1/$F$2:$F$18+$H$2:$H$18))</f>
        <v>0.24109644338319178</v>
      </c>
      <c r="Q1691">
        <f t="shared" si="211"/>
        <v>0</v>
      </c>
      <c r="R1691">
        <f t="shared" si="212"/>
        <v>-5.6551198790028203E-3</v>
      </c>
      <c r="S1691">
        <f t="array" ref="S1691">+$B$2*SIN(R1691*$B$3+$B$4)+0*R1691+ SUM($J$2:$J$20*SIN(2*PI()*N1691*$I$2:$I$20+$K$2:$K$20))</f>
        <v>-0.17311551580740461</v>
      </c>
      <c r="U1691" s="3">
        <f t="shared" si="208"/>
        <v>2020.749999999872</v>
      </c>
      <c r="V1691" s="3">
        <f t="shared" si="209"/>
        <v>0.18767399999999998</v>
      </c>
      <c r="Z1691" s="1">
        <v>2020.7917</v>
      </c>
      <c r="AA1691" s="2">
        <f t="shared" si="213"/>
        <v>4.0250000000000001E-2</v>
      </c>
      <c r="AB1691">
        <v>2.0125000000000002</v>
      </c>
      <c r="AE1691">
        <v>2020.749999999872</v>
      </c>
      <c r="AF1691">
        <v>-0.17311551580740461</v>
      </c>
    </row>
    <row r="1692" spans="4:32" x14ac:dyDescent="0.35">
      <c r="D1692">
        <v>8.5061999999999999E-2</v>
      </c>
      <c r="M1692">
        <f t="shared" si="214"/>
        <v>1691</v>
      </c>
      <c r="N1692">
        <f t="shared" si="215"/>
        <v>2020.8333333332052</v>
      </c>
      <c r="O1692">
        <f t="shared" si="210"/>
        <v>0</v>
      </c>
      <c r="P1692">
        <f t="array" ref="P1692">+SUM($G$2:$G$18*SIN(2*PI()*(N1692)*$B$1/$F$2:$F$18+$H$2:$H$18))</f>
        <v>-0.10171985350415129</v>
      </c>
      <c r="Q1692">
        <f t="shared" si="211"/>
        <v>0</v>
      </c>
      <c r="R1692">
        <f t="shared" si="212"/>
        <v>-5.6464215076514725E-3</v>
      </c>
      <c r="S1692">
        <f t="array" ref="S1692">+$B$2*SIN(R1692*$B$3+$B$4)+0*R1692+ SUM($J$2:$J$20*SIN(2*PI()*N1692*$I$2:$I$20+$K$2:$K$20))</f>
        <v>-0.17431457650082394</v>
      </c>
      <c r="U1692" s="3">
        <f t="shared" si="208"/>
        <v>2020.8333333332052</v>
      </c>
      <c r="V1692" s="3">
        <f t="shared" si="209"/>
        <v>0.19522400000000001</v>
      </c>
      <c r="Z1692" s="1">
        <v>2020.875</v>
      </c>
      <c r="AA1692" s="2">
        <f t="shared" si="213"/>
        <v>-1.3788E-2</v>
      </c>
      <c r="AB1692">
        <v>-0.68940000000000001</v>
      </c>
      <c r="AE1692">
        <v>2020.8333333332052</v>
      </c>
      <c r="AF1692">
        <v>-0.17431457650082394</v>
      </c>
    </row>
    <row r="1693" spans="4:32" x14ac:dyDescent="0.35">
      <c r="D1693">
        <v>4.0250000000000001E-2</v>
      </c>
      <c r="M1693">
        <f t="shared" si="214"/>
        <v>1692</v>
      </c>
      <c r="N1693">
        <f t="shared" si="215"/>
        <v>2020.9166666665385</v>
      </c>
      <c r="O1693">
        <f t="shared" si="210"/>
        <v>0</v>
      </c>
      <c r="P1693">
        <f t="array" ref="P1693">+SUM($G$2:$G$18*SIN(2*PI()*(N1693)*$B$1/$F$2:$F$18+$H$2:$H$18))</f>
        <v>-0.51458679952215014</v>
      </c>
      <c r="Q1693">
        <f t="shared" si="211"/>
        <v>0</v>
      </c>
      <c r="R1693">
        <f t="shared" si="212"/>
        <v>-5.6377365156211274E-3</v>
      </c>
      <c r="S1693">
        <f t="array" ref="S1693">+$B$2*SIN(R1693*$B$3+$B$4)+0*R1693+ SUM($J$2:$J$20*SIN(2*PI()*N1693*$I$2:$I$20+$K$2:$K$20))</f>
        <v>-0.1755113267475987</v>
      </c>
      <c r="U1693" s="3">
        <f t="shared" si="208"/>
        <v>2020.9166666665385</v>
      </c>
      <c r="V1693" s="3">
        <f t="shared" si="209"/>
        <v>0.29353800000000002</v>
      </c>
      <c r="Z1693" s="1">
        <v>2020.9583</v>
      </c>
      <c r="AA1693" s="2">
        <f t="shared" si="213"/>
        <v>-0.14013600000000001</v>
      </c>
      <c r="AB1693">
        <v>-7.0068000000000001</v>
      </c>
      <c r="AE1693">
        <v>2020.9166666665385</v>
      </c>
      <c r="AF1693">
        <v>-0.1755113267475987</v>
      </c>
    </row>
    <row r="1694" spans="4:32" x14ac:dyDescent="0.35">
      <c r="D1694">
        <v>-1.3788E-2</v>
      </c>
      <c r="M1694">
        <f t="shared" si="214"/>
        <v>1693</v>
      </c>
      <c r="N1694">
        <f t="shared" si="215"/>
        <v>2020.9999999998718</v>
      </c>
      <c r="O1694">
        <f t="shared" si="210"/>
        <v>36.637715116165623</v>
      </c>
      <c r="P1694">
        <f t="array" ref="P1694">+SUM($G$2:$G$18*SIN(2*PI()*(N1694)*$B$1/$F$2:$F$18+$H$2:$H$18))</f>
        <v>-0.13236363846894889</v>
      </c>
      <c r="Q1694">
        <f t="shared" si="211"/>
        <v>-4.8495012779644897</v>
      </c>
      <c r="R1694">
        <f t="shared" si="212"/>
        <v>-1.3088281289254751E-2</v>
      </c>
      <c r="S1694">
        <f t="array" ref="S1694">+$B$2*SIN(R1694*$B$3+$B$4)+0*R1694+ SUM($J$2:$J$20*SIN(2*PI()*N1694*$I$2:$I$20+$K$2:$K$20))</f>
        <v>0.69217956231382782</v>
      </c>
      <c r="U1694" s="3">
        <f t="shared" si="208"/>
        <v>2020.9999999998718</v>
      </c>
      <c r="V1694" s="3">
        <f t="shared" si="209"/>
        <v>0.47954599999999997</v>
      </c>
      <c r="Z1694" s="1">
        <v>2021.0417</v>
      </c>
      <c r="AA1694" s="2">
        <f t="shared" si="213"/>
        <v>-0.17418199999999998</v>
      </c>
      <c r="AB1694">
        <v>-8.7090999999999994</v>
      </c>
      <c r="AE1694">
        <v>2020.9999999998718</v>
      </c>
      <c r="AF1694">
        <v>0.69217956231382782</v>
      </c>
    </row>
    <row r="1695" spans="4:32" x14ac:dyDescent="0.35">
      <c r="D1695">
        <v>-0.14013600000000001</v>
      </c>
      <c r="M1695">
        <f t="shared" si="214"/>
        <v>1694</v>
      </c>
      <c r="N1695">
        <f t="shared" si="215"/>
        <v>2021.083333333205</v>
      </c>
      <c r="O1695">
        <f t="shared" si="210"/>
        <v>0</v>
      </c>
      <c r="P1695">
        <f t="array" ref="P1695">+SUM($G$2:$G$18*SIN(2*PI()*(N1695)*$B$1/$F$2:$F$18+$H$2:$H$18))</f>
        <v>0.44545232230954429</v>
      </c>
      <c r="Q1695">
        <f t="shared" si="211"/>
        <v>0</v>
      </c>
      <c r="R1695">
        <f t="shared" si="212"/>
        <v>-1.3068149668097162E-2</v>
      </c>
      <c r="S1695">
        <f t="array" ref="S1695">+$B$2*SIN(R1695*$B$3+$B$4)+0*R1695+ SUM($J$2:$J$20*SIN(2*PI()*N1695*$I$2:$I$20+$K$2:$K$20))</f>
        <v>0.6910538359117977</v>
      </c>
      <c r="U1695" s="3">
        <f t="shared" si="208"/>
        <v>2021.083333333205</v>
      </c>
      <c r="V1695" s="3">
        <f t="shared" si="209"/>
        <v>0.76863000000000004</v>
      </c>
      <c r="Z1695" s="1">
        <v>2021.125</v>
      </c>
      <c r="AA1695" s="2">
        <f t="shared" si="213"/>
        <v>-0.14207</v>
      </c>
      <c r="AB1695">
        <v>-7.1035000000000004</v>
      </c>
      <c r="AE1695">
        <v>2021.083333333205</v>
      </c>
      <c r="AF1695">
        <v>0.6910538359117977</v>
      </c>
    </row>
    <row r="1696" spans="4:32" x14ac:dyDescent="0.35">
      <c r="D1696">
        <v>-0.17418199999999998</v>
      </c>
      <c r="M1696">
        <f t="shared" si="214"/>
        <v>1695</v>
      </c>
      <c r="N1696">
        <f t="shared" si="215"/>
        <v>2021.1666666665383</v>
      </c>
      <c r="O1696">
        <f t="shared" si="210"/>
        <v>0</v>
      </c>
      <c r="P1696">
        <f t="array" ref="P1696">+SUM($G$2:$G$18*SIN(2*PI()*(N1696)*$B$1/$F$2:$F$18+$H$2:$H$18))</f>
        <v>0.36869574928836468</v>
      </c>
      <c r="Q1696">
        <f t="shared" si="211"/>
        <v>0</v>
      </c>
      <c r="R1696">
        <f t="shared" si="212"/>
        <v>-1.3048049012210069E-2</v>
      </c>
      <c r="S1696">
        <f t="array" ref="S1696">+$B$2*SIN(R1696*$B$3+$B$4)+0*R1696+ SUM($J$2:$J$20*SIN(2*PI()*N1696*$I$2:$I$20+$K$2:$K$20))</f>
        <v>0.6899199427232805</v>
      </c>
      <c r="U1696" s="3">
        <f t="shared" si="208"/>
        <v>2021.1666666665383</v>
      </c>
      <c r="V1696" s="3">
        <f t="shared" si="209"/>
        <v>0.79771000000000003</v>
      </c>
      <c r="Z1696" s="1">
        <v>2021.2083</v>
      </c>
      <c r="AA1696" s="2">
        <f t="shared" si="213"/>
        <v>-0.27149800000000002</v>
      </c>
      <c r="AB1696">
        <v>-13.5749</v>
      </c>
      <c r="AE1696">
        <v>2021.1666666665383</v>
      </c>
      <c r="AF1696">
        <v>0.6899199427232805</v>
      </c>
    </row>
    <row r="1697" spans="4:32" x14ac:dyDescent="0.35">
      <c r="D1697">
        <v>-0.14207</v>
      </c>
      <c r="M1697">
        <f t="shared" si="214"/>
        <v>1696</v>
      </c>
      <c r="N1697">
        <f t="shared" si="215"/>
        <v>2021.2499999998715</v>
      </c>
      <c r="O1697">
        <f t="shared" si="210"/>
        <v>0</v>
      </c>
      <c r="P1697">
        <f t="array" ref="P1697">+SUM($G$2:$G$18*SIN(2*PI()*(N1697)*$B$1/$F$2:$F$18+$H$2:$H$18))</f>
        <v>2.2899399459298447E-2</v>
      </c>
      <c r="Q1697">
        <f t="shared" si="211"/>
        <v>0</v>
      </c>
      <c r="R1697">
        <f t="shared" si="212"/>
        <v>-1.302797927396452E-2</v>
      </c>
      <c r="S1697">
        <f t="array" ref="S1697">+$B$2*SIN(R1697*$B$3+$B$4)+0*R1697+ SUM($J$2:$J$20*SIN(2*PI()*N1697*$I$2:$I$20+$K$2:$K$20))</f>
        <v>0.68877794192781494</v>
      </c>
      <c r="U1697" s="3">
        <f t="shared" si="208"/>
        <v>2021.2499999998715</v>
      </c>
      <c r="V1697" s="3">
        <f t="shared" si="209"/>
        <v>0.66986800000000002</v>
      </c>
      <c r="Z1697" s="1">
        <v>2021.2917</v>
      </c>
      <c r="AA1697" s="2">
        <f t="shared" si="213"/>
        <v>-0.407084</v>
      </c>
      <c r="AB1697">
        <v>-20.354199999999999</v>
      </c>
      <c r="AE1697">
        <v>2021.2499999998715</v>
      </c>
      <c r="AF1697">
        <v>0.68877794192781494</v>
      </c>
    </row>
    <row r="1698" spans="4:32" x14ac:dyDescent="0.35">
      <c r="D1698">
        <v>-0.27149800000000002</v>
      </c>
      <c r="M1698">
        <f t="shared" si="214"/>
        <v>1697</v>
      </c>
      <c r="N1698">
        <f t="shared" si="215"/>
        <v>2021.3333333332048</v>
      </c>
      <c r="O1698">
        <f t="shared" si="210"/>
        <v>0</v>
      </c>
      <c r="P1698">
        <f t="array" ref="P1698">+SUM($G$2:$G$18*SIN(2*PI()*(N1698)*$B$1/$F$2:$F$18+$H$2:$H$18))</f>
        <v>-2.0582338439979656E-2</v>
      </c>
      <c r="Q1698">
        <f t="shared" si="211"/>
        <v>0</v>
      </c>
      <c r="R1698">
        <f t="shared" si="212"/>
        <v>-1.3007940405804826E-2</v>
      </c>
      <c r="S1698">
        <f t="array" ref="S1698">+$B$2*SIN(R1698*$B$3+$B$4)+0*R1698+ SUM($J$2:$J$20*SIN(2*PI()*N1698*$I$2:$I$20+$K$2:$K$20))</f>
        <v>0.68762789253626044</v>
      </c>
      <c r="U1698" s="3">
        <f t="shared" si="208"/>
        <v>2021.3333333332048</v>
      </c>
      <c r="V1698" s="3">
        <f t="shared" si="209"/>
        <v>0.76664199999999993</v>
      </c>
      <c r="Z1698" s="1">
        <v>2021.375</v>
      </c>
      <c r="AA1698" s="2">
        <f t="shared" si="213"/>
        <v>-0.144208</v>
      </c>
      <c r="AB1698">
        <v>-7.2103999999999999</v>
      </c>
      <c r="AE1698">
        <v>2021.3333333332048</v>
      </c>
      <c r="AF1698">
        <v>0.68762789253626044</v>
      </c>
    </row>
    <row r="1699" spans="4:32" x14ac:dyDescent="0.35">
      <c r="D1699">
        <v>-0.407084</v>
      </c>
      <c r="M1699">
        <f t="shared" si="214"/>
        <v>1698</v>
      </c>
      <c r="N1699">
        <f t="shared" si="215"/>
        <v>2021.416666666538</v>
      </c>
      <c r="O1699">
        <f t="shared" si="210"/>
        <v>0</v>
      </c>
      <c r="P1699">
        <f t="array" ref="P1699">+SUM($G$2:$G$18*SIN(2*PI()*(N1699)*$B$1/$F$2:$F$18+$H$2:$H$18))</f>
        <v>0.32717282671104103</v>
      </c>
      <c r="Q1699">
        <f t="shared" si="211"/>
        <v>0</v>
      </c>
      <c r="R1699">
        <f t="shared" si="212"/>
        <v>-1.2987932360248445E-2</v>
      </c>
      <c r="S1699">
        <f t="array" ref="S1699">+$B$2*SIN(R1699*$B$3+$B$4)+0*R1699+ SUM($J$2:$J$20*SIN(2*PI()*N1699*$I$2:$I$20+$K$2:$K$20))</f>
        <v>0.68646985338990119</v>
      </c>
      <c r="U1699" s="3">
        <f t="shared" si="208"/>
        <v>2021.416666666538</v>
      </c>
      <c r="V1699" s="3">
        <f t="shared" si="209"/>
        <v>0.66648600000000002</v>
      </c>
      <c r="Z1699" s="1">
        <v>2021.4583</v>
      </c>
      <c r="AA1699" s="2">
        <f t="shared" si="213"/>
        <v>-1.8253999999999999E-2</v>
      </c>
      <c r="AB1699">
        <v>-0.91269999999999996</v>
      </c>
      <c r="AE1699">
        <v>2021.416666666538</v>
      </c>
      <c r="AF1699">
        <v>0.68646985338990119</v>
      </c>
    </row>
    <row r="1700" spans="4:32" x14ac:dyDescent="0.35">
      <c r="D1700">
        <v>-0.144208</v>
      </c>
      <c r="M1700">
        <f t="shared" si="214"/>
        <v>1699</v>
      </c>
      <c r="N1700">
        <f t="shared" si="215"/>
        <v>2021.4999999998713</v>
      </c>
      <c r="O1700">
        <f t="shared" si="210"/>
        <v>0</v>
      </c>
      <c r="P1700">
        <f t="array" ref="P1700">+SUM($G$2:$G$18*SIN(2*PI()*(N1700)*$B$1/$F$2:$F$18+$H$2:$H$18))</f>
        <v>0.52260259190049996</v>
      </c>
      <c r="Q1700">
        <f t="shared" si="211"/>
        <v>0</v>
      </c>
      <c r="R1700">
        <f t="shared" si="212"/>
        <v>-1.2967955089885868E-2</v>
      </c>
      <c r="S1700">
        <f t="array" ref="S1700">+$B$2*SIN(R1700*$B$3+$B$4)+0*R1700+ SUM($J$2:$J$20*SIN(2*PI()*N1700*$I$2:$I$20+$K$2:$K$20))</f>
        <v>0.68530388315956714</v>
      </c>
      <c r="U1700" s="3">
        <f t="shared" si="208"/>
        <v>2021.4999999998713</v>
      </c>
      <c r="V1700" s="3">
        <f t="shared" si="209"/>
        <v>0.48171999999999998</v>
      </c>
      <c r="Z1700" s="1">
        <v>2021.5417</v>
      </c>
      <c r="AA1700" s="2">
        <f t="shared" si="213"/>
        <v>0.26461600000000002</v>
      </c>
      <c r="AB1700">
        <v>13.2308</v>
      </c>
      <c r="AE1700">
        <v>2021.4999999998713</v>
      </c>
      <c r="AF1700">
        <v>0.68530388315956714</v>
      </c>
    </row>
    <row r="1701" spans="4:32" x14ac:dyDescent="0.35">
      <c r="D1701">
        <v>-1.8253999999999999E-2</v>
      </c>
      <c r="M1701">
        <f t="shared" si="214"/>
        <v>1700</v>
      </c>
      <c r="N1701">
        <f t="shared" si="215"/>
        <v>2021.5833333332046</v>
      </c>
      <c r="O1701">
        <f t="shared" si="210"/>
        <v>0</v>
      </c>
      <c r="P1701">
        <f t="array" ref="P1701">+SUM($G$2:$G$18*SIN(2*PI()*(N1701)*$B$1/$F$2:$F$18+$H$2:$H$18))</f>
        <v>2.2032508216515242E-2</v>
      </c>
      <c r="Q1701">
        <f t="shared" si="211"/>
        <v>0</v>
      </c>
      <c r="R1701">
        <f t="shared" si="212"/>
        <v>-1.2948008547380509E-2</v>
      </c>
      <c r="S1701">
        <f t="array" ref="S1701">+$B$2*SIN(R1701*$B$3+$B$4)+0*R1701+ SUM($J$2:$J$20*SIN(2*PI()*N1701*$I$2:$I$20+$K$2:$K$20))</f>
        <v>0.68413004034477565</v>
      </c>
      <c r="U1701" s="3">
        <f t="shared" si="208"/>
        <v>2021.5833333332046</v>
      </c>
      <c r="V1701" s="3">
        <f t="shared" si="209"/>
        <v>0.37848999999999999</v>
      </c>
      <c r="Z1701" s="1">
        <v>2021.625</v>
      </c>
      <c r="AA1701" s="2">
        <f t="shared" si="213"/>
        <v>0.51672200000000001</v>
      </c>
      <c r="AB1701">
        <v>25.836099999999998</v>
      </c>
      <c r="AE1701">
        <v>2021.5833333332046</v>
      </c>
      <c r="AF1701">
        <v>0.68413004034477565</v>
      </c>
    </row>
    <row r="1702" spans="4:32" x14ac:dyDescent="0.35">
      <c r="D1702">
        <v>0.26461600000000002</v>
      </c>
      <c r="M1702">
        <f t="shared" si="214"/>
        <v>1701</v>
      </c>
      <c r="N1702">
        <f t="shared" si="215"/>
        <v>2021.6666666665378</v>
      </c>
      <c r="O1702">
        <f t="shared" si="210"/>
        <v>0</v>
      </c>
      <c r="P1702">
        <f t="array" ref="P1702">+SUM($G$2:$G$18*SIN(2*PI()*(N1702)*$B$1/$F$2:$F$18+$H$2:$H$18))</f>
        <v>-0.30687673544508987</v>
      </c>
      <c r="Q1702">
        <f t="shared" si="211"/>
        <v>0</v>
      </c>
      <c r="R1702">
        <f t="shared" si="212"/>
        <v>-1.2928092685468595E-2</v>
      </c>
      <c r="S1702">
        <f t="array" ref="S1702">+$B$2*SIN(R1702*$B$3+$B$4)+0*R1702+ SUM($J$2:$J$20*SIN(2*PI()*N1702*$I$2:$I$20+$K$2:$K$20))</f>
        <v>0.68294838327288621</v>
      </c>
      <c r="U1702" s="3">
        <f t="shared" si="208"/>
        <v>2021.6666666665378</v>
      </c>
      <c r="V1702" s="3">
        <f t="shared" si="209"/>
        <v>0.242946</v>
      </c>
      <c r="Z1702" s="1">
        <v>2021.7083</v>
      </c>
      <c r="AA1702" s="2">
        <f t="shared" si="213"/>
        <v>0.47497799999999996</v>
      </c>
      <c r="AB1702">
        <v>23.748899999999999</v>
      </c>
      <c r="AE1702">
        <v>2021.6666666665378</v>
      </c>
      <c r="AF1702">
        <v>0.68294838327288621</v>
      </c>
    </row>
    <row r="1703" spans="4:32" x14ac:dyDescent="0.35">
      <c r="D1703">
        <v>0.51672200000000001</v>
      </c>
      <c r="M1703">
        <f t="shared" si="214"/>
        <v>1702</v>
      </c>
      <c r="N1703">
        <f t="shared" si="215"/>
        <v>2021.7499999998711</v>
      </c>
      <c r="O1703">
        <f t="shared" si="210"/>
        <v>0</v>
      </c>
      <c r="P1703">
        <f t="array" ref="P1703">+SUM($G$2:$G$18*SIN(2*PI()*(N1703)*$B$1/$F$2:$F$18+$H$2:$H$18))</f>
        <v>0.32686868180833362</v>
      </c>
      <c r="Q1703">
        <f t="shared" si="211"/>
        <v>0</v>
      </c>
      <c r="R1703">
        <f t="shared" si="212"/>
        <v>-1.290820745695905E-2</v>
      </c>
      <c r="S1703">
        <f t="array" ref="S1703">+$B$2*SIN(R1703*$B$3+$B$4)+0*R1703+ SUM($J$2:$J$20*SIN(2*PI()*N1703*$I$2:$I$20+$K$2:$K$20))</f>
        <v>0.68175897009827768</v>
      </c>
      <c r="U1703" s="3">
        <f t="shared" si="208"/>
        <v>2021.7499999998711</v>
      </c>
      <c r="V1703" s="3">
        <f t="shared" si="209"/>
        <v>6.7405999999999994E-2</v>
      </c>
      <c r="Z1703" s="1">
        <v>2021.7917</v>
      </c>
      <c r="AA1703" s="2">
        <f t="shared" si="213"/>
        <v>0.48553800000000003</v>
      </c>
      <c r="AB1703">
        <v>24.276900000000001</v>
      </c>
      <c r="AE1703">
        <v>2021.7499999998711</v>
      </c>
      <c r="AF1703">
        <v>0.68175897009827768</v>
      </c>
    </row>
    <row r="1704" spans="4:32" x14ac:dyDescent="0.35">
      <c r="D1704">
        <v>0.47497799999999996</v>
      </c>
      <c r="M1704">
        <f t="shared" si="214"/>
        <v>1703</v>
      </c>
      <c r="N1704">
        <f t="shared" si="215"/>
        <v>2021.8333333332043</v>
      </c>
      <c r="O1704">
        <f t="shared" si="210"/>
        <v>0</v>
      </c>
      <c r="P1704">
        <f t="array" ref="P1704">+SUM($G$2:$G$18*SIN(2*PI()*(N1704)*$B$1/$F$2:$F$18+$H$2:$H$18))</f>
        <v>0.86798295253689384</v>
      </c>
      <c r="Q1704">
        <f t="shared" si="211"/>
        <v>0</v>
      </c>
      <c r="R1704">
        <f t="shared" si="212"/>
        <v>-1.2888352814733382E-2</v>
      </c>
      <c r="S1704">
        <f t="array" ref="S1704">+$B$2*SIN(R1704*$B$3+$B$4)+0*R1704+ SUM($J$2:$J$20*SIN(2*PI()*N1704*$I$2:$I$20+$K$2:$K$20))</f>
        <v>0.68056185880153752</v>
      </c>
      <c r="U1704" s="3">
        <f t="shared" si="208"/>
        <v>2021.8333333332043</v>
      </c>
      <c r="V1704" s="3">
        <f t="shared" si="209"/>
        <v>-4.5058000000000001E-2</v>
      </c>
      <c r="Z1704" s="1">
        <v>2021.875</v>
      </c>
      <c r="AA1704" s="2">
        <f t="shared" si="213"/>
        <v>0.32071800000000006</v>
      </c>
      <c r="AB1704">
        <v>16.035900000000002</v>
      </c>
      <c r="AE1704">
        <v>2021.8333333332043</v>
      </c>
      <c r="AF1704">
        <v>0.68056185880153752</v>
      </c>
    </row>
    <row r="1705" spans="4:32" x14ac:dyDescent="0.35">
      <c r="D1705">
        <v>0.48553800000000003</v>
      </c>
      <c r="M1705">
        <f t="shared" si="214"/>
        <v>1704</v>
      </c>
      <c r="N1705">
        <f t="shared" si="215"/>
        <v>2021.9166666665376</v>
      </c>
      <c r="O1705">
        <f t="shared" si="210"/>
        <v>0</v>
      </c>
      <c r="P1705">
        <f t="array" ref="P1705">+SUM($G$2:$G$18*SIN(2*PI()*(N1705)*$B$1/$F$2:$F$18+$H$2:$H$18))</f>
        <v>0.51703838800896507</v>
      </c>
      <c r="Q1705">
        <f t="shared" si="211"/>
        <v>0</v>
      </c>
      <c r="R1705">
        <f t="shared" si="212"/>
        <v>-1.2868528711745576E-2</v>
      </c>
      <c r="S1705">
        <f t="array" ref="S1705">+$B$2*SIN(R1705*$B$3+$B$4)+0*R1705+ SUM($J$2:$J$20*SIN(2*PI()*N1705*$I$2:$I$20+$K$2:$K$20))</f>
        <v>0.67935710718867248</v>
      </c>
      <c r="U1705" s="3">
        <f t="shared" si="208"/>
        <v>2021.9166666665376</v>
      </c>
      <c r="V1705" s="3">
        <f t="shared" si="209"/>
        <v>0.11016400000000001</v>
      </c>
      <c r="Z1705" s="1">
        <v>2021.9583</v>
      </c>
      <c r="AA1705" s="2">
        <f t="shared" si="213"/>
        <v>0.49897199999999997</v>
      </c>
      <c r="AB1705">
        <v>24.948599999999999</v>
      </c>
      <c r="AE1705">
        <v>2021.9166666665376</v>
      </c>
      <c r="AF1705">
        <v>0.67935710718867248</v>
      </c>
    </row>
    <row r="1706" spans="4:32" x14ac:dyDescent="0.35">
      <c r="D1706">
        <v>0.32071800000000006</v>
      </c>
      <c r="M1706">
        <f t="shared" si="214"/>
        <v>1705</v>
      </c>
      <c r="N1706">
        <f t="shared" si="215"/>
        <v>2021.9999999998709</v>
      </c>
      <c r="O1706">
        <f t="shared" si="210"/>
        <v>36.637715116165623</v>
      </c>
      <c r="P1706">
        <f t="array" ref="P1706">+SUM($G$2:$G$18*SIN(2*PI()*(N1706)*$B$1/$F$2:$F$18+$H$2:$H$18))</f>
        <v>1.6037443764782E-3</v>
      </c>
      <c r="Q1706">
        <f t="shared" si="211"/>
        <v>5.8757529584560958E-2</v>
      </c>
      <c r="R1706">
        <f t="shared" si="212"/>
        <v>-1.275835773980777E-2</v>
      </c>
      <c r="S1706">
        <f t="array" ref="S1706">+$B$2*SIN(R1706*$B$3+$B$4)+0*R1706+ SUM($J$2:$J$20*SIN(2*PI()*N1706*$I$2:$I$20+$K$2:$K$20))</f>
        <v>0.67248993302450033</v>
      </c>
      <c r="U1706" s="3">
        <f t="shared" si="208"/>
        <v>2021.9999999998709</v>
      </c>
      <c r="V1706" s="3">
        <f t="shared" si="209"/>
        <v>-0.173072</v>
      </c>
      <c r="Z1706" s="1">
        <v>2022.0417</v>
      </c>
      <c r="AA1706" s="2">
        <f t="shared" si="213"/>
        <v>0.67414399999999997</v>
      </c>
      <c r="AB1706">
        <v>33.7072</v>
      </c>
      <c r="AE1706">
        <v>2021.9999999998709</v>
      </c>
      <c r="AF1706">
        <v>0.67248993302450033</v>
      </c>
    </row>
    <row r="1707" spans="4:32" x14ac:dyDescent="0.35">
      <c r="D1707">
        <v>0.49897199999999997</v>
      </c>
      <c r="M1707">
        <f t="shared" si="214"/>
        <v>1706</v>
      </c>
      <c r="N1707">
        <f t="shared" si="215"/>
        <v>2022.0833333332041</v>
      </c>
      <c r="O1707">
        <f t="shared" si="210"/>
        <v>0</v>
      </c>
      <c r="P1707">
        <f t="array" ref="P1707">+SUM($G$2:$G$18*SIN(2*PI()*(N1707)*$B$1/$F$2:$F$18+$H$2:$H$18))</f>
        <v>6.709961154613131E-2</v>
      </c>
      <c r="Q1707">
        <f t="shared" si="211"/>
        <v>0</v>
      </c>
      <c r="R1707">
        <f t="shared" si="212"/>
        <v>-1.2738733587565439E-2</v>
      </c>
      <c r="S1707">
        <f t="array" ref="S1707">+$B$2*SIN(R1707*$B$3+$B$4)+0*R1707+ SUM($J$2:$J$20*SIN(2*PI()*N1707*$I$2:$I$20+$K$2:$K$20))</f>
        <v>0.67123629625086034</v>
      </c>
      <c r="U1707" s="3">
        <f t="shared" si="208"/>
        <v>2022.0833333332041</v>
      </c>
      <c r="V1707" s="3">
        <f t="shared" si="209"/>
        <v>-0.50707800000000003</v>
      </c>
      <c r="Z1707" s="1">
        <v>2022.125</v>
      </c>
      <c r="AA1707" s="2">
        <f t="shared" si="213"/>
        <v>0.79393400000000003</v>
      </c>
      <c r="AB1707">
        <v>39.6967</v>
      </c>
      <c r="AE1707">
        <v>2022.0833333332041</v>
      </c>
      <c r="AF1707">
        <v>0.67123629625086034</v>
      </c>
    </row>
    <row r="1708" spans="4:32" x14ac:dyDescent="0.35">
      <c r="D1708">
        <v>0.67414399999999997</v>
      </c>
      <c r="M1708">
        <f t="shared" si="214"/>
        <v>1707</v>
      </c>
      <c r="N1708">
        <f t="shared" si="215"/>
        <v>2022.1666666665374</v>
      </c>
      <c r="O1708">
        <f t="shared" si="210"/>
        <v>0</v>
      </c>
      <c r="P1708">
        <f t="array" ref="P1708">+SUM($G$2:$G$18*SIN(2*PI()*(N1708)*$B$1/$F$2:$F$18+$H$2:$H$18))</f>
        <v>0.58530646413943277</v>
      </c>
      <c r="Q1708">
        <f t="shared" si="211"/>
        <v>0</v>
      </c>
      <c r="R1708">
        <f t="shared" si="212"/>
        <v>-1.2719139620034894E-2</v>
      </c>
      <c r="S1708">
        <f t="array" ref="S1708">+$B$2*SIN(R1708*$B$3+$B$4)+0*R1708+ SUM($J$2:$J$20*SIN(2*PI()*N1708*$I$2:$I$20+$K$2:$K$20))</f>
        <v>0.66997545189444752</v>
      </c>
      <c r="U1708" s="3">
        <f t="shared" si="208"/>
        <v>2022.1666666665374</v>
      </c>
      <c r="V1708" s="3">
        <f t="shared" si="209"/>
        <v>-0.51032</v>
      </c>
      <c r="Z1708" s="1">
        <v>2022.2083</v>
      </c>
      <c r="AA1708" s="2">
        <f t="shared" si="213"/>
        <v>0.57833800000000002</v>
      </c>
      <c r="AB1708">
        <v>28.916899999999998</v>
      </c>
      <c r="AE1708">
        <v>2022.1666666665374</v>
      </c>
      <c r="AF1708">
        <v>0.66997545189444752</v>
      </c>
    </row>
    <row r="1709" spans="4:32" x14ac:dyDescent="0.35">
      <c r="D1709">
        <v>0.79393400000000003</v>
      </c>
      <c r="M1709">
        <f t="shared" si="214"/>
        <v>1708</v>
      </c>
      <c r="N1709">
        <f t="shared" si="215"/>
        <v>2022.2499999998706</v>
      </c>
      <c r="O1709">
        <f t="shared" si="210"/>
        <v>0</v>
      </c>
      <c r="P1709">
        <f t="array" ref="P1709">+SUM($G$2:$G$18*SIN(2*PI()*(N1709)*$B$1/$F$2:$F$18+$H$2:$H$18))</f>
        <v>0.64102257617608838</v>
      </c>
      <c r="Q1709">
        <f t="shared" si="211"/>
        <v>0</v>
      </c>
      <c r="R1709">
        <f t="shared" si="212"/>
        <v>-1.2699575790787792E-2</v>
      </c>
      <c r="S1709">
        <f t="array" ref="S1709">+$B$2*SIN(R1709*$B$3+$B$4)+0*R1709+ SUM($J$2:$J$20*SIN(2*PI()*N1709*$I$2:$I$20+$K$2:$K$20))</f>
        <v>0.66870745623224004</v>
      </c>
      <c r="U1709" s="3">
        <f t="shared" si="208"/>
        <v>2022.2499999998706</v>
      </c>
      <c r="V1709" s="3">
        <f t="shared" si="209"/>
        <v>-0.71201999999999999</v>
      </c>
      <c r="Z1709" s="1">
        <v>2022.2917</v>
      </c>
      <c r="AA1709" s="2">
        <f t="shared" si="213"/>
        <v>0.60889000000000004</v>
      </c>
      <c r="AB1709">
        <v>30.444500000000001</v>
      </c>
      <c r="AE1709">
        <v>2022.2499999998706</v>
      </c>
      <c r="AF1709">
        <v>0.66870745623224004</v>
      </c>
    </row>
    <row r="1710" spans="4:32" x14ac:dyDescent="0.35">
      <c r="D1710">
        <v>0.57833800000000002</v>
      </c>
      <c r="M1710">
        <f t="shared" si="214"/>
        <v>1709</v>
      </c>
      <c r="N1710">
        <f t="shared" si="215"/>
        <v>2022.3333333332039</v>
      </c>
      <c r="O1710">
        <f t="shared" si="210"/>
        <v>0</v>
      </c>
      <c r="P1710">
        <f t="array" ref="P1710">+SUM($G$2:$G$18*SIN(2*PI()*(N1710)*$B$1/$F$2:$F$18+$H$2:$H$18))</f>
        <v>-4.8556397406597313E-2</v>
      </c>
      <c r="Q1710">
        <f t="shared" si="211"/>
        <v>0</v>
      </c>
      <c r="R1710">
        <f t="shared" si="212"/>
        <v>-1.2680042053467209E-2</v>
      </c>
      <c r="S1710">
        <f t="array" ref="S1710">+$B$2*SIN(R1710*$B$3+$B$4)+0*R1710+ SUM($J$2:$J$20*SIN(2*PI()*N1710*$I$2:$I$20+$K$2:$K$20))</f>
        <v>0.66743236535989081</v>
      </c>
      <c r="U1710" s="3">
        <f t="shared" si="208"/>
        <v>2022.3333333332039</v>
      </c>
      <c r="V1710" s="3">
        <f t="shared" si="209"/>
        <v>-0.69372200000000006</v>
      </c>
      <c r="Z1710" s="1">
        <v>2022.375</v>
      </c>
      <c r="AA1710" s="2">
        <f t="shared" si="213"/>
        <v>0.66098600000000007</v>
      </c>
      <c r="AB1710">
        <v>33.049300000000002</v>
      </c>
      <c r="AE1710">
        <v>2022.3333333332039</v>
      </c>
      <c r="AF1710">
        <v>0.66743236535989081</v>
      </c>
    </row>
    <row r="1711" spans="4:32" x14ac:dyDescent="0.35">
      <c r="D1711">
        <v>0.60889000000000004</v>
      </c>
      <c r="M1711">
        <f t="shared" si="214"/>
        <v>1710</v>
      </c>
      <c r="N1711">
        <f t="shared" si="215"/>
        <v>2022.4166666665371</v>
      </c>
      <c r="O1711">
        <f t="shared" si="210"/>
        <v>0</v>
      </c>
      <c r="P1711">
        <f t="array" ref="P1711">+SUM($G$2:$G$18*SIN(2*PI()*(N1711)*$B$1/$F$2:$F$18+$H$2:$H$18))</f>
        <v>-0.18173723003206471</v>
      </c>
      <c r="Q1711">
        <f t="shared" si="211"/>
        <v>0</v>
      </c>
      <c r="R1711">
        <f t="shared" si="212"/>
        <v>-1.2660538361787519E-2</v>
      </c>
      <c r="S1711">
        <f t="array" ref="S1711">+$B$2*SIN(R1711*$B$3+$B$4)+0*R1711+ SUM($J$2:$J$20*SIN(2*PI()*N1711*$I$2:$I$20+$K$2:$K$20))</f>
        <v>0.66615023519110594</v>
      </c>
      <c r="U1711" s="3">
        <f t="shared" si="208"/>
        <v>2022.4166666665371</v>
      </c>
      <c r="V1711" s="3">
        <f t="shared" si="209"/>
        <v>-0.58927600000000002</v>
      </c>
      <c r="Z1711" s="1">
        <v>2022.4583</v>
      </c>
      <c r="AA1711" s="2">
        <f t="shared" si="213"/>
        <v>0.26692399999999999</v>
      </c>
      <c r="AB1711">
        <v>13.3462</v>
      </c>
      <c r="AE1711">
        <v>2022.4166666665371</v>
      </c>
      <c r="AF1711">
        <v>0.66615023519110594</v>
      </c>
    </row>
    <row r="1712" spans="4:32" x14ac:dyDescent="0.35">
      <c r="D1712">
        <v>0.66098600000000007</v>
      </c>
      <c r="M1712">
        <f t="shared" si="214"/>
        <v>1711</v>
      </c>
      <c r="N1712">
        <f t="shared" si="215"/>
        <v>2022.4999999998704</v>
      </c>
      <c r="O1712">
        <f t="shared" si="210"/>
        <v>0</v>
      </c>
      <c r="P1712">
        <f t="array" ref="P1712">+SUM($G$2:$G$18*SIN(2*PI()*(N1712)*$B$1/$F$2:$F$18+$H$2:$H$18))</f>
        <v>0.6545539044367874</v>
      </c>
      <c r="Q1712">
        <f t="shared" si="211"/>
        <v>0</v>
      </c>
      <c r="R1712">
        <f t="shared" si="212"/>
        <v>-1.2641064669534291E-2</v>
      </c>
      <c r="S1712">
        <f t="array" ref="S1712">+$B$2*SIN(R1712*$B$3+$B$4)+0*R1712+ SUM($J$2:$J$20*SIN(2*PI()*N1712*$I$2:$I$20+$K$2:$K$20))</f>
        <v>0.66486112145704168</v>
      </c>
      <c r="U1712" s="3">
        <f t="shared" si="208"/>
        <v>2022.4999999998704</v>
      </c>
      <c r="V1712" s="3">
        <f t="shared" si="209"/>
        <v>-0.42944000000000004</v>
      </c>
      <c r="Z1712" s="1">
        <v>2022.5417</v>
      </c>
      <c r="AA1712" s="2">
        <f t="shared" si="213"/>
        <v>0.157474</v>
      </c>
      <c r="AB1712">
        <v>7.8737000000000004</v>
      </c>
      <c r="AE1712">
        <v>2022.4999999998704</v>
      </c>
      <c r="AF1712">
        <v>0.66486112145704168</v>
      </c>
    </row>
    <row r="1713" spans="4:32" x14ac:dyDescent="0.35">
      <c r="D1713">
        <v>0.26692399999999999</v>
      </c>
      <c r="M1713">
        <f t="shared" si="214"/>
        <v>1712</v>
      </c>
      <c r="N1713">
        <f t="shared" si="215"/>
        <v>2022.5833333332037</v>
      </c>
      <c r="O1713">
        <f t="shared" si="210"/>
        <v>0</v>
      </c>
      <c r="P1713">
        <f t="array" ref="P1713">+SUM($G$2:$G$18*SIN(2*PI()*(N1713)*$B$1/$F$2:$F$18+$H$2:$H$18))</f>
        <v>0.98984351773529522</v>
      </c>
      <c r="Q1713">
        <f t="shared" si="211"/>
        <v>0</v>
      </c>
      <c r="R1713">
        <f t="shared" si="212"/>
        <v>-1.2621620930564181E-2</v>
      </c>
      <c r="S1713">
        <f t="array" ref="S1713">+$B$2*SIN(R1713*$B$3+$B$4)+0*R1713+ SUM($J$2:$J$20*SIN(2*PI()*N1713*$I$2:$I$20+$K$2:$K$20))</f>
        <v>0.66356507970571554</v>
      </c>
      <c r="U1713" s="3">
        <f t="shared" si="208"/>
        <v>2022.5833333332037</v>
      </c>
      <c r="V1713" s="3">
        <f t="shared" si="209"/>
        <v>-0.30499199999999999</v>
      </c>
      <c r="Z1713" s="1">
        <v>2022.625</v>
      </c>
      <c r="AA1713" s="2">
        <f t="shared" si="213"/>
        <v>0.103412</v>
      </c>
      <c r="AB1713">
        <v>5.1706000000000003</v>
      </c>
      <c r="AE1713">
        <v>2022.5833333332037</v>
      </c>
      <c r="AF1713">
        <v>0.66356507970571554</v>
      </c>
    </row>
    <row r="1714" spans="4:32" x14ac:dyDescent="0.35">
      <c r="D1714">
        <v>0.157474</v>
      </c>
      <c r="M1714">
        <f t="shared" si="214"/>
        <v>1713</v>
      </c>
      <c r="N1714">
        <f t="shared" si="215"/>
        <v>2022.6666666665369</v>
      </c>
      <c r="O1714">
        <f t="shared" si="210"/>
        <v>0</v>
      </c>
      <c r="P1714">
        <f t="array" ref="P1714">+SUM($G$2:$G$18*SIN(2*PI()*(N1714)*$B$1/$F$2:$F$18+$H$2:$H$18))</f>
        <v>0.32661948028589227</v>
      </c>
      <c r="Q1714">
        <f t="shared" si="211"/>
        <v>0</v>
      </c>
      <c r="R1714">
        <f t="shared" si="212"/>
        <v>-1.2602207098804819E-2</v>
      </c>
      <c r="S1714">
        <f t="array" ref="S1714">+$B$2*SIN(R1714*$B$3+$B$4)+0*R1714+ SUM($J$2:$J$20*SIN(2*PI()*N1714*$I$2:$I$20+$K$2:$K$20))</f>
        <v>0.66226216530143334</v>
      </c>
      <c r="U1714" s="3">
        <f t="shared" si="208"/>
        <v>2022.6666666665369</v>
      </c>
      <c r="V1714" s="3">
        <f t="shared" si="209"/>
        <v>-3.4394000000000001E-2</v>
      </c>
      <c r="Z1714" s="1">
        <v>2022.7083</v>
      </c>
      <c r="AA1714" s="2">
        <f t="shared" si="213"/>
        <v>-7.8343999999999997E-2</v>
      </c>
      <c r="AB1714">
        <v>-3.9171999999999998</v>
      </c>
      <c r="AE1714">
        <v>2022.6666666665369</v>
      </c>
      <c r="AF1714">
        <v>0.66226216530143334</v>
      </c>
    </row>
    <row r="1715" spans="4:32" x14ac:dyDescent="0.35">
      <c r="D1715">
        <v>0.103412</v>
      </c>
      <c r="M1715">
        <f t="shared" si="214"/>
        <v>1714</v>
      </c>
      <c r="N1715">
        <f t="shared" si="215"/>
        <v>2022.7499999998702</v>
      </c>
      <c r="O1715">
        <f t="shared" si="210"/>
        <v>0</v>
      </c>
      <c r="P1715">
        <f t="array" ref="P1715">+SUM($G$2:$G$18*SIN(2*PI()*(N1715)*$B$1/$F$2:$F$18+$H$2:$H$18))</f>
        <v>-0.23012693575205845</v>
      </c>
      <c r="Q1715">
        <f t="shared" si="211"/>
        <v>0</v>
      </c>
      <c r="R1715">
        <f t="shared" si="212"/>
        <v>-1.2582823128254698E-2</v>
      </c>
      <c r="S1715">
        <f t="array" ref="S1715">+$B$2*SIN(R1715*$B$3+$B$4)+0*R1715+ SUM($J$2:$J$20*SIN(2*PI()*N1715*$I$2:$I$20+$K$2:$K$20))</f>
        <v>0.66095243342422927</v>
      </c>
      <c r="U1715" s="3">
        <f t="shared" si="208"/>
        <v>2022.7499999998702</v>
      </c>
      <c r="V1715" s="3">
        <f t="shared" si="209"/>
        <v>-8.0717999999999998E-2</v>
      </c>
      <c r="Z1715" s="1">
        <v>2022.7917</v>
      </c>
      <c r="AA1715" s="2">
        <f t="shared" si="213"/>
        <v>-7.2413999999999992E-2</v>
      </c>
      <c r="AB1715">
        <v>-3.6206999999999998</v>
      </c>
      <c r="AE1715">
        <v>2022.7499999998702</v>
      </c>
      <c r="AF1715">
        <v>0.66095243342422927</v>
      </c>
    </row>
    <row r="1716" spans="4:32" x14ac:dyDescent="0.35">
      <c r="D1716">
        <v>-7.8343999999999997E-2</v>
      </c>
      <c r="M1716">
        <f t="shared" si="214"/>
        <v>1715</v>
      </c>
      <c r="N1716">
        <f t="shared" si="215"/>
        <v>2022.8333333332034</v>
      </c>
      <c r="O1716">
        <f t="shared" si="210"/>
        <v>0</v>
      </c>
      <c r="P1716">
        <f t="array" ref="P1716">+SUM($G$2:$G$18*SIN(2*PI()*(N1716)*$B$1/$F$2:$F$18+$H$2:$H$18))</f>
        <v>4.6189553390787924E-2</v>
      </c>
      <c r="Q1716">
        <f t="shared" si="211"/>
        <v>0</v>
      </c>
      <c r="R1716">
        <f t="shared" si="212"/>
        <v>-1.2563468972983072E-2</v>
      </c>
      <c r="S1716">
        <f t="array" ref="S1716">+$B$2*SIN(R1716*$B$3+$B$4)+0*R1716+ SUM($J$2:$J$20*SIN(2*PI()*N1716*$I$2:$I$20+$K$2:$K$20))</f>
        <v>0.65963593906932338</v>
      </c>
      <c r="U1716" s="3">
        <f t="shared" si="208"/>
        <v>2022.8333333332034</v>
      </c>
      <c r="V1716" s="3">
        <f t="shared" si="209"/>
        <v>-3.9639999999999996E-3</v>
      </c>
      <c r="Z1716" s="1">
        <v>2022.875</v>
      </c>
      <c r="AA1716" s="2">
        <f t="shared" si="213"/>
        <v>-9.2634000000000008E-2</v>
      </c>
      <c r="AB1716">
        <v>-4.6317000000000004</v>
      </c>
      <c r="AE1716">
        <v>2022.8333333332034</v>
      </c>
      <c r="AF1716">
        <v>0.65963593906932338</v>
      </c>
    </row>
    <row r="1717" spans="4:32" x14ac:dyDescent="0.35">
      <c r="D1717">
        <v>-7.2413999999999992E-2</v>
      </c>
      <c r="M1717">
        <f t="shared" si="214"/>
        <v>1716</v>
      </c>
      <c r="N1717">
        <f t="shared" si="215"/>
        <v>2022.9166666665367</v>
      </c>
      <c r="O1717">
        <f t="shared" si="210"/>
        <v>0</v>
      </c>
      <c r="P1717">
        <f t="array" ref="P1717">+SUM($G$2:$G$18*SIN(2*PI()*(N1717)*$B$1/$F$2:$F$18+$H$2:$H$18))</f>
        <v>0.64585503183335546</v>
      </c>
      <c r="Q1717">
        <f t="shared" si="211"/>
        <v>0</v>
      </c>
      <c r="R1717">
        <f t="shared" si="212"/>
        <v>-1.254414458712984E-2</v>
      </c>
      <c r="S1717">
        <f t="array" ref="S1717">+$B$2*SIN(R1717*$B$3+$B$4)+0*R1717+ SUM($J$2:$J$20*SIN(2*PI()*N1717*$I$2:$I$20+$K$2:$K$20))</f>
        <v>0.65831273704659077</v>
      </c>
      <c r="U1717" s="3">
        <f t="shared" si="208"/>
        <v>2022.9166666665367</v>
      </c>
      <c r="V1717" s="3">
        <f t="shared" si="209"/>
        <v>0.109706</v>
      </c>
      <c r="Z1717" s="1">
        <v>2022.9583</v>
      </c>
      <c r="AA1717" s="2">
        <f t="shared" si="213"/>
        <v>-4.3624000000000003E-2</v>
      </c>
      <c r="AB1717">
        <v>-2.1812</v>
      </c>
      <c r="AE1717">
        <v>2022.9166666665367</v>
      </c>
      <c r="AF1717">
        <v>0.65831273704659077</v>
      </c>
    </row>
    <row r="1718" spans="4:32" x14ac:dyDescent="0.35">
      <c r="D1718">
        <v>-9.2634000000000008E-2</v>
      </c>
      <c r="M1718">
        <f t="shared" si="214"/>
        <v>1717</v>
      </c>
      <c r="N1718">
        <f t="shared" si="215"/>
        <v>2022.9999999998699</v>
      </c>
      <c r="O1718">
        <f t="shared" si="210"/>
        <v>36.637715116165623</v>
      </c>
      <c r="P1718">
        <f t="array" ref="P1718">+SUM($G$2:$G$18*SIN(2*PI()*(N1718)*$B$1/$F$2:$F$18+$H$2:$H$18))</f>
        <v>0.44117123975483113</v>
      </c>
      <c r="Q1718">
        <f t="shared" si="211"/>
        <v>16.163506199583104</v>
      </c>
      <c r="R1718">
        <f t="shared" si="212"/>
        <v>1.2336900536974242E-2</v>
      </c>
      <c r="S1718">
        <f t="array" ref="S1718">+$B$2*SIN(R1718*$B$3+$B$4)+0*R1718+ SUM($J$2:$J$20*SIN(2*PI()*N1718*$I$2:$I$20+$K$2:$K$20))</f>
        <v>0.3454452838985469</v>
      </c>
      <c r="U1718" s="3">
        <f t="shared" si="208"/>
        <v>2022.9999999998699</v>
      </c>
      <c r="V1718" s="3">
        <f t="shared" si="209"/>
        <v>-0.23200399999999999</v>
      </c>
      <c r="Z1718" s="1">
        <v>2023.0417</v>
      </c>
      <c r="AA1718" s="2">
        <f t="shared" si="213"/>
        <v>-0.114618</v>
      </c>
      <c r="AB1718">
        <v>-5.7309000000000001</v>
      </c>
      <c r="AE1718">
        <v>2022.9999999998699</v>
      </c>
      <c r="AF1718">
        <v>0.3454452838985469</v>
      </c>
    </row>
    <row r="1719" spans="4:32" x14ac:dyDescent="0.35">
      <c r="D1719">
        <v>-4.3624000000000003E-2</v>
      </c>
      <c r="M1719">
        <f t="shared" si="214"/>
        <v>1718</v>
      </c>
      <c r="N1719">
        <f t="shared" si="215"/>
        <v>2023.0833333332032</v>
      </c>
      <c r="O1719">
        <f t="shared" si="210"/>
        <v>0</v>
      </c>
      <c r="P1719">
        <f t="array" ref="P1719">+SUM($G$2:$G$18*SIN(2*PI()*(N1719)*$B$1/$F$2:$F$18+$H$2:$H$18))</f>
        <v>-0.37864450678529626</v>
      </c>
      <c r="Q1719">
        <f t="shared" si="211"/>
        <v>0</v>
      </c>
      <c r="R1719">
        <f t="shared" si="212"/>
        <v>1.2317924645305936E-2</v>
      </c>
      <c r="S1719">
        <f t="array" ref="S1719">+$B$2*SIN(R1719*$B$3+$B$4)+0*R1719+ SUM($J$2:$J$20*SIN(2*PI()*N1719*$I$2:$I$20+$K$2:$K$20))</f>
        <v>0.34305452726223296</v>
      </c>
      <c r="U1719" s="3">
        <f t="shared" si="208"/>
        <v>2023.0833333332032</v>
      </c>
      <c r="V1719" s="3">
        <f t="shared" si="209"/>
        <v>-0.18602399999999999</v>
      </c>
      <c r="Z1719" s="1">
        <v>2023.125</v>
      </c>
      <c r="AA1719" s="2">
        <f t="shared" si="213"/>
        <v>-6.8687999999999999E-2</v>
      </c>
      <c r="AB1719">
        <v>-3.4344000000000001</v>
      </c>
      <c r="AE1719">
        <v>2023.0833333332032</v>
      </c>
      <c r="AF1719">
        <v>0.34305452726223296</v>
      </c>
    </row>
    <row r="1720" spans="4:32" x14ac:dyDescent="0.35">
      <c r="D1720">
        <v>-0.114618</v>
      </c>
      <c r="M1720">
        <f t="shared" si="214"/>
        <v>1719</v>
      </c>
      <c r="N1720">
        <f t="shared" si="215"/>
        <v>2023.1666666665365</v>
      </c>
      <c r="O1720">
        <f t="shared" si="210"/>
        <v>0</v>
      </c>
      <c r="P1720">
        <f t="array" ref="P1720">+SUM($G$2:$G$18*SIN(2*PI()*(N1720)*$B$1/$F$2:$F$18+$H$2:$H$18))</f>
        <v>-0.25791752600816309</v>
      </c>
      <c r="Q1720">
        <f t="shared" si="211"/>
        <v>0</v>
      </c>
      <c r="R1720">
        <f t="shared" si="212"/>
        <v>1.2298977941233294E-2</v>
      </c>
      <c r="S1720">
        <f t="array" ref="S1720">+$B$2*SIN(R1720*$B$3+$B$4)+0*R1720+ SUM($J$2:$J$20*SIN(2*PI()*N1720*$I$2:$I$20+$K$2:$K$20))</f>
        <v>0.34066308217949187</v>
      </c>
      <c r="U1720" s="3">
        <f t="shared" si="208"/>
        <v>2023.1666666665365</v>
      </c>
      <c r="V1720" s="3">
        <f t="shared" si="209"/>
        <v>3.8412000000000002E-2</v>
      </c>
      <c r="Z1720" s="1">
        <v>2023.2083</v>
      </c>
      <c r="AA1720" s="2">
        <f t="shared" si="213"/>
        <v>-0.119682</v>
      </c>
      <c r="AB1720">
        <v>-5.9840999999999998</v>
      </c>
      <c r="AE1720">
        <v>2023.1666666665365</v>
      </c>
      <c r="AF1720">
        <v>0.34066308217949187</v>
      </c>
    </row>
    <row r="1721" spans="4:32" x14ac:dyDescent="0.35">
      <c r="D1721">
        <v>-6.8687999999999999E-2</v>
      </c>
      <c r="M1721">
        <f t="shared" si="214"/>
        <v>1720</v>
      </c>
      <c r="N1721">
        <f t="shared" si="215"/>
        <v>2023.2499999998697</v>
      </c>
      <c r="O1721">
        <f t="shared" si="210"/>
        <v>0</v>
      </c>
      <c r="P1721">
        <f t="array" ref="P1721">+SUM($G$2:$G$18*SIN(2*PI()*(N1721)*$B$1/$F$2:$F$18+$H$2:$H$18))</f>
        <v>0.67975129809397994</v>
      </c>
      <c r="Q1721">
        <f t="shared" si="211"/>
        <v>0</v>
      </c>
      <c r="R1721">
        <f t="shared" si="212"/>
        <v>1.2280060379861677E-2</v>
      </c>
      <c r="S1721">
        <f t="array" ref="S1721">+$B$2*SIN(R1721*$B$3+$B$4)+0*R1721+ SUM($J$2:$J$20*SIN(2*PI()*N1721*$I$2:$I$20+$K$2:$K$20))</f>
        <v>0.33827099346948941</v>
      </c>
      <c r="U1721" s="3">
        <f t="shared" si="208"/>
        <v>2023.2499999998697</v>
      </c>
      <c r="V1721" s="3">
        <f t="shared" si="209"/>
        <v>2.4390000000000002E-2</v>
      </c>
      <c r="Z1721" s="1">
        <v>2023.2917</v>
      </c>
      <c r="AA1721" s="2">
        <f t="shared" si="213"/>
        <v>0.24162600000000001</v>
      </c>
      <c r="AB1721">
        <v>12.081300000000001</v>
      </c>
      <c r="AE1721">
        <v>2023.2499999998697</v>
      </c>
      <c r="AF1721">
        <v>0.33827099346948941</v>
      </c>
    </row>
    <row r="1722" spans="4:32" x14ac:dyDescent="0.35">
      <c r="D1722">
        <v>-0.119682</v>
      </c>
      <c r="M1722">
        <f t="shared" si="214"/>
        <v>1721</v>
      </c>
      <c r="N1722">
        <f t="shared" si="215"/>
        <v>2023.333333333203</v>
      </c>
      <c r="O1722">
        <f t="shared" si="210"/>
        <v>0</v>
      </c>
      <c r="P1722">
        <f t="array" ref="P1722">+SUM($G$2:$G$18*SIN(2*PI()*(N1722)*$B$1/$F$2:$F$18+$H$2:$H$18))</f>
        <v>0.75908542416011682</v>
      </c>
      <c r="Q1722">
        <f t="shared" si="211"/>
        <v>0</v>
      </c>
      <c r="R1722">
        <f t="shared" si="212"/>
        <v>1.2261171916365509E-2</v>
      </c>
      <c r="S1722">
        <f t="array" ref="S1722">+$B$2*SIN(R1722*$B$3+$B$4)+0*R1722+ SUM($J$2:$J$20*SIN(2*PI()*N1722*$I$2:$I$20+$K$2:$K$20))</f>
        <v>0.33587830566281435</v>
      </c>
      <c r="U1722" s="3">
        <f t="shared" si="208"/>
        <v>2023.333333333203</v>
      </c>
      <c r="V1722" s="3">
        <f t="shared" si="209"/>
        <v>0.32728999999999997</v>
      </c>
      <c r="Z1722" s="1">
        <v>2023.375</v>
      </c>
      <c r="AA1722" s="2">
        <f t="shared" si="213"/>
        <v>0.40755400000000003</v>
      </c>
      <c r="AB1722">
        <v>20.377700000000001</v>
      </c>
      <c r="AE1722">
        <v>2023.333333333203</v>
      </c>
      <c r="AF1722">
        <v>0.33587830566281435</v>
      </c>
    </row>
    <row r="1723" spans="4:32" x14ac:dyDescent="0.35">
      <c r="D1723">
        <v>0.24162600000000001</v>
      </c>
      <c r="M1723">
        <f t="shared" si="214"/>
        <v>1722</v>
      </c>
      <c r="N1723">
        <f t="shared" si="215"/>
        <v>2023.4166666665362</v>
      </c>
      <c r="O1723">
        <f t="shared" si="210"/>
        <v>0</v>
      </c>
      <c r="P1723">
        <f t="array" ref="P1723">+SUM($G$2:$G$18*SIN(2*PI()*(N1723)*$B$1/$F$2:$F$18+$H$2:$H$18))</f>
        <v>-9.9662956992214544E-2</v>
      </c>
      <c r="Q1723">
        <f t="shared" si="211"/>
        <v>0</v>
      </c>
      <c r="R1723">
        <f t="shared" si="212"/>
        <v>1.2242312505988152E-2</v>
      </c>
      <c r="S1723">
        <f t="array" ref="S1723">+$B$2*SIN(R1723*$B$3+$B$4)+0*R1723+ SUM($J$2:$J$20*SIN(2*PI()*N1723*$I$2:$I$20+$K$2:$K$20))</f>
        <v>0.33348506300227493</v>
      </c>
      <c r="U1723" s="3">
        <f t="shared" ref="U1723:U1742" si="216">+N1723</f>
        <v>2023.4166666665362</v>
      </c>
      <c r="V1723" s="3">
        <f t="shared" ref="V1723:V1742" si="217">+D1681</f>
        <v>0.339416</v>
      </c>
      <c r="Z1723" s="1">
        <v>2023.4583</v>
      </c>
      <c r="AA1723" s="2">
        <f t="shared" si="213"/>
        <v>0.436556</v>
      </c>
      <c r="AB1723">
        <v>21.8278</v>
      </c>
      <c r="AE1723">
        <v>2023.4166666665362</v>
      </c>
      <c r="AF1723">
        <v>0.33348506300227493</v>
      </c>
    </row>
    <row r="1724" spans="4:32" x14ac:dyDescent="0.35">
      <c r="D1724">
        <v>0.40755400000000003</v>
      </c>
      <c r="M1724">
        <f t="shared" si="214"/>
        <v>1723</v>
      </c>
      <c r="N1724">
        <f t="shared" si="215"/>
        <v>2023.4999999998695</v>
      </c>
      <c r="O1724">
        <f t="shared" si="210"/>
        <v>0</v>
      </c>
      <c r="P1724">
        <f t="array" ref="P1724">+SUM($G$2:$G$18*SIN(2*PI()*(N1724)*$B$1/$F$2:$F$18+$H$2:$H$18))</f>
        <v>-0.57734887919656241</v>
      </c>
      <c r="Q1724">
        <f t="shared" si="211"/>
        <v>0</v>
      </c>
      <c r="R1724">
        <f t="shared" si="212"/>
        <v>1.2223482104041818E-2</v>
      </c>
      <c r="S1724">
        <f t="array" ref="S1724">+$B$2*SIN(R1724*$B$3+$B$4)+0*R1724+ SUM($J$2:$J$20*SIN(2*PI()*N1724*$I$2:$I$20+$K$2:$K$20))</f>
        <v>0.33109130944369747</v>
      </c>
      <c r="U1724" s="3">
        <f t="shared" si="216"/>
        <v>2023.4999999998695</v>
      </c>
      <c r="V1724" s="3">
        <f t="shared" si="217"/>
        <v>0.47615999999999997</v>
      </c>
      <c r="Z1724" s="1">
        <v>2023.5417</v>
      </c>
      <c r="AA1724" s="2">
        <f t="shared" si="213"/>
        <v>0.78401600000000005</v>
      </c>
      <c r="AB1724">
        <v>39.200800000000001</v>
      </c>
      <c r="AE1724">
        <v>2023.4999999998695</v>
      </c>
      <c r="AF1724">
        <v>0.33109130944369747</v>
      </c>
    </row>
    <row r="1725" spans="4:32" x14ac:dyDescent="0.35">
      <c r="D1725">
        <v>0.436556</v>
      </c>
      <c r="M1725">
        <f t="shared" si="214"/>
        <v>1724</v>
      </c>
      <c r="N1725">
        <f t="shared" si="215"/>
        <v>2023.5833333332027</v>
      </c>
      <c r="O1725">
        <f t="shared" si="210"/>
        <v>0</v>
      </c>
      <c r="P1725">
        <f t="array" ref="P1725">+SUM($G$2:$G$18*SIN(2*PI()*(N1725)*$B$1/$F$2:$F$18+$H$2:$H$18))</f>
        <v>-0.11097448266052973</v>
      </c>
      <c r="Q1725">
        <f t="shared" si="211"/>
        <v>0</v>
      </c>
      <c r="R1725">
        <f t="shared" si="212"/>
        <v>1.220468066590745E-2</v>
      </c>
      <c r="S1725">
        <f t="array" ref="S1725">+$B$2*SIN(R1725*$B$3+$B$4)+0*R1725+ SUM($J$2:$J$20*SIN(2*PI()*N1725*$I$2:$I$20+$K$2:$K$20))</f>
        <v>0.32869708865673242</v>
      </c>
      <c r="U1725" s="3">
        <f t="shared" si="216"/>
        <v>2023.5833333332027</v>
      </c>
      <c r="V1725" s="3">
        <f t="shared" si="217"/>
        <v>0.50828600000000002</v>
      </c>
      <c r="Z1725" s="1">
        <v>2023.625</v>
      </c>
      <c r="AA1725" s="2">
        <f t="shared" si="213"/>
        <v>1.1222479999999999</v>
      </c>
      <c r="AB1725">
        <v>56.112400000000001</v>
      </c>
      <c r="AE1725">
        <v>2023.5833333332027</v>
      </c>
      <c r="AF1725">
        <v>0.32869708865673242</v>
      </c>
    </row>
    <row r="1726" spans="4:32" x14ac:dyDescent="0.35">
      <c r="D1726">
        <v>0.78401600000000005</v>
      </c>
      <c r="M1726">
        <f t="shared" si="214"/>
        <v>1725</v>
      </c>
      <c r="N1726">
        <f t="shared" si="215"/>
        <v>2023.666666666536</v>
      </c>
      <c r="O1726">
        <f t="shared" si="210"/>
        <v>0</v>
      </c>
      <c r="P1726">
        <f t="array" ref="P1726">+SUM($G$2:$G$18*SIN(2*PI()*(N1726)*$B$1/$F$2:$F$18+$H$2:$H$18))</f>
        <v>0.46681546484888348</v>
      </c>
      <c r="Q1726">
        <f t="shared" si="211"/>
        <v>0</v>
      </c>
      <c r="R1726">
        <f t="shared" si="212"/>
        <v>1.2185908147034625E-2</v>
      </c>
      <c r="S1726">
        <f t="array" ref="S1726">+$B$2*SIN(R1726*$B$3+$B$4)+0*R1726+ SUM($J$2:$J$20*SIN(2*PI()*N1726*$I$2:$I$20+$K$2:$K$20))</f>
        <v>0.32630244402566599</v>
      </c>
      <c r="U1726" s="3">
        <f t="shared" si="216"/>
        <v>2023.666666666536</v>
      </c>
      <c r="V1726" s="3">
        <f t="shared" si="217"/>
        <v>0.61425600000000002</v>
      </c>
      <c r="Z1726" s="1">
        <v>2023.7083</v>
      </c>
      <c r="AA1726" s="2">
        <f t="shared" si="213"/>
        <v>1.02817</v>
      </c>
      <c r="AB1726">
        <v>51.408499999999997</v>
      </c>
      <c r="AE1726">
        <v>2023.666666666536</v>
      </c>
      <c r="AF1726">
        <v>0.32630244402566599</v>
      </c>
    </row>
    <row r="1727" spans="4:32" x14ac:dyDescent="0.35">
      <c r="D1727">
        <v>1.1222479999999999</v>
      </c>
      <c r="M1727">
        <f t="shared" si="214"/>
        <v>1726</v>
      </c>
      <c r="N1727">
        <f t="shared" si="215"/>
        <v>2023.7499999998693</v>
      </c>
      <c r="O1727">
        <f t="shared" si="210"/>
        <v>0</v>
      </c>
      <c r="P1727">
        <f t="array" ref="P1727">+SUM($G$2:$G$18*SIN(2*PI()*(N1727)*$B$1/$F$2:$F$18+$H$2:$H$18))</f>
        <v>2.4939603865258342E-2</v>
      </c>
      <c r="Q1727">
        <f t="shared" si="211"/>
        <v>0</v>
      </c>
      <c r="R1727">
        <f t="shared" si="212"/>
        <v>1.2167164502941441E-2</v>
      </c>
      <c r="S1727">
        <f t="array" ref="S1727">+$B$2*SIN(R1727*$B$3+$B$4)+0*R1727+ SUM($J$2:$J$20*SIN(2*PI()*N1727*$I$2:$I$20+$K$2:$K$20))</f>
        <v>0.32390741865023642</v>
      </c>
      <c r="U1727" s="3">
        <f t="shared" si="216"/>
        <v>2023.7499999998693</v>
      </c>
      <c r="V1727" s="3">
        <f t="shared" si="217"/>
        <v>0.56637999999999999</v>
      </c>
      <c r="Z1727" s="1">
        <v>2023.7917</v>
      </c>
      <c r="AA1727" s="2">
        <f t="shared" si="213"/>
        <v>1.0524200000000001</v>
      </c>
      <c r="AB1727">
        <v>52.621000000000002</v>
      </c>
      <c r="AE1727">
        <v>2023.7499999998693</v>
      </c>
      <c r="AF1727">
        <v>0.32390741865023642</v>
      </c>
    </row>
    <row r="1728" spans="4:32" x14ac:dyDescent="0.35">
      <c r="D1728">
        <v>1.02817</v>
      </c>
      <c r="M1728">
        <f t="shared" si="214"/>
        <v>1727</v>
      </c>
      <c r="N1728">
        <f t="shared" si="215"/>
        <v>2023.8333333332025</v>
      </c>
      <c r="O1728">
        <f t="shared" si="210"/>
        <v>0</v>
      </c>
      <c r="P1728">
        <f t="array" ref="P1728">+SUM($G$2:$G$18*SIN(2*PI()*(N1728)*$B$1/$F$2:$F$18+$H$2:$H$18))</f>
        <v>-0.79225167175559985</v>
      </c>
      <c r="Q1728">
        <f t="shared" si="211"/>
        <v>0</v>
      </c>
      <c r="R1728">
        <f t="shared" si="212"/>
        <v>1.2148449689214419E-2</v>
      </c>
      <c r="S1728">
        <f t="array" ref="S1728">+$B$2*SIN(R1728*$B$3+$B$4)+0*R1728+ SUM($J$2:$J$20*SIN(2*PI()*N1728*$I$2:$I$20+$K$2:$K$20))</f>
        <v>0.32151205534645672</v>
      </c>
      <c r="U1728" s="3">
        <f t="shared" si="216"/>
        <v>2023.8333333332025</v>
      </c>
      <c r="V1728" s="3">
        <f t="shared" si="217"/>
        <v>0.71850399999999992</v>
      </c>
      <c r="Z1728" s="1">
        <v>2023.875</v>
      </c>
      <c r="AA1728" s="2">
        <f t="shared" si="213"/>
        <v>1.2580500000000001</v>
      </c>
      <c r="AB1728">
        <v>62.902500000000003</v>
      </c>
      <c r="AE1728">
        <v>2023.8333333332025</v>
      </c>
      <c r="AF1728">
        <v>0.32151205534645672</v>
      </c>
    </row>
    <row r="1729" spans="4:32" x14ac:dyDescent="0.35">
      <c r="D1729">
        <v>1.0524200000000001</v>
      </c>
      <c r="M1729">
        <f t="shared" si="214"/>
        <v>1728</v>
      </c>
      <c r="N1729">
        <f t="shared" si="215"/>
        <v>2023.9166666665358</v>
      </c>
      <c r="O1729">
        <f t="shared" si="210"/>
        <v>0</v>
      </c>
      <c r="P1729">
        <f t="array" ref="P1729">+SUM($G$2:$G$18*SIN(2*PI()*(N1729)*$B$1/$F$2:$F$18+$H$2:$H$18))</f>
        <v>-0.44074290851768039</v>
      </c>
      <c r="Q1729">
        <f t="shared" si="211"/>
        <v>0</v>
      </c>
      <c r="R1729">
        <f t="shared" si="212"/>
        <v>1.2129763661508391E-2</v>
      </c>
      <c r="S1729">
        <f t="array" ref="S1729">+$B$2*SIN(R1729*$B$3+$B$4)+0*R1729+ SUM($J$2:$J$20*SIN(2*PI()*N1729*$I$2:$I$20+$K$2:$K$20))</f>
        <v>0.31911639664744285</v>
      </c>
      <c r="U1729" s="3">
        <f t="shared" si="216"/>
        <v>2023.9166666665358</v>
      </c>
      <c r="V1729" s="3">
        <f t="shared" si="217"/>
        <v>0.58292999999999995</v>
      </c>
      <c r="Z1729" s="1">
        <v>2023.9583</v>
      </c>
      <c r="AA1729" s="2">
        <f t="shared" si="213"/>
        <v>1.541466</v>
      </c>
      <c r="AB1729">
        <v>77.073300000000003</v>
      </c>
      <c r="AE1729">
        <v>2023.9166666665358</v>
      </c>
      <c r="AF1729">
        <v>0.31911639664744285</v>
      </c>
    </row>
    <row r="1730" spans="4:32" x14ac:dyDescent="0.35">
      <c r="D1730">
        <v>1.2580500000000001</v>
      </c>
      <c r="M1730">
        <f t="shared" si="214"/>
        <v>1729</v>
      </c>
      <c r="N1730">
        <f t="shared" si="215"/>
        <v>2023.999999999869</v>
      </c>
      <c r="O1730">
        <f t="shared" ref="O1730:O1793" si="218">+IF(MOD(M1730,$B$5)=1, $B$6, 0)</f>
        <v>36.637715116165623</v>
      </c>
      <c r="P1730">
        <f t="array" ref="P1730">+SUM($G$2:$G$18*SIN(2*PI()*(N1730)*$B$1/$F$2:$F$18+$H$2:$H$18))</f>
        <v>0.48495111021733339</v>
      </c>
      <c r="Q1730">
        <f t="shared" si="211"/>
        <v>17.767500621410896</v>
      </c>
      <c r="R1730">
        <f t="shared" si="212"/>
        <v>3.9440026309527261E-2</v>
      </c>
      <c r="S1730">
        <f t="array" ref="S1730">+$B$2*SIN(R1730*$B$3+$B$4)+0*R1730+ SUM($J$2:$J$20*SIN(2*PI()*N1730*$I$2:$I$20+$K$2:$K$20))</f>
        <v>-0.48795094616621143</v>
      </c>
      <c r="U1730" s="3">
        <f t="shared" si="216"/>
        <v>2023.999999999869</v>
      </c>
      <c r="V1730" s="3">
        <f t="shared" si="217"/>
        <v>0.45659</v>
      </c>
      <c r="Z1730" s="1">
        <v>2024.0417</v>
      </c>
      <c r="AA1730" s="2">
        <f t="shared" si="213"/>
        <v>1.75526</v>
      </c>
      <c r="AB1730">
        <v>87.763000000000005</v>
      </c>
      <c r="AE1730">
        <v>2023.999999999869</v>
      </c>
      <c r="AF1730">
        <v>-0.48795094616621143</v>
      </c>
    </row>
    <row r="1731" spans="4:32" x14ac:dyDescent="0.35">
      <c r="D1731">
        <v>1.541466</v>
      </c>
      <c r="M1731">
        <f t="shared" si="214"/>
        <v>1730</v>
      </c>
      <c r="N1731">
        <f t="shared" si="215"/>
        <v>2024.0833333332023</v>
      </c>
      <c r="O1731">
        <f t="shared" si="218"/>
        <v>0</v>
      </c>
      <c r="P1731">
        <f t="array" ref="P1731">+SUM($G$2:$G$18*SIN(2*PI()*(N1731)*$B$1/$F$2:$F$18+$H$2:$H$18))</f>
        <v>0.3983498711325264</v>
      </c>
      <c r="Q1731">
        <f t="shared" ref="Q1731:Q1794" si="219">+O1731*P1731</f>
        <v>0</v>
      </c>
      <c r="R1731">
        <f t="shared" ref="R1731:R1794" si="220">+(1-$B$7)*R1730+($B$7)*Q1731</f>
        <v>3.9379361990770557E-2</v>
      </c>
      <c r="S1731">
        <f t="array" ref="S1731">+$B$2*SIN(R1731*$B$3+$B$4)+0*R1731+ SUM($J$2:$J$20*SIN(2*PI()*N1731*$I$2:$I$20+$K$2:$K$20))</f>
        <v>-0.4944631681467046</v>
      </c>
      <c r="U1731" s="3">
        <f t="shared" si="216"/>
        <v>2024.0833333332023</v>
      </c>
      <c r="V1731" s="3">
        <f t="shared" si="217"/>
        <v>0.39024999999999999</v>
      </c>
      <c r="Z1731" s="1">
        <v>2024.125</v>
      </c>
      <c r="AA1731" s="2">
        <f t="shared" ref="AA1731:AA1732" si="221">+AB1731/50</f>
        <v>1.9008340000000001</v>
      </c>
      <c r="AB1731">
        <v>95.041700000000006</v>
      </c>
      <c r="AE1731">
        <v>2024.0833333332023</v>
      </c>
      <c r="AF1731">
        <v>-0.4944631681467046</v>
      </c>
    </row>
    <row r="1732" spans="4:32" x14ac:dyDescent="0.35">
      <c r="D1732">
        <v>1.75526</v>
      </c>
      <c r="M1732">
        <f t="shared" ref="M1732:M1795" si="222">+M1731+1</f>
        <v>1731</v>
      </c>
      <c r="N1732">
        <f t="shared" ref="N1732:N1795" si="223">+N1731+1/12</f>
        <v>2024.1666666665355</v>
      </c>
      <c r="O1732">
        <f t="shared" si="218"/>
        <v>0</v>
      </c>
      <c r="P1732">
        <f t="array" ref="P1732">+SUM($G$2:$G$18*SIN(2*PI()*(N1732)*$B$1/$F$2:$F$18+$H$2:$H$18))</f>
        <v>-0.45103715538431433</v>
      </c>
      <c r="Q1732">
        <f t="shared" si="219"/>
        <v>0</v>
      </c>
      <c r="R1732">
        <f t="shared" si="220"/>
        <v>3.9318790982285544E-2</v>
      </c>
      <c r="S1732">
        <f t="array" ref="S1732">+$B$2*SIN(R1732*$B$3+$B$4)+0*R1732+ SUM($J$2:$J$20*SIN(2*PI()*N1732*$I$2:$I$20+$K$2:$K$20))</f>
        <v>-0.50090106246629229</v>
      </c>
      <c r="U1732" s="3">
        <f t="shared" si="216"/>
        <v>2024.1666666665355</v>
      </c>
      <c r="V1732" s="3">
        <f t="shared" si="217"/>
        <v>0.48698000000000002</v>
      </c>
      <c r="Z1732" s="1">
        <v>2024.2083</v>
      </c>
      <c r="AA1732" s="2">
        <f t="shared" si="221"/>
        <v>1.811806</v>
      </c>
      <c r="AB1732">
        <v>90.590299999999999</v>
      </c>
      <c r="AE1732">
        <v>2024.1666666665355</v>
      </c>
      <c r="AF1732">
        <v>-0.50090106246629229</v>
      </c>
    </row>
    <row r="1733" spans="4:32" x14ac:dyDescent="0.35">
      <c r="D1733">
        <v>1.9008340000000001</v>
      </c>
      <c r="M1733">
        <f t="shared" si="222"/>
        <v>1732</v>
      </c>
      <c r="N1733">
        <f t="shared" si="223"/>
        <v>2024.2499999998688</v>
      </c>
      <c r="O1733">
        <f t="shared" si="218"/>
        <v>0</v>
      </c>
      <c r="P1733">
        <f t="array" ref="P1733">+SUM($G$2:$G$18*SIN(2*PI()*(N1733)*$B$1/$F$2:$F$18+$H$2:$H$18))</f>
        <v>-0.80825027007534112</v>
      </c>
      <c r="Q1733">
        <f t="shared" si="219"/>
        <v>0</v>
      </c>
      <c r="R1733">
        <f t="shared" si="220"/>
        <v>3.9258313140547868E-2</v>
      </c>
      <c r="S1733">
        <f t="array" ref="S1733">+$B$2*SIN(R1733*$B$3+$B$4)+0*R1733+ SUM($J$2:$J$20*SIN(2*PI()*N1733*$I$2:$I$20+$K$2:$K$20))</f>
        <v>-0.50726410637255548</v>
      </c>
      <c r="U1733" s="3">
        <f t="shared" si="216"/>
        <v>2024.2499999998688</v>
      </c>
      <c r="V1733" s="3">
        <f t="shared" si="217"/>
        <v>0.34371400000000002</v>
      </c>
      <c r="AE1733">
        <v>2024.2499999998688</v>
      </c>
      <c r="AF1733">
        <v>-0.50726410637255548</v>
      </c>
    </row>
    <row r="1734" spans="4:32" x14ac:dyDescent="0.35">
      <c r="M1734">
        <f t="shared" si="222"/>
        <v>1733</v>
      </c>
      <c r="N1734">
        <f t="shared" si="223"/>
        <v>2024.3333333332021</v>
      </c>
      <c r="O1734">
        <f t="shared" si="218"/>
        <v>0</v>
      </c>
      <c r="P1734">
        <f t="array" ref="P1734">+SUM($G$2:$G$18*SIN(2*PI()*(N1734)*$B$1/$F$2:$F$18+$H$2:$H$18))</f>
        <v>-0.27914483186899075</v>
      </c>
      <c r="Q1734">
        <f t="shared" si="219"/>
        <v>0</v>
      </c>
      <c r="R1734">
        <f t="shared" si="220"/>
        <v>3.9197928322253939E-2</v>
      </c>
      <c r="S1734">
        <f t="array" ref="S1734">+$B$2*SIN(R1734*$B$3+$B$4)+0*R1734+ SUM($J$2:$J$20*SIN(2*PI()*N1734*$I$2:$I$20+$K$2:$K$20))</f>
        <v>-0.5135517921168955</v>
      </c>
      <c r="U1734" s="3">
        <f t="shared" si="216"/>
        <v>2024.3333333332021</v>
      </c>
      <c r="V1734" s="3">
        <f t="shared" si="217"/>
        <v>8.5061999999999999E-2</v>
      </c>
      <c r="AE1734">
        <v>2024.3333333332021</v>
      </c>
      <c r="AF1734">
        <v>-0.5135517921168955</v>
      </c>
    </row>
    <row r="1735" spans="4:32" x14ac:dyDescent="0.35">
      <c r="M1735">
        <f t="shared" si="222"/>
        <v>1734</v>
      </c>
      <c r="N1735">
        <f t="shared" si="223"/>
        <v>2024.4166666665353</v>
      </c>
      <c r="O1735">
        <f t="shared" si="218"/>
        <v>0</v>
      </c>
      <c r="P1735">
        <f t="array" ref="P1735">+SUM($G$2:$G$18*SIN(2*PI()*(N1735)*$B$1/$F$2:$F$18+$H$2:$H$18))</f>
        <v>0.21258300431443694</v>
      </c>
      <c r="Q1735">
        <f t="shared" si="219"/>
        <v>0</v>
      </c>
      <c r="R1735">
        <f t="shared" si="220"/>
        <v>3.9137636384320593E-2</v>
      </c>
      <c r="S1735">
        <f t="array" ref="S1735">+$B$2*SIN(R1735*$B$3+$B$4)+0*R1735+ SUM($J$2:$J$20*SIN(2*PI()*N1735*$I$2:$I$20+$K$2:$K$20))</f>
        <v>-0.51976362688587618</v>
      </c>
      <c r="U1735" s="3">
        <f t="shared" si="216"/>
        <v>2024.4166666665353</v>
      </c>
      <c r="V1735" s="3">
        <f t="shared" si="217"/>
        <v>4.0250000000000001E-2</v>
      </c>
      <c r="AE1735">
        <v>2024.4166666665353</v>
      </c>
      <c r="AF1735">
        <v>-0.51976362688587618</v>
      </c>
    </row>
    <row r="1736" spans="4:32" x14ac:dyDescent="0.35">
      <c r="M1736">
        <f t="shared" si="222"/>
        <v>1735</v>
      </c>
      <c r="N1736">
        <f t="shared" si="223"/>
        <v>2024.4999999998686</v>
      </c>
      <c r="O1736">
        <f t="shared" si="218"/>
        <v>0</v>
      </c>
      <c r="P1736">
        <f t="array" ref="P1736">+SUM($G$2:$G$18*SIN(2*PI()*(N1736)*$B$1/$F$2:$F$18+$H$2:$H$18))</f>
        <v>-0.31934618142347049</v>
      </c>
      <c r="Q1736">
        <f t="shared" si="219"/>
        <v>0</v>
      </c>
      <c r="R1736">
        <f t="shared" si="220"/>
        <v>3.9077437183884747E-2</v>
      </c>
      <c r="S1736">
        <f t="array" ref="S1736">+$B$2*SIN(R1736*$B$3+$B$4)+0*R1736+ SUM($J$2:$J$20*SIN(2*PI()*N1736*$I$2:$I$20+$K$2:$K$20))</f>
        <v>-0.5258991327305752</v>
      </c>
      <c r="U1736" s="3">
        <f t="shared" si="216"/>
        <v>2024.4999999998686</v>
      </c>
      <c r="V1736" s="3">
        <f t="shared" si="217"/>
        <v>-1.3788E-2</v>
      </c>
      <c r="AE1736">
        <v>2024.4999999998686</v>
      </c>
      <c r="AF1736">
        <v>-0.5258991327305752</v>
      </c>
    </row>
    <row r="1737" spans="4:32" x14ac:dyDescent="0.35">
      <c r="M1737">
        <f t="shared" si="222"/>
        <v>1736</v>
      </c>
      <c r="N1737">
        <f t="shared" si="223"/>
        <v>2024.5833333332018</v>
      </c>
      <c r="O1737">
        <f t="shared" si="218"/>
        <v>0</v>
      </c>
      <c r="P1737">
        <f t="array" ref="P1737">+SUM($G$2:$G$18*SIN(2*PI()*(N1737)*$B$1/$F$2:$F$18+$H$2:$H$18))</f>
        <v>-0.99277086870725639</v>
      </c>
      <c r="Q1737">
        <f t="shared" si="219"/>
        <v>0</v>
      </c>
      <c r="R1737">
        <f t="shared" si="220"/>
        <v>3.9017330578303061E-2</v>
      </c>
      <c r="S1737">
        <f t="array" ref="S1737">+$B$2*SIN(R1737*$B$3+$B$4)+0*R1737+ SUM($J$2:$J$20*SIN(2*PI()*N1737*$I$2:$I$20+$K$2:$K$20))</f>
        <v>-0.53195784649401801</v>
      </c>
      <c r="U1737" s="3">
        <f t="shared" si="216"/>
        <v>2024.5833333332018</v>
      </c>
      <c r="V1737" s="3">
        <f t="shared" si="217"/>
        <v>-0.14013600000000001</v>
      </c>
      <c r="AE1737">
        <v>2024.5833333332018</v>
      </c>
      <c r="AF1737">
        <v>-0.53195784649401801</v>
      </c>
    </row>
    <row r="1738" spans="4:32" x14ac:dyDescent="0.35">
      <c r="M1738">
        <f t="shared" si="222"/>
        <v>1737</v>
      </c>
      <c r="N1738">
        <f t="shared" si="223"/>
        <v>2024.6666666665351</v>
      </c>
      <c r="O1738">
        <f t="shared" si="218"/>
        <v>0</v>
      </c>
      <c r="P1738">
        <f t="array" ref="P1738">+SUM($G$2:$G$18*SIN(2*PI()*(N1738)*$B$1/$F$2:$F$18+$H$2:$H$18))</f>
        <v>-0.50946485128087204</v>
      </c>
      <c r="Q1738">
        <f t="shared" si="219"/>
        <v>0</v>
      </c>
      <c r="R1738">
        <f t="shared" si="220"/>
        <v>3.89573164251516E-2</v>
      </c>
      <c r="S1738">
        <f t="array" ref="S1738">+$B$2*SIN(R1738*$B$3+$B$4)+0*R1738+ SUM($J$2:$J$20*SIN(2*PI()*N1738*$I$2:$I$20+$K$2:$K$20))</f>
        <v>-0.53793931973670894</v>
      </c>
      <c r="U1738" s="3">
        <f t="shared" si="216"/>
        <v>2024.6666666665351</v>
      </c>
      <c r="V1738" s="3">
        <f t="shared" si="217"/>
        <v>-0.17418199999999998</v>
      </c>
      <c r="AE1738">
        <v>2024.6666666665351</v>
      </c>
      <c r="AF1738">
        <v>-0.53793931973670894</v>
      </c>
    </row>
    <row r="1739" spans="4:32" x14ac:dyDescent="0.35">
      <c r="M1739">
        <f t="shared" si="222"/>
        <v>1738</v>
      </c>
      <c r="N1739">
        <f t="shared" si="223"/>
        <v>2024.7499999998684</v>
      </c>
      <c r="O1739">
        <f t="shared" si="218"/>
        <v>0</v>
      </c>
      <c r="P1739">
        <f t="array" ref="P1739">+SUM($G$2:$G$18*SIN(2*PI()*(N1739)*$B$1/$F$2:$F$18+$H$2:$H$18))</f>
        <v>0.31335435378429688</v>
      </c>
      <c r="Q1739">
        <f t="shared" si="219"/>
        <v>0</v>
      </c>
      <c r="R1739">
        <f t="shared" si="220"/>
        <v>3.8897394582225492E-2</v>
      </c>
      <c r="S1739">
        <f t="array" ref="S1739">+$B$2*SIN(R1739*$B$3+$B$4)+0*R1739+ SUM($J$2:$J$20*SIN(2*PI()*N1739*$I$2:$I$20+$K$2:$K$20))</f>
        <v>-0.5438431186603282</v>
      </c>
      <c r="U1739" s="3">
        <f t="shared" si="216"/>
        <v>2024.7499999998684</v>
      </c>
      <c r="V1739" s="3">
        <f t="shared" si="217"/>
        <v>-0.14207</v>
      </c>
      <c r="AE1739">
        <v>2024.7499999998684</v>
      </c>
      <c r="AF1739">
        <v>-0.5438431186603282</v>
      </c>
    </row>
    <row r="1740" spans="4:32" x14ac:dyDescent="0.35">
      <c r="M1740">
        <f t="shared" si="222"/>
        <v>1739</v>
      </c>
      <c r="N1740">
        <f t="shared" si="223"/>
        <v>2024.8333333332016</v>
      </c>
      <c r="O1740">
        <f t="shared" si="218"/>
        <v>0</v>
      </c>
      <c r="P1740">
        <f t="array" ref="P1740">+SUM($G$2:$G$18*SIN(2*PI()*(N1740)*$B$1/$F$2:$F$18+$H$2:$H$18))</f>
        <v>0.22291572634545512</v>
      </c>
      <c r="Q1740">
        <f t="shared" si="219"/>
        <v>0</v>
      </c>
      <c r="R1740">
        <f t="shared" si="220"/>
        <v>3.8837564907538605E-2</v>
      </c>
      <c r="S1740">
        <f t="array" ref="S1740">+$B$2*SIN(R1740*$B$3+$B$4)+0*R1740+ SUM($J$2:$J$20*SIN(2*PI()*N1740*$I$2:$I$20+$K$2:$K$20))</f>
        <v>-0.54966882402961459</v>
      </c>
      <c r="U1740" s="3">
        <f t="shared" si="216"/>
        <v>2024.8333333332016</v>
      </c>
      <c r="V1740" s="3">
        <f t="shared" si="217"/>
        <v>-0.27149800000000002</v>
      </c>
      <c r="AE1740">
        <v>2024.8333333332016</v>
      </c>
      <c r="AF1740">
        <v>-0.54966882402961459</v>
      </c>
    </row>
    <row r="1741" spans="4:32" x14ac:dyDescent="0.35">
      <c r="M1741">
        <f t="shared" si="222"/>
        <v>1740</v>
      </c>
      <c r="N1741">
        <f t="shared" si="223"/>
        <v>2024.9166666665349</v>
      </c>
      <c r="O1741">
        <f t="shared" si="218"/>
        <v>0</v>
      </c>
      <c r="P1741">
        <f t="array" ref="P1741">+SUM($G$2:$G$18*SIN(2*PI()*(N1741)*$B$1/$F$2:$F$18+$H$2:$H$18))</f>
        <v>-0.44655426851320768</v>
      </c>
      <c r="Q1741">
        <f t="shared" si="219"/>
        <v>0</v>
      </c>
      <c r="R1741">
        <f t="shared" si="220"/>
        <v>3.8777827259323196E-2</v>
      </c>
      <c r="S1741">
        <f t="array" ref="S1741">+$B$2*SIN(R1741*$B$3+$B$4)+0*R1741+ SUM($J$2:$J$20*SIN(2*PI()*N1741*$I$2:$I$20+$K$2:$K$20))</f>
        <v>-0.55541603109250648</v>
      </c>
      <c r="U1741" s="3">
        <f t="shared" si="216"/>
        <v>2024.9166666665349</v>
      </c>
      <c r="V1741" s="3">
        <f t="shared" si="217"/>
        <v>-0.407084</v>
      </c>
      <c r="AE1741">
        <v>2024.9166666665349</v>
      </c>
      <c r="AF1741">
        <v>-0.55541603109250648</v>
      </c>
    </row>
    <row r="1742" spans="4:32" x14ac:dyDescent="0.35">
      <c r="M1742">
        <f t="shared" si="222"/>
        <v>1741</v>
      </c>
      <c r="N1742">
        <f t="shared" si="223"/>
        <v>2024.9999999998681</v>
      </c>
      <c r="O1742">
        <f t="shared" si="218"/>
        <v>36.637715116165623</v>
      </c>
      <c r="P1742">
        <f t="array" ref="P1742">+SUM($G$2:$G$18*SIN(2*PI()*(N1742)*$B$1/$F$2:$F$18+$H$2:$H$18))</f>
        <v>-0.74474834234816112</v>
      </c>
      <c r="Q1742">
        <f t="shared" si="219"/>
        <v>-27.285877600188513</v>
      </c>
      <c r="R1742">
        <f t="shared" si="220"/>
        <v>-3.2513436585297761E-3</v>
      </c>
      <c r="S1742">
        <f t="array" ref="S1742">+$B$2*SIN(R1742*$B$3+$B$4)+0*R1742+ SUM($J$2:$J$20*SIN(2*PI()*N1742*$I$2:$I$20+$K$2:$K$20))</f>
        <v>-0.47592986978363455</v>
      </c>
      <c r="U1742" s="3">
        <f t="shared" si="216"/>
        <v>2024.9999999998681</v>
      </c>
      <c r="V1742" s="3">
        <f t="shared" si="217"/>
        <v>-0.144208</v>
      </c>
      <c r="AE1742">
        <v>2024.9999999998681</v>
      </c>
      <c r="AF1742">
        <v>-0.47592986978363455</v>
      </c>
    </row>
    <row r="1743" spans="4:32" x14ac:dyDescent="0.35">
      <c r="M1743">
        <f t="shared" si="222"/>
        <v>1742</v>
      </c>
      <c r="N1743">
        <f t="shared" si="223"/>
        <v>2025.0833333332014</v>
      </c>
      <c r="O1743">
        <f t="shared" si="218"/>
        <v>0</v>
      </c>
      <c r="P1743">
        <f t="array" ref="P1743">+SUM($G$2:$G$18*SIN(2*PI()*(N1743)*$B$1/$F$2:$F$18+$H$2:$H$18))</f>
        <v>-0.31552470507399594</v>
      </c>
      <c r="Q1743">
        <f t="shared" si="219"/>
        <v>0</v>
      </c>
      <c r="R1743">
        <f t="shared" si="220"/>
        <v>-3.2463426337702925E-3</v>
      </c>
      <c r="S1743">
        <f t="array" ref="S1743">+$B$2*SIN(R1743*$B$3+$B$4)+0*R1743+ SUM($J$2:$J$20*SIN(2*PI()*N1743*$I$2:$I$20+$K$2:$K$20))</f>
        <v>-0.47647857662615423</v>
      </c>
      <c r="U1743" s="3">
        <f t="shared" ref="U1743:U1749" si="224">+N1743</f>
        <v>2025.0833333332014</v>
      </c>
      <c r="V1743" s="3">
        <f t="shared" ref="V1743:V1749" si="225">+D1701</f>
        <v>-1.8253999999999999E-2</v>
      </c>
      <c r="AE1743">
        <v>2025.0833333332014</v>
      </c>
      <c r="AF1743">
        <v>-0.47647857662615423</v>
      </c>
    </row>
    <row r="1744" spans="4:32" x14ac:dyDescent="0.35">
      <c r="M1744">
        <f t="shared" si="222"/>
        <v>1743</v>
      </c>
      <c r="N1744">
        <f t="shared" si="223"/>
        <v>2025.1666666665346</v>
      </c>
      <c r="O1744">
        <f t="shared" si="218"/>
        <v>0</v>
      </c>
      <c r="P1744">
        <f t="array" ref="P1744">+SUM($G$2:$G$18*SIN(2*PI()*(N1744)*$B$1/$F$2:$F$18+$H$2:$H$18))</f>
        <v>8.21426352013543E-2</v>
      </c>
      <c r="Q1744">
        <f t="shared" si="219"/>
        <v>0</v>
      </c>
      <c r="R1744">
        <f t="shared" si="220"/>
        <v>-3.2413493012916849E-3</v>
      </c>
      <c r="S1744">
        <f t="array" ref="S1744">+$B$2*SIN(R1744*$B$3+$B$4)+0*R1744+ SUM($J$2:$J$20*SIN(2*PI()*N1744*$I$2:$I$20+$K$2:$K$20))</f>
        <v>-0.47702601831448876</v>
      </c>
      <c r="U1744" s="3">
        <f t="shared" si="224"/>
        <v>2025.1666666665346</v>
      </c>
      <c r="V1744" s="3">
        <f t="shared" si="225"/>
        <v>0.26461600000000002</v>
      </c>
      <c r="AE1744">
        <v>2025.1666666665346</v>
      </c>
      <c r="AF1744">
        <v>-0.47702601831448876</v>
      </c>
    </row>
    <row r="1745" spans="13:32" x14ac:dyDescent="0.35">
      <c r="M1745">
        <f t="shared" si="222"/>
        <v>1744</v>
      </c>
      <c r="N1745">
        <f t="shared" si="223"/>
        <v>2025.2499999998679</v>
      </c>
      <c r="O1745">
        <f t="shared" si="218"/>
        <v>0</v>
      </c>
      <c r="P1745">
        <f t="array" ref="P1745">+SUM($G$2:$G$18*SIN(2*PI()*(N1745)*$B$1/$F$2:$F$18+$H$2:$H$18))</f>
        <v>-0.36131147593126312</v>
      </c>
      <c r="Q1745">
        <f t="shared" si="219"/>
        <v>0</v>
      </c>
      <c r="R1745">
        <f t="shared" si="220"/>
        <v>-3.2363636492621409E-3</v>
      </c>
      <c r="S1745">
        <f t="array" ref="S1745">+$B$2*SIN(R1745*$B$3+$B$4)+0*R1745+ SUM($J$2:$J$20*SIN(2*PI()*N1745*$I$2:$I$20+$K$2:$K$20))</f>
        <v>-0.47757219760684688</v>
      </c>
      <c r="U1745" s="3">
        <f t="shared" si="224"/>
        <v>2025.2499999998679</v>
      </c>
      <c r="V1745" s="3">
        <f t="shared" si="225"/>
        <v>0.51672200000000001</v>
      </c>
      <c r="AE1745">
        <v>2025.2499999998679</v>
      </c>
      <c r="AF1745">
        <v>-0.47757219760684688</v>
      </c>
    </row>
    <row r="1746" spans="13:32" x14ac:dyDescent="0.35">
      <c r="M1746">
        <f t="shared" si="222"/>
        <v>1745</v>
      </c>
      <c r="N1746">
        <f t="shared" si="223"/>
        <v>2025.3333333332012</v>
      </c>
      <c r="O1746">
        <f t="shared" si="218"/>
        <v>0</v>
      </c>
      <c r="P1746">
        <f t="array" ref="P1746">+SUM($G$2:$G$18*SIN(2*PI()*(N1746)*$B$1/$F$2:$F$18+$H$2:$H$18))</f>
        <v>-0.80905410763311814</v>
      </c>
      <c r="Q1746">
        <f t="shared" si="219"/>
        <v>0</v>
      </c>
      <c r="R1746">
        <f t="shared" si="220"/>
        <v>-3.2313856658680476E-3</v>
      </c>
      <c r="S1746">
        <f t="array" ref="S1746">+$B$2*SIN(R1746*$B$3+$B$4)+0*R1746+ SUM($J$2:$J$20*SIN(2*PI()*N1746*$I$2:$I$20+$K$2:$K$20))</f>
        <v>-0.47811711725729072</v>
      </c>
      <c r="U1746" s="3">
        <f t="shared" si="224"/>
        <v>2025.3333333332012</v>
      </c>
      <c r="V1746" s="3">
        <f t="shared" si="225"/>
        <v>0.47497799999999996</v>
      </c>
      <c r="AE1746">
        <v>2025.3333333332012</v>
      </c>
      <c r="AF1746">
        <v>-0.47811711725729072</v>
      </c>
    </row>
    <row r="1747" spans="13:32" x14ac:dyDescent="0.35">
      <c r="M1747">
        <f t="shared" si="222"/>
        <v>1746</v>
      </c>
      <c r="N1747">
        <f t="shared" si="223"/>
        <v>2025.4166666665344</v>
      </c>
      <c r="O1747">
        <f t="shared" si="218"/>
        <v>0</v>
      </c>
      <c r="P1747">
        <f t="array" ref="P1747">+SUM($G$2:$G$18*SIN(2*PI()*(N1747)*$B$1/$F$2:$F$18+$H$2:$H$18))</f>
        <v>-0.32655984817642925</v>
      </c>
      <c r="Q1747">
        <f t="shared" si="219"/>
        <v>0</v>
      </c>
      <c r="R1747">
        <f t="shared" si="220"/>
        <v>-3.2264153393139626E-3</v>
      </c>
      <c r="S1747">
        <f t="array" ref="S1747">+$B$2*SIN(R1747*$B$3+$B$4)+0*R1747+ SUM($J$2:$J$20*SIN(2*PI()*N1747*$I$2:$I$20+$K$2:$K$20))</f>
        <v>-0.47866078001572654</v>
      </c>
      <c r="U1747" s="3">
        <f t="shared" si="224"/>
        <v>2025.4166666665344</v>
      </c>
      <c r="V1747" s="3">
        <f t="shared" si="225"/>
        <v>0.48553800000000003</v>
      </c>
      <c r="AE1747">
        <v>2025.4166666665344</v>
      </c>
      <c r="AF1747">
        <v>-0.47866078001572654</v>
      </c>
    </row>
    <row r="1748" spans="13:32" x14ac:dyDescent="0.35">
      <c r="M1748">
        <f t="shared" si="222"/>
        <v>1747</v>
      </c>
      <c r="N1748">
        <f t="shared" si="223"/>
        <v>2025.4999999998677</v>
      </c>
      <c r="O1748">
        <f t="shared" si="218"/>
        <v>0</v>
      </c>
      <c r="P1748">
        <f t="array" ref="P1748">+SUM($G$2:$G$18*SIN(2*PI()*(N1748)*$B$1/$F$2:$F$18+$H$2:$H$18))</f>
        <v>0.33962257767313164</v>
      </c>
      <c r="Q1748">
        <f t="shared" si="219"/>
        <v>0</v>
      </c>
      <c r="R1748">
        <f t="shared" si="220"/>
        <v>-3.2214526578225873E-3</v>
      </c>
      <c r="S1748">
        <f t="array" ref="S1748">+$B$2*SIN(R1748*$B$3+$B$4)+0*R1748+ SUM($J$2:$J$20*SIN(2*PI()*N1748*$I$2:$I$20+$K$2:$K$20))</f>
        <v>-0.47920318862789801</v>
      </c>
      <c r="U1748" s="3">
        <f t="shared" si="224"/>
        <v>2025.4999999998677</v>
      </c>
      <c r="V1748" s="3">
        <f t="shared" si="225"/>
        <v>0.32071800000000006</v>
      </c>
      <c r="AE1748">
        <v>2025.4999999998677</v>
      </c>
      <c r="AF1748">
        <v>-0.47920318862789801</v>
      </c>
    </row>
    <row r="1749" spans="13:32" x14ac:dyDescent="0.35">
      <c r="M1749">
        <f t="shared" si="222"/>
        <v>1748</v>
      </c>
      <c r="N1749">
        <f t="shared" si="223"/>
        <v>2025.5833333332009</v>
      </c>
      <c r="O1749">
        <f t="shared" si="218"/>
        <v>0</v>
      </c>
      <c r="P1749">
        <f t="array" ref="P1749">+SUM($G$2:$G$18*SIN(2*PI()*(N1749)*$B$1/$F$2:$F$18+$H$2:$H$18))</f>
        <v>0.36888197794953531</v>
      </c>
      <c r="Q1749">
        <f t="shared" si="219"/>
        <v>0</v>
      </c>
      <c r="R1749">
        <f t="shared" si="220"/>
        <v>-3.2164976096347377E-3</v>
      </c>
      <c r="S1749">
        <f t="array" ref="S1749">+$B$2*SIN(R1749*$B$3+$B$4)+0*R1749+ SUM($J$2:$J$20*SIN(2*PI()*N1749*$I$2:$I$20+$K$2:$K$20))</f>
        <v>-0.47974434583537973</v>
      </c>
      <c r="U1749" s="3">
        <f t="shared" si="224"/>
        <v>2025.5833333332009</v>
      </c>
      <c r="V1749" s="3">
        <f t="shared" si="225"/>
        <v>0.49897199999999997</v>
      </c>
      <c r="AE1749">
        <v>2025.5833333332009</v>
      </c>
      <c r="AF1749">
        <v>-0.47974434583537973</v>
      </c>
    </row>
    <row r="1750" spans="13:32" x14ac:dyDescent="0.35">
      <c r="M1750">
        <f t="shared" si="222"/>
        <v>1749</v>
      </c>
      <c r="N1750">
        <f t="shared" si="223"/>
        <v>2025.6666666665342</v>
      </c>
      <c r="O1750">
        <f t="shared" si="218"/>
        <v>0</v>
      </c>
      <c r="P1750">
        <f t="array" ref="P1750">+SUM($G$2:$G$18*SIN(2*PI()*(N1750)*$B$1/$F$2:$F$18+$H$2:$H$18))</f>
        <v>-7.9693610354291206E-2</v>
      </c>
      <c r="Q1750">
        <f t="shared" si="219"/>
        <v>0</v>
      </c>
      <c r="R1750">
        <f t="shared" si="220"/>
        <v>-3.211550183009317E-3</v>
      </c>
      <c r="S1750">
        <f t="array" ref="S1750">+$B$2*SIN(R1750*$B$3+$B$4)+0*R1750+ SUM($J$2:$J$20*SIN(2*PI()*N1750*$I$2:$I$20+$K$2:$K$20))</f>
        <v>-0.48028425437556799</v>
      </c>
      <c r="U1750" s="3">
        <f t="shared" ref="U1750:U1797" si="226">+N1750</f>
        <v>2025.6666666665342</v>
      </c>
      <c r="V1750" s="3">
        <f t="shared" ref="V1750:V1797" si="227">+D1708</f>
        <v>0.67414399999999997</v>
      </c>
      <c r="AE1750">
        <v>2025.6666666665342</v>
      </c>
      <c r="AF1750">
        <v>-0.48028425437556799</v>
      </c>
    </row>
    <row r="1751" spans="13:32" x14ac:dyDescent="0.35">
      <c r="M1751">
        <f t="shared" si="222"/>
        <v>1750</v>
      </c>
      <c r="N1751">
        <f t="shared" si="223"/>
        <v>2025.7499999998674</v>
      </c>
      <c r="O1751">
        <f t="shared" si="218"/>
        <v>0</v>
      </c>
      <c r="P1751">
        <f t="array" ref="P1751">+SUM($G$2:$G$18*SIN(2*PI()*(N1751)*$B$1/$F$2:$F$18+$H$2:$H$18))</f>
        <v>-0.43640895952557845</v>
      </c>
      <c r="Q1751">
        <f t="shared" si="219"/>
        <v>0</v>
      </c>
      <c r="R1751">
        <f t="shared" si="220"/>
        <v>-3.2066103662232882E-3</v>
      </c>
      <c r="S1751">
        <f t="array" ref="S1751">+$B$2*SIN(R1751*$B$3+$B$4)+0*R1751+ SUM($J$2:$J$20*SIN(2*PI()*N1751*$I$2:$I$20+$K$2:$K$20))</f>
        <v>-0.48082291698167479</v>
      </c>
      <c r="U1751" s="3">
        <f t="shared" si="226"/>
        <v>2025.7499999998674</v>
      </c>
      <c r="V1751" s="3">
        <f t="shared" si="227"/>
        <v>0.79393400000000003</v>
      </c>
      <c r="AE1751">
        <v>2025.7499999998674</v>
      </c>
      <c r="AF1751">
        <v>-0.48082291698167479</v>
      </c>
    </row>
    <row r="1752" spans="13:32" x14ac:dyDescent="0.35">
      <c r="M1752">
        <f t="shared" si="222"/>
        <v>1751</v>
      </c>
      <c r="N1752">
        <f t="shared" si="223"/>
        <v>2025.8333333332007</v>
      </c>
      <c r="O1752">
        <f t="shared" si="218"/>
        <v>0</v>
      </c>
      <c r="P1752">
        <f t="array" ref="P1752">+SUM($G$2:$G$18*SIN(2*PI()*(N1752)*$B$1/$F$2:$F$18+$H$2:$H$18))</f>
        <v>-0.21430126266906763</v>
      </c>
      <c r="Q1752">
        <f t="shared" si="219"/>
        <v>0</v>
      </c>
      <c r="R1752">
        <f t="shared" si="220"/>
        <v>-3.2016781475716458E-3</v>
      </c>
      <c r="S1752">
        <f t="array" ref="S1752">+$B$2*SIN(R1752*$B$3+$B$4)+0*R1752+ SUM($J$2:$J$20*SIN(2*PI()*N1752*$I$2:$I$20+$K$2:$K$20))</f>
        <v>-0.48136033638272013</v>
      </c>
      <c r="U1752" s="3">
        <f t="shared" si="226"/>
        <v>2025.8333333332007</v>
      </c>
      <c r="V1752" s="3">
        <f t="shared" si="227"/>
        <v>0.57833800000000002</v>
      </c>
      <c r="AE1752">
        <v>2025.8333333332007</v>
      </c>
      <c r="AF1752">
        <v>-0.48136033638272013</v>
      </c>
    </row>
    <row r="1753" spans="13:32" x14ac:dyDescent="0.35">
      <c r="M1753">
        <f t="shared" si="222"/>
        <v>1752</v>
      </c>
      <c r="N1753">
        <f t="shared" si="223"/>
        <v>2025.916666666534</v>
      </c>
      <c r="O1753">
        <f t="shared" si="218"/>
        <v>0</v>
      </c>
      <c r="P1753">
        <f t="array" ref="P1753">+SUM($G$2:$G$18*SIN(2*PI()*(N1753)*$B$1/$F$2:$F$18+$H$2:$H$18))</f>
        <v>0.11985165551111146</v>
      </c>
      <c r="Q1753">
        <f t="shared" si="219"/>
        <v>0</v>
      </c>
      <c r="R1753">
        <f t="shared" si="220"/>
        <v>-3.1967535153673886E-3</v>
      </c>
      <c r="S1753">
        <f t="array" ref="S1753">+$B$2*SIN(R1753*$B$3+$B$4)+0*R1753+ SUM($J$2:$J$20*SIN(2*PI()*N1753*$I$2:$I$20+$K$2:$K$20))</f>
        <v>-0.48189651530352567</v>
      </c>
      <c r="U1753" s="3">
        <f t="shared" si="226"/>
        <v>2025.916666666534</v>
      </c>
      <c r="V1753" s="3">
        <f t="shared" si="227"/>
        <v>0.60889000000000004</v>
      </c>
      <c r="AE1753">
        <v>2025.916666666534</v>
      </c>
      <c r="AF1753">
        <v>-0.48189651530352567</v>
      </c>
    </row>
    <row r="1754" spans="13:32" x14ac:dyDescent="0.35">
      <c r="M1754">
        <f t="shared" si="222"/>
        <v>1753</v>
      </c>
      <c r="N1754">
        <f t="shared" si="223"/>
        <v>2025.9999999998672</v>
      </c>
      <c r="O1754">
        <f t="shared" si="218"/>
        <v>36.637715116165623</v>
      </c>
      <c r="P1754">
        <f t="array" ref="P1754">+SUM($G$2:$G$18*SIN(2*PI()*(N1754)*$B$1/$F$2:$F$18+$H$2:$H$18))</f>
        <v>-0.12216008691222396</v>
      </c>
      <c r="Q1754">
        <f t="shared" si="219"/>
        <v>-4.4756664628560943</v>
      </c>
      <c r="R1754">
        <f t="shared" si="220"/>
        <v>-1.0076042234594202E-2</v>
      </c>
      <c r="S1754">
        <f t="array" ref="S1754">+$B$2*SIN(R1754*$B$3+$B$4)+0*R1754+ SUM($J$2:$J$20*SIN(2*PI()*N1754*$I$2:$I$20+$K$2:$K$20))</f>
        <v>0.42503101100789958</v>
      </c>
      <c r="U1754" s="3">
        <f t="shared" si="226"/>
        <v>2025.9999999998672</v>
      </c>
      <c r="V1754" s="3">
        <f t="shared" si="227"/>
        <v>0.66098600000000007</v>
      </c>
      <c r="AE1754">
        <v>2025.9999999998672</v>
      </c>
      <c r="AF1754">
        <v>0.42503101100789958</v>
      </c>
    </row>
    <row r="1755" spans="13:32" x14ac:dyDescent="0.35">
      <c r="M1755">
        <f t="shared" si="222"/>
        <v>1754</v>
      </c>
      <c r="N1755">
        <f t="shared" si="223"/>
        <v>2026.0833333332005</v>
      </c>
      <c r="O1755">
        <f t="shared" si="218"/>
        <v>0</v>
      </c>
      <c r="P1755">
        <f t="array" ref="P1755">+SUM($G$2:$G$18*SIN(2*PI()*(N1755)*$B$1/$F$2:$F$18+$H$2:$H$18))</f>
        <v>-0.34393173372299973</v>
      </c>
      <c r="Q1755">
        <f t="shared" si="219"/>
        <v>0</v>
      </c>
      <c r="R1755">
        <f t="shared" si="220"/>
        <v>-1.0060543861618275E-2</v>
      </c>
      <c r="S1755">
        <f t="array" ref="S1755">+$B$2*SIN(R1755*$B$3+$B$4)+0*R1755+ SUM($J$2:$J$20*SIN(2*PI()*N1755*$I$2:$I$20+$K$2:$K$20))</f>
        <v>0.42321702548696333</v>
      </c>
      <c r="U1755" s="3">
        <f t="shared" si="226"/>
        <v>2026.0833333332005</v>
      </c>
      <c r="V1755" s="3">
        <f t="shared" si="227"/>
        <v>0.26692399999999999</v>
      </c>
      <c r="AE1755">
        <v>2026.0833333332005</v>
      </c>
      <c r="AF1755">
        <v>0.42321702548696333</v>
      </c>
    </row>
    <row r="1756" spans="13:32" x14ac:dyDescent="0.35">
      <c r="M1756">
        <f t="shared" si="222"/>
        <v>1755</v>
      </c>
      <c r="N1756">
        <f t="shared" si="223"/>
        <v>2026.1666666665337</v>
      </c>
      <c r="O1756">
        <f t="shared" si="218"/>
        <v>0</v>
      </c>
      <c r="P1756">
        <f t="array" ref="P1756">+SUM($G$2:$G$18*SIN(2*PI()*(N1756)*$B$1/$F$2:$F$18+$H$2:$H$18))</f>
        <v>3.2072777158947269E-2</v>
      </c>
      <c r="Q1756">
        <f t="shared" si="219"/>
        <v>0</v>
      </c>
      <c r="R1756">
        <f t="shared" si="220"/>
        <v>-1.0045069327324175E-2</v>
      </c>
      <c r="S1756">
        <f t="array" ref="S1756">+$B$2*SIN(R1756*$B$3+$B$4)+0*R1756+ SUM($J$2:$J$20*SIN(2*PI()*N1756*$I$2:$I$20+$K$2:$K$20))</f>
        <v>0.4214022373737531</v>
      </c>
      <c r="U1756" s="3">
        <f t="shared" si="226"/>
        <v>2026.1666666665337</v>
      </c>
      <c r="V1756" s="3">
        <f t="shared" si="227"/>
        <v>0.157474</v>
      </c>
      <c r="AE1756">
        <v>2026.1666666665337</v>
      </c>
      <c r="AF1756">
        <v>0.4214022373737531</v>
      </c>
    </row>
    <row r="1757" spans="13:32" x14ac:dyDescent="0.35">
      <c r="M1757">
        <f t="shared" si="222"/>
        <v>1756</v>
      </c>
      <c r="N1757">
        <f t="shared" si="223"/>
        <v>2026.249999999867</v>
      </c>
      <c r="O1757">
        <f t="shared" si="218"/>
        <v>0</v>
      </c>
      <c r="P1757">
        <f t="array" ref="P1757">+SUM($G$2:$G$18*SIN(2*PI()*(N1757)*$B$1/$F$2:$F$18+$H$2:$H$18))</f>
        <v>0.52047874123844418</v>
      </c>
      <c r="Q1757">
        <f t="shared" si="219"/>
        <v>0</v>
      </c>
      <c r="R1757">
        <f t="shared" si="220"/>
        <v>-1.002961859504465E-2</v>
      </c>
      <c r="S1757">
        <f t="array" ref="S1757">+$B$2*SIN(R1757*$B$3+$B$4)+0*R1757+ SUM($J$2:$J$20*SIN(2*PI()*N1757*$I$2:$I$20+$K$2:$K$20))</f>
        <v>0.41958667430523156</v>
      </c>
      <c r="U1757" s="3">
        <f t="shared" si="226"/>
        <v>2026.249999999867</v>
      </c>
      <c r="V1757" s="3">
        <f t="shared" si="227"/>
        <v>0.103412</v>
      </c>
      <c r="AE1757">
        <v>2026.249999999867</v>
      </c>
      <c r="AF1757">
        <v>0.41958667430523156</v>
      </c>
    </row>
    <row r="1758" spans="13:32" x14ac:dyDescent="0.35">
      <c r="M1758">
        <f t="shared" si="222"/>
        <v>1757</v>
      </c>
      <c r="N1758">
        <f t="shared" si="223"/>
        <v>2026.3333333332002</v>
      </c>
      <c r="O1758">
        <f t="shared" si="218"/>
        <v>0</v>
      </c>
      <c r="P1758">
        <f t="array" ref="P1758">+SUM($G$2:$G$18*SIN(2*PI()*(N1758)*$B$1/$F$2:$F$18+$H$2:$H$18))</f>
        <v>0.6758277711089663</v>
      </c>
      <c r="Q1758">
        <f t="shared" si="219"/>
        <v>0</v>
      </c>
      <c r="R1758">
        <f t="shared" si="220"/>
        <v>-1.0014191628168845E-2</v>
      </c>
      <c r="S1758">
        <f t="array" ref="S1758">+$B$2*SIN(R1758*$B$3+$B$4)+0*R1758+ SUM($J$2:$J$20*SIN(2*PI()*N1758*$I$2:$I$20+$K$2:$K$20))</f>
        <v>0.41777036375402055</v>
      </c>
      <c r="U1758" s="3">
        <f t="shared" si="226"/>
        <v>2026.3333333332002</v>
      </c>
      <c r="V1758" s="3">
        <f t="shared" si="227"/>
        <v>-7.8343999999999997E-2</v>
      </c>
      <c r="AE1758">
        <v>2026.3333333332002</v>
      </c>
      <c r="AF1758">
        <v>0.41777036375402055</v>
      </c>
    </row>
    <row r="1759" spans="13:32" x14ac:dyDescent="0.35">
      <c r="M1759">
        <f t="shared" si="222"/>
        <v>1758</v>
      </c>
      <c r="N1759">
        <f t="shared" si="223"/>
        <v>2026.4166666665335</v>
      </c>
      <c r="O1759">
        <f t="shared" si="218"/>
        <v>0</v>
      </c>
      <c r="P1759">
        <f t="array" ref="P1759">+SUM($G$2:$G$18*SIN(2*PI()*(N1759)*$B$1/$F$2:$F$18+$H$2:$H$18))</f>
        <v>0.35537933362505231</v>
      </c>
      <c r="Q1759">
        <f t="shared" si="219"/>
        <v>0</v>
      </c>
      <c r="R1759">
        <f t="shared" si="220"/>
        <v>-9.9987883901422221E-3</v>
      </c>
      <c r="S1759">
        <f t="array" ref="S1759">+$B$2*SIN(R1759*$B$3+$B$4)+0*R1759+ SUM($J$2:$J$20*SIN(2*PI()*N1759*$I$2:$I$20+$K$2:$K$20))</f>
        <v>0.41595333302890142</v>
      </c>
      <c r="U1759" s="3">
        <f t="shared" si="226"/>
        <v>2026.4166666665335</v>
      </c>
      <c r="V1759" s="3">
        <f t="shared" si="227"/>
        <v>-7.2413999999999992E-2</v>
      </c>
      <c r="AE1759">
        <v>2026.4166666665335</v>
      </c>
      <c r="AF1759">
        <v>0.41595333302890142</v>
      </c>
    </row>
    <row r="1760" spans="13:32" x14ac:dyDescent="0.35">
      <c r="M1760">
        <f t="shared" si="222"/>
        <v>1759</v>
      </c>
      <c r="N1760">
        <f t="shared" si="223"/>
        <v>2026.4999999998668</v>
      </c>
      <c r="O1760">
        <f t="shared" si="218"/>
        <v>0</v>
      </c>
      <c r="P1760">
        <f t="array" ref="P1760">+SUM($G$2:$G$18*SIN(2*PI()*(N1760)*$B$1/$F$2:$F$18+$H$2:$H$18))</f>
        <v>-0.13997103124629617</v>
      </c>
      <c r="Q1760">
        <f t="shared" si="219"/>
        <v>0</v>
      </c>
      <c r="R1760">
        <f t="shared" si="220"/>
        <v>-9.9834088444664664E-3</v>
      </c>
      <c r="S1760">
        <f t="array" ref="S1760">+$B$2*SIN(R1760*$B$3+$B$4)+0*R1760+ SUM($J$2:$J$20*SIN(2*PI()*N1760*$I$2:$I$20+$K$2:$K$20))</f>
        <v>0.41413560927531856</v>
      </c>
      <c r="U1760" s="3">
        <f t="shared" si="226"/>
        <v>2026.4999999998668</v>
      </c>
      <c r="V1760" s="3">
        <f t="shared" si="227"/>
        <v>-9.2634000000000008E-2</v>
      </c>
      <c r="AE1760">
        <v>2026.4999999998668</v>
      </c>
      <c r="AF1760">
        <v>0.41413560927531856</v>
      </c>
    </row>
    <row r="1761" spans="13:32" x14ac:dyDescent="0.35">
      <c r="M1761">
        <f t="shared" si="222"/>
        <v>1760</v>
      </c>
      <c r="N1761">
        <f t="shared" si="223"/>
        <v>2026.5833333332</v>
      </c>
      <c r="O1761">
        <f t="shared" si="218"/>
        <v>0</v>
      </c>
      <c r="P1761">
        <f t="array" ref="P1761">+SUM($G$2:$G$18*SIN(2*PI()*(N1761)*$B$1/$F$2:$F$18+$H$2:$H$18))</f>
        <v>-0.11482074000902337</v>
      </c>
      <c r="Q1761">
        <f t="shared" si="219"/>
        <v>0</v>
      </c>
      <c r="R1761">
        <f t="shared" si="220"/>
        <v>-9.9680529546994027E-3</v>
      </c>
      <c r="S1761">
        <f t="array" ref="S1761">+$B$2*SIN(R1761*$B$3+$B$4)+0*R1761+ SUM($J$2:$J$20*SIN(2*PI()*N1761*$I$2:$I$20+$K$2:$K$20))</f>
        <v>0.41231721947588407</v>
      </c>
      <c r="U1761" s="3">
        <f t="shared" si="226"/>
        <v>2026.5833333332</v>
      </c>
      <c r="V1761" s="3">
        <f t="shared" si="227"/>
        <v>-4.3624000000000003E-2</v>
      </c>
      <c r="AE1761">
        <v>2026.5833333332</v>
      </c>
      <c r="AF1761">
        <v>0.41231721947588407</v>
      </c>
    </row>
    <row r="1762" spans="13:32" x14ac:dyDescent="0.35">
      <c r="M1762">
        <f t="shared" si="222"/>
        <v>1761</v>
      </c>
      <c r="N1762">
        <f t="shared" si="223"/>
        <v>2026.6666666665333</v>
      </c>
      <c r="O1762">
        <f t="shared" si="218"/>
        <v>0</v>
      </c>
      <c r="P1762">
        <f t="array" ref="P1762">+SUM($G$2:$G$18*SIN(2*PI()*(N1762)*$B$1/$F$2:$F$18+$H$2:$H$18))</f>
        <v>0.19441125067228823</v>
      </c>
      <c r="Q1762">
        <f t="shared" si="219"/>
        <v>0</v>
      </c>
      <c r="R1762">
        <f t="shared" si="220"/>
        <v>-9.9527206844549111E-3</v>
      </c>
      <c r="S1762">
        <f t="array" ref="S1762">+$B$2*SIN(R1762*$B$3+$B$4)+0*R1762+ SUM($J$2:$J$20*SIN(2*PI()*N1762*$I$2:$I$20+$K$2:$K$20))</f>
        <v>0.41049819045088293</v>
      </c>
      <c r="U1762" s="3">
        <f t="shared" si="226"/>
        <v>2026.6666666665333</v>
      </c>
      <c r="V1762" s="3">
        <f t="shared" si="227"/>
        <v>-0.114618</v>
      </c>
      <c r="AE1762">
        <v>2026.6666666665333</v>
      </c>
      <c r="AF1762">
        <v>0.41049819045088293</v>
      </c>
    </row>
    <row r="1763" spans="13:32" x14ac:dyDescent="0.35">
      <c r="M1763">
        <f t="shared" si="222"/>
        <v>1762</v>
      </c>
      <c r="N1763">
        <f t="shared" si="223"/>
        <v>2026.7499999998665</v>
      </c>
      <c r="O1763">
        <f t="shared" si="218"/>
        <v>0</v>
      </c>
      <c r="P1763">
        <f t="array" ref="P1763">+SUM($G$2:$G$18*SIN(2*PI()*(N1763)*$B$1/$F$2:$F$18+$H$2:$H$18))</f>
        <v>0.16138975434141245</v>
      </c>
      <c r="Q1763">
        <f t="shared" si="219"/>
        <v>0</v>
      </c>
      <c r="R1763">
        <f t="shared" si="220"/>
        <v>-9.9374119974028358E-3</v>
      </c>
      <c r="S1763">
        <f t="array" ref="S1763">+$B$2*SIN(R1763*$B$3+$B$4)+0*R1763+ SUM($J$2:$J$20*SIN(2*PI()*N1763*$I$2:$I$20+$K$2:$K$20))</f>
        <v>0.40867854885878235</v>
      </c>
      <c r="U1763" s="3">
        <f t="shared" si="226"/>
        <v>2026.7499999998665</v>
      </c>
      <c r="V1763" s="3">
        <f t="shared" si="227"/>
        <v>-6.8687999999999999E-2</v>
      </c>
      <c r="AE1763">
        <v>2026.7499999998665</v>
      </c>
      <c r="AF1763">
        <v>0.40867854885878235</v>
      </c>
    </row>
    <row r="1764" spans="13:32" x14ac:dyDescent="0.35">
      <c r="M1764">
        <f t="shared" si="222"/>
        <v>1763</v>
      </c>
      <c r="N1764">
        <f t="shared" si="223"/>
        <v>2026.8333333331998</v>
      </c>
      <c r="O1764">
        <f t="shared" si="218"/>
        <v>0</v>
      </c>
      <c r="P1764">
        <f t="array" ref="P1764">+SUM($G$2:$G$18*SIN(2*PI()*(N1764)*$B$1/$F$2:$F$18+$H$2:$H$18))</f>
        <v>0.11463607612544408</v>
      </c>
      <c r="Q1764">
        <f t="shared" si="219"/>
        <v>0</v>
      </c>
      <c r="R1764">
        <f t="shared" si="220"/>
        <v>-9.9221268572689033E-3</v>
      </c>
      <c r="S1764">
        <f t="array" ref="S1764">+$B$2*SIN(R1764*$B$3+$B$4)+0*R1764+ SUM($J$2:$J$20*SIN(2*PI()*N1764*$I$2:$I$20+$K$2:$K$20))</f>
        <v>0.40685832119673843</v>
      </c>
      <c r="U1764" s="3">
        <f t="shared" si="226"/>
        <v>2026.8333333331998</v>
      </c>
      <c r="V1764" s="3">
        <f t="shared" si="227"/>
        <v>-0.119682</v>
      </c>
      <c r="AE1764">
        <v>2026.8333333331998</v>
      </c>
      <c r="AF1764">
        <v>0.40685832119673843</v>
      </c>
    </row>
    <row r="1765" spans="13:32" x14ac:dyDescent="0.35">
      <c r="M1765">
        <f t="shared" si="222"/>
        <v>1764</v>
      </c>
      <c r="N1765">
        <f t="shared" si="223"/>
        <v>2026.916666666533</v>
      </c>
      <c r="O1765">
        <f t="shared" si="218"/>
        <v>0</v>
      </c>
      <c r="P1765">
        <f t="array" ref="P1765">+SUM($G$2:$G$18*SIN(2*PI()*(N1765)*$B$1/$F$2:$F$18+$H$2:$H$18))</f>
        <v>0.34810360229405146</v>
      </c>
      <c r="Q1765">
        <f t="shared" si="219"/>
        <v>0</v>
      </c>
      <c r="R1765">
        <f t="shared" si="220"/>
        <v>-9.9068652278346356E-3</v>
      </c>
      <c r="S1765">
        <f t="array" ref="S1765">+$B$2*SIN(R1765*$B$3+$B$4)+0*R1765+ SUM($J$2:$J$20*SIN(2*PI()*N1765*$I$2:$I$20+$K$2:$K$20))</f>
        <v>0.40503753380111013</v>
      </c>
      <c r="U1765" s="3">
        <f t="shared" si="226"/>
        <v>2026.916666666533</v>
      </c>
      <c r="V1765" s="3">
        <f t="shared" si="227"/>
        <v>0.24162600000000001</v>
      </c>
      <c r="AE1765">
        <v>2026.916666666533</v>
      </c>
      <c r="AF1765">
        <v>0.40503753380111013</v>
      </c>
    </row>
    <row r="1766" spans="13:32" x14ac:dyDescent="0.35">
      <c r="M1766">
        <f t="shared" si="222"/>
        <v>1765</v>
      </c>
      <c r="N1766">
        <f t="shared" si="223"/>
        <v>2026.9999999998663</v>
      </c>
      <c r="O1766">
        <f t="shared" si="218"/>
        <v>36.637715116165623</v>
      </c>
      <c r="P1766">
        <f t="array" ref="P1766">+SUM($G$2:$G$18*SIN(2*PI()*(N1766)*$B$1/$F$2:$F$18+$H$2:$H$18))</f>
        <v>0.65526672468389846</v>
      </c>
      <c r="Q1766">
        <f t="shared" si="219"/>
        <v>24.007475584071603</v>
      </c>
      <c r="R1766">
        <f t="shared" si="220"/>
        <v>2.7035253754828438E-2</v>
      </c>
      <c r="S1766">
        <f t="array" ref="S1766">+$B$2*SIN(R1766*$B$3+$B$4)+0*R1766+ SUM($J$2:$J$20*SIN(2*PI()*N1766*$I$2:$I$20+$K$2:$K$20))</f>
        <v>-7.6342434720507016E-2</v>
      </c>
      <c r="U1766" s="3">
        <f t="shared" si="226"/>
        <v>2026.9999999998663</v>
      </c>
      <c r="V1766" s="3">
        <f t="shared" si="227"/>
        <v>0.40755400000000003</v>
      </c>
      <c r="AE1766">
        <v>2026.9999999998663</v>
      </c>
      <c r="AF1766">
        <v>-7.6342434720507016E-2</v>
      </c>
    </row>
    <row r="1767" spans="13:32" x14ac:dyDescent="0.35">
      <c r="M1767">
        <f t="shared" si="222"/>
        <v>1766</v>
      </c>
      <c r="N1767">
        <f t="shared" si="223"/>
        <v>2027.0833333331996</v>
      </c>
      <c r="O1767">
        <f t="shared" si="218"/>
        <v>0</v>
      </c>
      <c r="P1767">
        <f t="array" ref="P1767">+SUM($G$2:$G$18*SIN(2*PI()*(N1767)*$B$1/$F$2:$F$18+$H$2:$H$18))</f>
        <v>0.82885598252309689</v>
      </c>
      <c r="Q1767">
        <f t="shared" si="219"/>
        <v>0</v>
      </c>
      <c r="R1767">
        <f t="shared" si="220"/>
        <v>2.6993669724468525E-2</v>
      </c>
      <c r="S1767">
        <f t="array" ref="S1767">+$B$2*SIN(R1767*$B$3+$B$4)+0*R1767+ SUM($J$2:$J$20*SIN(2*PI()*N1767*$I$2:$I$20+$K$2:$K$20))</f>
        <v>-7.0479191377652961E-2</v>
      </c>
      <c r="U1767" s="3">
        <f t="shared" si="226"/>
        <v>2027.0833333331996</v>
      </c>
      <c r="V1767" s="3">
        <f t="shared" si="227"/>
        <v>0.436556</v>
      </c>
      <c r="AE1767">
        <v>2027.0833333331996</v>
      </c>
      <c r="AF1767">
        <v>-7.0479191377652961E-2</v>
      </c>
    </row>
    <row r="1768" spans="13:32" x14ac:dyDescent="0.35">
      <c r="M1768">
        <f t="shared" si="222"/>
        <v>1767</v>
      </c>
      <c r="N1768">
        <f t="shared" si="223"/>
        <v>2027.1666666665328</v>
      </c>
      <c r="O1768">
        <f t="shared" si="218"/>
        <v>0</v>
      </c>
      <c r="P1768">
        <f t="array" ref="P1768">+SUM($G$2:$G$18*SIN(2*PI()*(N1768)*$B$1/$F$2:$F$18+$H$2:$H$18))</f>
        <v>0.49531834685640075</v>
      </c>
      <c r="Q1768">
        <f t="shared" si="219"/>
        <v>0</v>
      </c>
      <c r="R1768">
        <f t="shared" si="220"/>
        <v>2.6952149656207753E-2</v>
      </c>
      <c r="S1768">
        <f t="array" ref="S1768">+$B$2*SIN(R1768*$B$3+$B$4)+0*R1768+ SUM($J$2:$J$20*SIN(2*PI()*N1768*$I$2:$I$20+$K$2:$K$20))</f>
        <v>-6.462065905882397E-2</v>
      </c>
      <c r="U1768" s="3">
        <f t="shared" si="226"/>
        <v>2027.1666666665328</v>
      </c>
      <c r="V1768" s="3">
        <f t="shared" si="227"/>
        <v>0.78401600000000005</v>
      </c>
      <c r="AE1768">
        <v>2027.1666666665328</v>
      </c>
      <c r="AF1768">
        <v>-6.462065905882397E-2</v>
      </c>
    </row>
    <row r="1769" spans="13:32" x14ac:dyDescent="0.35">
      <c r="M1769">
        <f t="shared" si="222"/>
        <v>1768</v>
      </c>
      <c r="N1769">
        <f t="shared" si="223"/>
        <v>2027.2499999998661</v>
      </c>
      <c r="O1769">
        <f t="shared" si="218"/>
        <v>0</v>
      </c>
      <c r="P1769">
        <f t="array" ref="P1769">+SUM($G$2:$G$18*SIN(2*PI()*(N1769)*$B$1/$F$2:$F$18+$H$2:$H$18))</f>
        <v>-0.10392779852017536</v>
      </c>
      <c r="Q1769">
        <f t="shared" si="219"/>
        <v>0</v>
      </c>
      <c r="R1769">
        <f t="shared" si="220"/>
        <v>2.6910693451663397E-2</v>
      </c>
      <c r="S1769">
        <f t="array" ref="S1769">+$B$2*SIN(R1769*$B$3+$B$4)+0*R1769+ SUM($J$2:$J$20*SIN(2*PI()*N1769*$I$2:$I$20+$K$2:$K$20))</f>
        <v>-5.8767200698236946E-2</v>
      </c>
      <c r="U1769" s="3">
        <f t="shared" si="226"/>
        <v>2027.2499999998661</v>
      </c>
      <c r="V1769" s="3">
        <f t="shared" si="227"/>
        <v>1.1222479999999999</v>
      </c>
      <c r="AE1769">
        <v>2027.2499999998661</v>
      </c>
      <c r="AF1769">
        <v>-5.8767200698236946E-2</v>
      </c>
    </row>
    <row r="1770" spans="13:32" x14ac:dyDescent="0.35">
      <c r="M1770">
        <f t="shared" si="222"/>
        <v>1769</v>
      </c>
      <c r="N1770">
        <f t="shared" si="223"/>
        <v>2027.3333333331993</v>
      </c>
      <c r="O1770">
        <f t="shared" si="218"/>
        <v>0</v>
      </c>
      <c r="P1770">
        <f t="array" ref="P1770">+SUM($G$2:$G$18*SIN(2*PI()*(N1770)*$B$1/$F$2:$F$18+$H$2:$H$18))</f>
        <v>-0.15224289400835511</v>
      </c>
      <c r="Q1770">
        <f t="shared" si="219"/>
        <v>0</v>
      </c>
      <c r="R1770">
        <f t="shared" si="220"/>
        <v>2.6869301012604065E-2</v>
      </c>
      <c r="S1770">
        <f t="array" ref="S1770">+$B$2*SIN(R1770*$B$3+$B$4)+0*R1770+ SUM($J$2:$J$20*SIN(2*PI()*N1770*$I$2:$I$20+$K$2:$K$20))</f>
        <v>-5.2919176128593252E-2</v>
      </c>
      <c r="U1770" s="3">
        <f t="shared" si="226"/>
        <v>2027.3333333331993</v>
      </c>
      <c r="V1770" s="3">
        <f t="shared" si="227"/>
        <v>1.02817</v>
      </c>
      <c r="AE1770">
        <v>2027.3333333331993</v>
      </c>
      <c r="AF1770">
        <v>-5.2919176128593252E-2</v>
      </c>
    </row>
    <row r="1771" spans="13:32" x14ac:dyDescent="0.35">
      <c r="M1771">
        <f t="shared" si="222"/>
        <v>1770</v>
      </c>
      <c r="N1771">
        <f t="shared" si="223"/>
        <v>2027.4166666665326</v>
      </c>
      <c r="O1771">
        <f t="shared" si="218"/>
        <v>0</v>
      </c>
      <c r="P1771">
        <f t="array" ref="P1771">+SUM($G$2:$G$18*SIN(2*PI()*(N1771)*$B$1/$F$2:$F$18+$H$2:$H$18))</f>
        <v>0.15589072431361761</v>
      </c>
      <c r="Q1771">
        <f t="shared" si="219"/>
        <v>0</v>
      </c>
      <c r="R1771">
        <f t="shared" si="220"/>
        <v>2.6827972240949453E-2</v>
      </c>
      <c r="S1771">
        <f t="array" ref="S1771">+$B$2*SIN(R1771*$B$3+$B$4)+0*R1771+ SUM($J$2:$J$20*SIN(2*PI()*N1771*$I$2:$I$20+$K$2:$K$20))</f>
        <v>-4.7076942077146265E-2</v>
      </c>
      <c r="U1771" s="3">
        <f t="shared" si="226"/>
        <v>2027.4166666665326</v>
      </c>
      <c r="V1771" s="3">
        <f t="shared" si="227"/>
        <v>1.0524200000000001</v>
      </c>
      <c r="AE1771">
        <v>2027.4166666665326</v>
      </c>
      <c r="AF1771">
        <v>-4.7076942077146265E-2</v>
      </c>
    </row>
    <row r="1772" spans="13:32" x14ac:dyDescent="0.35">
      <c r="M1772">
        <f t="shared" si="222"/>
        <v>1771</v>
      </c>
      <c r="N1772">
        <f t="shared" si="223"/>
        <v>2027.4999999998658</v>
      </c>
      <c r="O1772">
        <f t="shared" si="218"/>
        <v>0</v>
      </c>
      <c r="P1772">
        <f t="array" ref="P1772">+SUM($G$2:$G$18*SIN(2*PI()*(N1772)*$B$1/$F$2:$F$18+$H$2:$H$18))</f>
        <v>0.26403730900859534</v>
      </c>
      <c r="Q1772">
        <f t="shared" si="219"/>
        <v>0</v>
      </c>
      <c r="R1772">
        <f t="shared" si="220"/>
        <v>2.6786707038770119E-2</v>
      </c>
      <c r="S1772">
        <f t="array" ref="S1772">+$B$2*SIN(R1772*$B$3+$B$4)+0*R1772+ SUM($J$2:$J$20*SIN(2*PI()*N1772*$I$2:$I$20+$K$2:$K$20))</f>
        <v>-4.124085216216971E-2</v>
      </c>
      <c r="U1772" s="3">
        <f t="shared" si="226"/>
        <v>2027.4999999998658</v>
      </c>
      <c r="V1772" s="3">
        <f t="shared" si="227"/>
        <v>1.2580500000000001</v>
      </c>
      <c r="AE1772">
        <v>2027.4999999998658</v>
      </c>
      <c r="AF1772">
        <v>-4.124085216216971E-2</v>
      </c>
    </row>
    <row r="1773" spans="13:32" x14ac:dyDescent="0.35">
      <c r="M1773">
        <f t="shared" si="222"/>
        <v>1772</v>
      </c>
      <c r="N1773">
        <f t="shared" si="223"/>
        <v>2027.5833333331991</v>
      </c>
      <c r="O1773">
        <f t="shared" si="218"/>
        <v>0</v>
      </c>
      <c r="P1773">
        <f t="array" ref="P1773">+SUM($G$2:$G$18*SIN(2*PI()*(N1773)*$B$1/$F$2:$F$18+$H$2:$H$18))</f>
        <v>0.33804869974707347</v>
      </c>
      <c r="Q1773">
        <f t="shared" si="219"/>
        <v>0</v>
      </c>
      <c r="R1773">
        <f t="shared" si="220"/>
        <v>2.6745505308287253E-2</v>
      </c>
      <c r="S1773">
        <f t="array" ref="S1773">+$B$2*SIN(R1773*$B$3+$B$4)+0*R1773+ SUM($J$2:$J$20*SIN(2*PI()*N1773*$I$2:$I$20+$K$2:$K$20))</f>
        <v>-3.5411256889822267E-2</v>
      </c>
      <c r="U1773" s="3">
        <f t="shared" si="226"/>
        <v>2027.5833333331991</v>
      </c>
      <c r="V1773" s="3">
        <f t="shared" si="227"/>
        <v>1.541466</v>
      </c>
      <c r="AE1773">
        <v>2027.5833333331991</v>
      </c>
      <c r="AF1773">
        <v>-3.5411256889822267E-2</v>
      </c>
    </row>
    <row r="1774" spans="13:32" x14ac:dyDescent="0.35">
      <c r="M1774">
        <f t="shared" si="222"/>
        <v>1773</v>
      </c>
      <c r="N1774">
        <f t="shared" si="223"/>
        <v>2027.6666666665324</v>
      </c>
      <c r="O1774">
        <f t="shared" si="218"/>
        <v>0</v>
      </c>
      <c r="P1774">
        <f t="array" ref="P1774">+SUM($G$2:$G$18*SIN(2*PI()*(N1774)*$B$1/$F$2:$F$18+$H$2:$H$18))</f>
        <v>0.45649954424453526</v>
      </c>
      <c r="Q1774">
        <f t="shared" si="219"/>
        <v>0</v>
      </c>
      <c r="R1774">
        <f t="shared" si="220"/>
        <v>2.6704366951872439E-2</v>
      </c>
      <c r="S1774">
        <f t="array" ref="S1774">+$B$2*SIN(R1774*$B$3+$B$4)+0*R1774+ SUM($J$2:$J$20*SIN(2*PI()*N1774*$I$2:$I$20+$K$2:$K$20))</f>
        <v>-2.958850365140734E-2</v>
      </c>
      <c r="U1774" s="3">
        <f t="shared" si="226"/>
        <v>2027.6666666665324</v>
      </c>
      <c r="V1774" s="3">
        <f t="shared" si="227"/>
        <v>1.75526</v>
      </c>
      <c r="AE1774">
        <v>2027.6666666665324</v>
      </c>
      <c r="AF1774">
        <v>-2.958850365140734E-2</v>
      </c>
    </row>
    <row r="1775" spans="13:32" x14ac:dyDescent="0.35">
      <c r="M1775">
        <f t="shared" si="222"/>
        <v>1774</v>
      </c>
      <c r="N1775">
        <f t="shared" si="223"/>
        <v>2027.7499999998656</v>
      </c>
      <c r="O1775">
        <f t="shared" si="218"/>
        <v>0</v>
      </c>
      <c r="P1775">
        <f t="array" ref="P1775">+SUM($G$2:$G$18*SIN(2*PI()*(N1775)*$B$1/$F$2:$F$18+$H$2:$H$18))</f>
        <v>0.5810257849984477</v>
      </c>
      <c r="Q1775">
        <f t="shared" si="219"/>
        <v>0</v>
      </c>
      <c r="R1775">
        <f t="shared" si="220"/>
        <v>2.6663291872047429E-2</v>
      </c>
      <c r="S1775">
        <f t="array" ref="S1775">+$B$2*SIN(R1775*$B$3+$B$4)+0*R1775+ SUM($J$2:$J$20*SIN(2*PI()*N1775*$I$2:$I$20+$K$2:$K$20))</f>
        <v>-2.3772936721015676E-2</v>
      </c>
      <c r="U1775" s="3">
        <f t="shared" si="226"/>
        <v>2027.7499999998656</v>
      </c>
      <c r="V1775" s="3">
        <f t="shared" si="227"/>
        <v>1.9008340000000001</v>
      </c>
      <c r="AE1775">
        <v>2027.7499999998656</v>
      </c>
      <c r="AF1775">
        <v>-2.3772936721015676E-2</v>
      </c>
    </row>
    <row r="1776" spans="13:32" x14ac:dyDescent="0.35">
      <c r="M1776">
        <f t="shared" si="222"/>
        <v>1775</v>
      </c>
      <c r="N1776">
        <f t="shared" si="223"/>
        <v>2027.8333333331989</v>
      </c>
      <c r="O1776">
        <f t="shared" si="218"/>
        <v>0</v>
      </c>
      <c r="P1776">
        <f t="array" ref="P1776">+SUM($G$2:$G$18*SIN(2*PI()*(N1776)*$B$1/$F$2:$F$18+$H$2:$H$18))</f>
        <v>0.62815183941894626</v>
      </c>
      <c r="Q1776">
        <f t="shared" si="219"/>
        <v>0</v>
      </c>
      <c r="R1776">
        <f t="shared" si="220"/>
        <v>2.6622279971483913E-2</v>
      </c>
      <c r="S1776">
        <f t="array" ref="S1776">+$B$2*SIN(R1776*$B$3+$B$4)+0*R1776+ SUM($J$2:$J$20*SIN(2*PI()*N1776*$I$2:$I$20+$K$2:$K$20))</f>
        <v>-1.7964897253553765E-2</v>
      </c>
      <c r="AE1776">
        <v>2027.8333333331989</v>
      </c>
      <c r="AF1776">
        <v>-1.7964897253553765E-2</v>
      </c>
    </row>
    <row r="1777" spans="13:32" x14ac:dyDescent="0.35">
      <c r="M1777">
        <f t="shared" si="222"/>
        <v>1776</v>
      </c>
      <c r="N1777">
        <f t="shared" si="223"/>
        <v>2027.9166666665321</v>
      </c>
      <c r="O1777">
        <f t="shared" si="218"/>
        <v>0</v>
      </c>
      <c r="P1777">
        <f t="array" ref="P1777">+SUM($G$2:$G$18*SIN(2*PI()*(N1777)*$B$1/$F$2:$F$18+$H$2:$H$18))</f>
        <v>0.20287121294660065</v>
      </c>
      <c r="Q1777">
        <f t="shared" si="219"/>
        <v>0</v>
      </c>
      <c r="R1777">
        <f t="shared" si="220"/>
        <v>2.658133115300328E-2</v>
      </c>
      <c r="S1777">
        <f t="array" ref="S1777">+$B$2*SIN(R1777*$B$3+$B$4)+0*R1777+ SUM($J$2:$J$20*SIN(2*PI()*N1777*$I$2:$I$20+$K$2:$K$20))</f>
        <v>-1.2164723283144959E-2</v>
      </c>
      <c r="AE1777">
        <v>2027.9166666665321</v>
      </c>
      <c r="AF1777">
        <v>-1.2164723283144959E-2</v>
      </c>
    </row>
    <row r="1778" spans="13:32" x14ac:dyDescent="0.35">
      <c r="M1778">
        <f t="shared" si="222"/>
        <v>1777</v>
      </c>
      <c r="N1778">
        <f t="shared" si="223"/>
        <v>2027.9999999998654</v>
      </c>
      <c r="O1778">
        <f t="shared" si="218"/>
        <v>36.637715116165623</v>
      </c>
      <c r="P1778">
        <f t="array" ref="P1778">+SUM($G$2:$G$18*SIN(2*PI()*(N1778)*$B$1/$F$2:$F$18+$H$2:$H$18))</f>
        <v>-0.34862557985304454</v>
      </c>
      <c r="Q1778">
        <f t="shared" si="219"/>
        <v>-12.772844676863896</v>
      </c>
      <c r="R1778">
        <f t="shared" si="220"/>
        <v>6.8940101264046982E-3</v>
      </c>
      <c r="S1778">
        <f t="array" ref="S1778">+$B$2*SIN(R1778*$B$3+$B$4)+0*R1778+ SUM($J$2:$J$20*SIN(2*PI()*N1778*$I$2:$I$20+$K$2:$K$20))</f>
        <v>-0.39192517235015212</v>
      </c>
      <c r="AE1778">
        <v>2027.9999999998654</v>
      </c>
      <c r="AF1778">
        <v>-0.39192517235015212</v>
      </c>
    </row>
    <row r="1779" spans="13:32" x14ac:dyDescent="0.35">
      <c r="M1779">
        <f t="shared" si="222"/>
        <v>1778</v>
      </c>
      <c r="N1779">
        <f t="shared" si="223"/>
        <v>2028.0833333331987</v>
      </c>
      <c r="O1779">
        <f t="shared" si="218"/>
        <v>0</v>
      </c>
      <c r="P1779">
        <f t="array" ref="P1779">+SUM($G$2:$G$18*SIN(2*PI()*(N1779)*$B$1/$F$2:$F$18+$H$2:$H$18))</f>
        <v>-0.30625095167189864</v>
      </c>
      <c r="Q1779">
        <f t="shared" si="219"/>
        <v>0</v>
      </c>
      <c r="R1779">
        <f t="shared" si="220"/>
        <v>6.8834061672557378E-3</v>
      </c>
      <c r="S1779">
        <f t="array" ref="S1779">+$B$2*SIN(R1779*$B$3+$B$4)+0*R1779+ SUM($J$2:$J$20*SIN(2*PI()*N1779*$I$2:$I$20+$K$2:$K$20))</f>
        <v>-0.39320698873801851</v>
      </c>
      <c r="AE1779">
        <v>2028.0833333331987</v>
      </c>
      <c r="AF1779">
        <v>-0.39320698873801851</v>
      </c>
    </row>
    <row r="1780" spans="13:32" x14ac:dyDescent="0.35">
      <c r="M1780">
        <f t="shared" si="222"/>
        <v>1779</v>
      </c>
      <c r="N1780">
        <f t="shared" si="223"/>
        <v>2028.1666666665319</v>
      </c>
      <c r="O1780">
        <f t="shared" si="218"/>
        <v>0</v>
      </c>
      <c r="P1780">
        <f t="array" ref="P1780">+SUM($G$2:$G$18*SIN(2*PI()*(N1780)*$B$1/$F$2:$F$18+$H$2:$H$18))</f>
        <v>2.3613703937536146E-3</v>
      </c>
      <c r="Q1780">
        <f t="shared" si="219"/>
        <v>0</v>
      </c>
      <c r="R1780">
        <f t="shared" si="220"/>
        <v>6.8728185184903671E-3</v>
      </c>
      <c r="S1780">
        <f t="array" ref="S1780">+$B$2*SIN(R1780*$B$3+$B$4)+0*R1780+ SUM($J$2:$J$20*SIN(2*PI()*N1780*$I$2:$I$20+$K$2:$K$20))</f>
        <v>-0.39448527090962232</v>
      </c>
      <c r="AE1780">
        <v>2028.1666666665319</v>
      </c>
      <c r="AF1780">
        <v>-0.39448527090962232</v>
      </c>
    </row>
    <row r="1781" spans="13:32" x14ac:dyDescent="0.35">
      <c r="M1781">
        <f t="shared" si="222"/>
        <v>1780</v>
      </c>
      <c r="N1781">
        <f t="shared" si="223"/>
        <v>2028.2499999998652</v>
      </c>
      <c r="O1781">
        <f t="shared" si="218"/>
        <v>0</v>
      </c>
      <c r="P1781">
        <f t="array" ref="P1781">+SUM($G$2:$G$18*SIN(2*PI()*(N1781)*$B$1/$F$2:$F$18+$H$2:$H$18))</f>
        <v>0.17224086198764005</v>
      </c>
      <c r="Q1781">
        <f t="shared" si="219"/>
        <v>0</v>
      </c>
      <c r="R1781">
        <f t="shared" si="220"/>
        <v>6.8622471550209181E-3</v>
      </c>
      <c r="S1781">
        <f t="array" ref="S1781">+$B$2*SIN(R1781*$B$3+$B$4)+0*R1781+ SUM($J$2:$J$20*SIN(2*PI()*N1781*$I$2:$I$20+$K$2:$K$20))</f>
        <v>-0.39576002404010685</v>
      </c>
      <c r="AE1781">
        <v>2028.2499999998652</v>
      </c>
      <c r="AF1781">
        <v>-0.39576002404010685</v>
      </c>
    </row>
    <row r="1782" spans="13:32" x14ac:dyDescent="0.35">
      <c r="M1782">
        <f t="shared" si="222"/>
        <v>1781</v>
      </c>
      <c r="N1782">
        <f t="shared" si="223"/>
        <v>2028.3333333331984</v>
      </c>
      <c r="O1782">
        <f t="shared" si="218"/>
        <v>0</v>
      </c>
      <c r="P1782">
        <f t="array" ref="P1782">+SUM($G$2:$G$18*SIN(2*PI()*(N1782)*$B$1/$F$2:$F$18+$H$2:$H$18))</f>
        <v>0.33037735286219927</v>
      </c>
      <c r="Q1782">
        <f t="shared" si="219"/>
        <v>0</v>
      </c>
      <c r="R1782">
        <f t="shared" si="220"/>
        <v>6.8516920517983099E-3</v>
      </c>
      <c r="S1782">
        <f t="array" ref="S1782">+$B$2*SIN(R1782*$B$3+$B$4)+0*R1782+ SUM($J$2:$J$20*SIN(2*PI()*N1782*$I$2:$I$20+$K$2:$K$20))</f>
        <v>-0.39703125332696243</v>
      </c>
      <c r="AE1782">
        <v>2028.3333333331984</v>
      </c>
      <c r="AF1782">
        <v>-0.39703125332696243</v>
      </c>
    </row>
    <row r="1783" spans="13:32" x14ac:dyDescent="0.35">
      <c r="M1783">
        <f t="shared" si="222"/>
        <v>1782</v>
      </c>
      <c r="N1783">
        <f t="shared" si="223"/>
        <v>2028.4166666665317</v>
      </c>
      <c r="O1783">
        <f t="shared" si="218"/>
        <v>0</v>
      </c>
      <c r="P1783">
        <f t="array" ref="P1783">+SUM($G$2:$G$18*SIN(2*PI()*(N1783)*$B$1/$F$2:$F$18+$H$2:$H$18))</f>
        <v>0.37175601250672541</v>
      </c>
      <c r="Q1783">
        <f t="shared" si="219"/>
        <v>0</v>
      </c>
      <c r="R1783">
        <f t="shared" si="220"/>
        <v>6.8411531838119908E-3</v>
      </c>
      <c r="S1783">
        <f t="array" ref="S1783">+$B$2*SIN(R1783*$B$3+$B$4)+0*R1783+ SUM($J$2:$J$20*SIN(2*PI()*N1783*$I$2:$I$20+$K$2:$K$20))</f>
        <v>-0.39829896398974568</v>
      </c>
      <c r="AE1783">
        <v>2028.4166666665317</v>
      </c>
      <c r="AF1783">
        <v>-0.39829896398974568</v>
      </c>
    </row>
    <row r="1784" spans="13:32" x14ac:dyDescent="0.35">
      <c r="M1784">
        <f t="shared" si="222"/>
        <v>1783</v>
      </c>
      <c r="N1784">
        <f t="shared" si="223"/>
        <v>2028.4999999998649</v>
      </c>
      <c r="O1784">
        <f t="shared" si="218"/>
        <v>0</v>
      </c>
      <c r="P1784">
        <f t="array" ref="P1784">+SUM($G$2:$G$18*SIN(2*PI()*(N1784)*$B$1/$F$2:$F$18+$H$2:$H$18))</f>
        <v>0.30735277861408949</v>
      </c>
      <c r="Q1784">
        <f t="shared" si="219"/>
        <v>0</v>
      </c>
      <c r="R1784">
        <f t="shared" si="220"/>
        <v>6.8306305260898807E-3</v>
      </c>
      <c r="S1784">
        <f t="array" ref="S1784">+$B$2*SIN(R1784*$B$3+$B$4)+0*R1784+ SUM($J$2:$J$20*SIN(2*PI()*N1784*$I$2:$I$20+$K$2:$K$20))</f>
        <v>-0.39956316126979974</v>
      </c>
      <c r="AE1784">
        <v>2028.4999999998649</v>
      </c>
      <c r="AF1784">
        <v>-0.39956316126979974</v>
      </c>
    </row>
    <row r="1785" spans="13:32" x14ac:dyDescent="0.35">
      <c r="M1785">
        <f t="shared" si="222"/>
        <v>1784</v>
      </c>
      <c r="N1785">
        <f t="shared" si="223"/>
        <v>2028.5833333331982</v>
      </c>
      <c r="O1785">
        <f t="shared" si="218"/>
        <v>0</v>
      </c>
      <c r="P1785">
        <f t="array" ref="P1785">+SUM($G$2:$G$18*SIN(2*PI()*(N1785)*$B$1/$F$2:$F$18+$H$2:$H$18))</f>
        <v>0.14532910289239126</v>
      </c>
      <c r="Q1785">
        <f t="shared" si="219"/>
        <v>0</v>
      </c>
      <c r="R1785">
        <f t="shared" si="220"/>
        <v>6.8201240536983074E-3</v>
      </c>
      <c r="S1785">
        <f t="array" ref="S1785">+$B$2*SIN(R1785*$B$3+$B$4)+0*R1785+ SUM($J$2:$J$20*SIN(2*PI()*N1785*$I$2:$I$20+$K$2:$K$20))</f>
        <v>-0.40082385042997609</v>
      </c>
      <c r="AE1785">
        <v>2028.5833333331982</v>
      </c>
      <c r="AF1785">
        <v>-0.40082385042997609</v>
      </c>
    </row>
    <row r="1786" spans="13:32" x14ac:dyDescent="0.35">
      <c r="M1786">
        <f t="shared" si="222"/>
        <v>1785</v>
      </c>
      <c r="N1786">
        <f t="shared" si="223"/>
        <v>2028.6666666665315</v>
      </c>
      <c r="O1786">
        <f t="shared" si="218"/>
        <v>0</v>
      </c>
      <c r="P1786">
        <f t="array" ref="P1786">+SUM($G$2:$G$18*SIN(2*PI()*(N1786)*$B$1/$F$2:$F$18+$H$2:$H$18))</f>
        <v>-0.32789089616957112</v>
      </c>
      <c r="Q1786">
        <f t="shared" si="219"/>
        <v>0</v>
      </c>
      <c r="R1786">
        <f t="shared" si="220"/>
        <v>6.8096337417419524E-3</v>
      </c>
      <c r="S1786">
        <f t="array" ref="S1786">+$B$2*SIN(R1786*$B$3+$B$4)+0*R1786+ SUM($J$2:$J$20*SIN(2*PI()*N1786*$I$2:$I$20+$K$2:$K$20))</f>
        <v>-0.40208103675435869</v>
      </c>
      <c r="AE1786">
        <v>2028.6666666665315</v>
      </c>
      <c r="AF1786">
        <v>-0.40208103675435869</v>
      </c>
    </row>
    <row r="1787" spans="13:32" x14ac:dyDescent="0.35">
      <c r="M1787">
        <f t="shared" si="222"/>
        <v>1786</v>
      </c>
      <c r="N1787">
        <f t="shared" si="223"/>
        <v>2028.7499999998647</v>
      </c>
      <c r="O1787">
        <f t="shared" si="218"/>
        <v>0</v>
      </c>
      <c r="P1787">
        <f t="array" ref="P1787">+SUM($G$2:$G$18*SIN(2*PI()*(N1787)*$B$1/$F$2:$F$18+$H$2:$H$18))</f>
        <v>-0.64571387920088652</v>
      </c>
      <c r="Q1787">
        <f t="shared" si="219"/>
        <v>0</v>
      </c>
      <c r="R1787">
        <f t="shared" si="220"/>
        <v>6.7991595653637887E-3</v>
      </c>
      <c r="S1787">
        <f t="array" ref="S1787">+$B$2*SIN(R1787*$B$3+$B$4)+0*R1787+ SUM($J$2:$J$20*SIN(2*PI()*N1787*$I$2:$I$20+$K$2:$K$20))</f>
        <v>-0.40333472554798988</v>
      </c>
      <c r="AE1787">
        <v>2028.7499999998647</v>
      </c>
      <c r="AF1787">
        <v>-0.40333472554798988</v>
      </c>
    </row>
    <row r="1788" spans="13:32" x14ac:dyDescent="0.35">
      <c r="M1788">
        <f t="shared" si="222"/>
        <v>1787</v>
      </c>
      <c r="N1788">
        <f t="shared" si="223"/>
        <v>2028.833333333198</v>
      </c>
      <c r="O1788">
        <f t="shared" si="218"/>
        <v>0</v>
      </c>
      <c r="P1788">
        <f t="array" ref="P1788">+SUM($G$2:$G$18*SIN(2*PI()*(N1788)*$B$1/$F$2:$F$18+$H$2:$H$18))</f>
        <v>-0.40857808198324275</v>
      </c>
      <c r="Q1788">
        <f t="shared" si="219"/>
        <v>0</v>
      </c>
      <c r="R1788">
        <f t="shared" si="220"/>
        <v>6.7887014997450226E-3</v>
      </c>
      <c r="S1788">
        <f t="array" ref="S1788">+$B$2*SIN(R1788*$B$3+$B$4)+0*R1788+ SUM($J$2:$J$20*SIN(2*PI()*N1788*$I$2:$I$20+$K$2:$K$20))</f>
        <v>-0.40458492213659758</v>
      </c>
      <c r="AE1788">
        <v>2028.833333333198</v>
      </c>
      <c r="AF1788">
        <v>-0.40458492213659758</v>
      </c>
    </row>
    <row r="1789" spans="13:32" x14ac:dyDescent="0.35">
      <c r="M1789">
        <f t="shared" si="222"/>
        <v>1788</v>
      </c>
      <c r="N1789">
        <f t="shared" si="223"/>
        <v>2028.9166666665312</v>
      </c>
      <c r="O1789">
        <f t="shared" si="218"/>
        <v>0</v>
      </c>
      <c r="P1789">
        <f t="array" ref="P1789">+SUM($G$2:$G$18*SIN(2*PI()*(N1789)*$B$1/$F$2:$F$18+$H$2:$H$18))</f>
        <v>-0.11482813231167917</v>
      </c>
      <c r="Q1789">
        <f t="shared" si="219"/>
        <v>0</v>
      </c>
      <c r="R1789">
        <f t="shared" si="220"/>
        <v>6.7782595201050354E-3</v>
      </c>
      <c r="S1789">
        <f t="array" ref="S1789">+$B$2*SIN(R1789*$B$3+$B$4)+0*R1789+ SUM($J$2:$J$20*SIN(2*PI()*N1789*$I$2:$I$20+$K$2:$K$20))</f>
        <v>-0.40583163186632504</v>
      </c>
      <c r="AE1789">
        <v>2028.9166666665312</v>
      </c>
      <c r="AF1789">
        <v>-0.40583163186632504</v>
      </c>
    </row>
    <row r="1790" spans="13:32" x14ac:dyDescent="0.35">
      <c r="M1790">
        <f t="shared" si="222"/>
        <v>1789</v>
      </c>
      <c r="N1790">
        <f t="shared" si="223"/>
        <v>2028.9999999998645</v>
      </c>
      <c r="O1790">
        <f t="shared" si="218"/>
        <v>36.637715116165623</v>
      </c>
      <c r="P1790">
        <f t="array" ref="P1790">+SUM($G$2:$G$18*SIN(2*PI()*(N1790)*$B$1/$F$2:$F$18+$H$2:$H$18))</f>
        <v>7.3132628186200158E-2</v>
      </c>
      <c r="Q1790">
        <f t="shared" si="219"/>
        <v>2.6794123971824657</v>
      </c>
      <c r="R1790">
        <f t="shared" si="220"/>
        <v>1.0889147478818872E-2</v>
      </c>
      <c r="S1790">
        <f t="array" ref="S1790">+$B$2*SIN(R1790*$B$3+$B$4)+0*R1790+ SUM($J$2:$J$20*SIN(2*PI()*N1790*$I$2:$I$20+$K$2:$K$20))</f>
        <v>0.15271338717211033</v>
      </c>
      <c r="AE1790">
        <v>2028.9999999998645</v>
      </c>
      <c r="AF1790">
        <v>0.15271338717211033</v>
      </c>
    </row>
    <row r="1791" spans="13:32" x14ac:dyDescent="0.35">
      <c r="M1791">
        <f t="shared" si="222"/>
        <v>1790</v>
      </c>
      <c r="N1791">
        <f t="shared" si="223"/>
        <v>2029.0833333331977</v>
      </c>
      <c r="O1791">
        <f t="shared" si="218"/>
        <v>0</v>
      </c>
      <c r="P1791">
        <f t="array" ref="P1791">+SUM($G$2:$G$18*SIN(2*PI()*(N1791)*$B$1/$F$2:$F$18+$H$2:$H$18))</f>
        <v>0.27691914835903186</v>
      </c>
      <c r="Q1791">
        <f t="shared" si="219"/>
        <v>0</v>
      </c>
      <c r="R1791">
        <f t="shared" si="220"/>
        <v>1.0872398435386205E-2</v>
      </c>
      <c r="S1791">
        <f t="array" ref="S1791">+$B$2*SIN(R1791*$B$3+$B$4)+0*R1791+ SUM($J$2:$J$20*SIN(2*PI()*N1791*$I$2:$I$20+$K$2:$K$20))</f>
        <v>0.15038908856927127</v>
      </c>
      <c r="AE1791">
        <v>2029.0833333331977</v>
      </c>
      <c r="AF1791">
        <v>0.15038908856927127</v>
      </c>
    </row>
    <row r="1792" spans="13:32" x14ac:dyDescent="0.35">
      <c r="M1792">
        <f t="shared" si="222"/>
        <v>1791</v>
      </c>
      <c r="N1792">
        <f t="shared" si="223"/>
        <v>2029.166666666531</v>
      </c>
      <c r="O1792">
        <f t="shared" si="218"/>
        <v>0</v>
      </c>
      <c r="P1792">
        <f t="array" ref="P1792">+SUM($G$2:$G$18*SIN(2*PI()*(N1792)*$B$1/$F$2:$F$18+$H$2:$H$18))</f>
        <v>0.23001981701839927</v>
      </c>
      <c r="Q1792">
        <f t="shared" si="219"/>
        <v>0</v>
      </c>
      <c r="R1792">
        <f t="shared" si="220"/>
        <v>1.0855675154342784E-2</v>
      </c>
      <c r="S1792">
        <f t="array" ref="S1792">+$B$2*SIN(R1792*$B$3+$B$4)+0*R1792+ SUM($J$2:$J$20*SIN(2*PI()*N1792*$I$2:$I$20+$K$2:$K$20))</f>
        <v>0.14806687401816765</v>
      </c>
      <c r="AE1792">
        <v>2029.166666666531</v>
      </c>
      <c r="AF1792">
        <v>0.14806687401816765</v>
      </c>
    </row>
    <row r="1793" spans="13:32" x14ac:dyDescent="0.35">
      <c r="M1793">
        <f t="shared" si="222"/>
        <v>1792</v>
      </c>
      <c r="N1793">
        <f t="shared" si="223"/>
        <v>2029.2499999998643</v>
      </c>
      <c r="O1793">
        <f t="shared" si="218"/>
        <v>0</v>
      </c>
      <c r="P1793">
        <f t="array" ref="P1793">+SUM($G$2:$G$18*SIN(2*PI()*(N1793)*$B$1/$F$2:$F$18+$H$2:$H$18))</f>
        <v>-2.5401081662814629E-2</v>
      </c>
      <c r="Q1793">
        <f t="shared" si="219"/>
        <v>0</v>
      </c>
      <c r="R1793">
        <f t="shared" si="220"/>
        <v>1.0838977596062425E-2</v>
      </c>
      <c r="S1793">
        <f t="array" ref="S1793">+$B$2*SIN(R1793*$B$3+$B$4)+0*R1793+ SUM($J$2:$J$20*SIN(2*PI()*N1793*$I$2:$I$20+$K$2:$K$20))</f>
        <v>0.14574676784945992</v>
      </c>
      <c r="AE1793">
        <v>2029.2499999998643</v>
      </c>
      <c r="AF1793">
        <v>0.14574676784945992</v>
      </c>
    </row>
    <row r="1794" spans="13:32" x14ac:dyDescent="0.35">
      <c r="M1794">
        <f t="shared" si="222"/>
        <v>1793</v>
      </c>
      <c r="N1794">
        <f t="shared" si="223"/>
        <v>2029.3333333331975</v>
      </c>
      <c r="O1794">
        <f t="shared" ref="O1794:O1857" si="228">+IF(MOD(M1794,$B$5)=1, $B$6, 0)</f>
        <v>0</v>
      </c>
      <c r="P1794">
        <f t="array" ref="P1794">+SUM($G$2:$G$18*SIN(2*PI()*(N1794)*$B$1/$F$2:$F$18+$H$2:$H$18))</f>
        <v>-0.35738292827363816</v>
      </c>
      <c r="Q1794">
        <f t="shared" si="219"/>
        <v>0</v>
      </c>
      <c r="R1794">
        <f t="shared" si="220"/>
        <v>1.0822305720979891E-2</v>
      </c>
      <c r="S1794">
        <f t="array" ref="S1794">+$B$2*SIN(R1794*$B$3+$B$4)+0*R1794+ SUM($J$2:$J$20*SIN(2*PI()*N1794*$I$2:$I$20+$K$2:$K$20))</f>
        <v>0.14342879418040838</v>
      </c>
      <c r="AE1794">
        <v>2029.3333333331975</v>
      </c>
      <c r="AF1794">
        <v>0.14342879418040838</v>
      </c>
    </row>
    <row r="1795" spans="13:32" x14ac:dyDescent="0.35">
      <c r="M1795">
        <f t="shared" si="222"/>
        <v>1794</v>
      </c>
      <c r="N1795">
        <f t="shared" si="223"/>
        <v>2029.4166666665308</v>
      </c>
      <c r="O1795">
        <f t="shared" si="228"/>
        <v>0</v>
      </c>
      <c r="P1795">
        <f t="array" ref="P1795">+SUM($G$2:$G$18*SIN(2*PI()*(N1795)*$B$1/$F$2:$F$18+$H$2:$H$18))</f>
        <v>-0.73863525132953345</v>
      </c>
      <c r="Q1795">
        <f t="shared" ref="Q1795:Q1858" si="229">+O1795*P1795</f>
        <v>0</v>
      </c>
      <c r="R1795">
        <f t="shared" ref="R1795:R1858" si="230">+(1-$B$7)*R1794+($B$7)*Q1795</f>
        <v>1.0805659489590806E-2</v>
      </c>
      <c r="S1795">
        <f t="array" ref="S1795">+$B$2*SIN(R1795*$B$3+$B$4)+0*R1795+ SUM($J$2:$J$20*SIN(2*PI()*N1795*$I$2:$I$20+$K$2:$K$20))</f>
        <v>0.14111297691585295</v>
      </c>
      <c r="AE1795">
        <v>2029.4166666665308</v>
      </c>
      <c r="AF1795">
        <v>0.14111297691585295</v>
      </c>
    </row>
    <row r="1796" spans="13:32" x14ac:dyDescent="0.35">
      <c r="M1796">
        <f t="shared" ref="M1796:M1859" si="231">+M1795+1</f>
        <v>1795</v>
      </c>
      <c r="N1796">
        <f t="shared" ref="N1796:N1859" si="232">+N1795+1/12</f>
        <v>2029.499999999864</v>
      </c>
      <c r="O1796">
        <f t="shared" si="228"/>
        <v>0</v>
      </c>
      <c r="P1796">
        <f t="array" ref="P1796">+SUM($G$2:$G$18*SIN(2*PI()*(N1796)*$B$1/$F$2:$F$18+$H$2:$H$18))</f>
        <v>-0.71722920138170254</v>
      </c>
      <c r="Q1796">
        <f t="shared" si="229"/>
        <v>0</v>
      </c>
      <c r="R1796">
        <f t="shared" si="230"/>
        <v>1.0789038862451555E-2</v>
      </c>
      <c r="S1796">
        <f t="array" ref="S1796">+$B$2*SIN(R1796*$B$3+$B$4)+0*R1796+ SUM($J$2:$J$20*SIN(2*PI()*N1796*$I$2:$I$20+$K$2:$K$20))</f>
        <v>0.13879933974918829</v>
      </c>
      <c r="AE1796">
        <v>2029.499999999864</v>
      </c>
      <c r="AF1796">
        <v>0.13879933974918829</v>
      </c>
    </row>
    <row r="1797" spans="13:32" x14ac:dyDescent="0.35">
      <c r="M1797">
        <f t="shared" si="231"/>
        <v>1796</v>
      </c>
      <c r="N1797">
        <f t="shared" si="232"/>
        <v>2029.5833333331973</v>
      </c>
      <c r="O1797">
        <f t="shared" si="228"/>
        <v>0</v>
      </c>
      <c r="P1797">
        <f t="array" ref="P1797">+SUM($G$2:$G$18*SIN(2*PI()*(N1797)*$B$1/$F$2:$F$18+$H$2:$H$18))</f>
        <v>-0.30739655944631339</v>
      </c>
      <c r="Q1797">
        <f t="shared" si="229"/>
        <v>0</v>
      </c>
      <c r="R1797">
        <f t="shared" si="230"/>
        <v>1.0772443800179193E-2</v>
      </c>
      <c r="S1797">
        <f t="array" ref="S1797">+$B$2*SIN(R1797*$B$3+$B$4)+0*R1797+ SUM($J$2:$J$20*SIN(2*PI()*N1797*$I$2:$I$20+$K$2:$K$20))</f>
        <v>0.13648790616333958</v>
      </c>
      <c r="AE1797">
        <v>2029.5833333331973</v>
      </c>
      <c r="AF1797">
        <v>0.13648790616333958</v>
      </c>
    </row>
    <row r="1798" spans="13:32" x14ac:dyDescent="0.35">
      <c r="M1798">
        <f t="shared" si="231"/>
        <v>1797</v>
      </c>
      <c r="N1798">
        <f t="shared" si="232"/>
        <v>2029.6666666665305</v>
      </c>
      <c r="O1798">
        <f t="shared" si="228"/>
        <v>0</v>
      </c>
      <c r="P1798">
        <f t="array" ref="P1798">+SUM($G$2:$G$18*SIN(2*PI()*(N1798)*$B$1/$F$2:$F$18+$H$2:$H$18))</f>
        <v>-4.8343265286237086E-2</v>
      </c>
      <c r="Q1798">
        <f t="shared" si="229"/>
        <v>0</v>
      </c>
      <c r="R1798">
        <f t="shared" si="230"/>
        <v>1.0755874263451353E-2</v>
      </c>
      <c r="S1798">
        <f t="array" ref="S1798">+$B$2*SIN(R1798*$B$3+$B$4)+0*R1798+ SUM($J$2:$J$20*SIN(2*PI()*N1798*$I$2:$I$20+$K$2:$K$20))</f>
        <v>0.13417869943173841</v>
      </c>
      <c r="AE1798">
        <v>2029.6666666665305</v>
      </c>
      <c r="AF1798">
        <v>0.13417869943173841</v>
      </c>
    </row>
    <row r="1799" spans="13:32" x14ac:dyDescent="0.35">
      <c r="M1799">
        <f t="shared" si="231"/>
        <v>1798</v>
      </c>
      <c r="N1799">
        <f t="shared" si="232"/>
        <v>2029.7499999998638</v>
      </c>
      <c r="O1799">
        <f t="shared" si="228"/>
        <v>0</v>
      </c>
      <c r="P1799">
        <f t="array" ref="P1799">+SUM($G$2:$G$18*SIN(2*PI()*(N1799)*$B$1/$F$2:$F$18+$H$2:$H$18))</f>
        <v>0.15472540283328198</v>
      </c>
      <c r="Q1799">
        <f t="shared" si="229"/>
        <v>0</v>
      </c>
      <c r="R1799">
        <f t="shared" si="230"/>
        <v>1.0739330213006149E-2</v>
      </c>
      <c r="S1799">
        <f t="array" ref="S1799">+$B$2*SIN(R1799*$B$3+$B$4)+0*R1799+ SUM($J$2:$J$20*SIN(2*PI()*N1799*$I$2:$I$20+$K$2:$K$20))</f>
        <v>0.13187174261929738</v>
      </c>
      <c r="AE1799">
        <v>2029.7499999998638</v>
      </c>
      <c r="AF1799">
        <v>0.13187174261929738</v>
      </c>
    </row>
    <row r="1800" spans="13:32" x14ac:dyDescent="0.35">
      <c r="M1800">
        <f t="shared" si="231"/>
        <v>1799</v>
      </c>
      <c r="N1800">
        <f t="shared" si="232"/>
        <v>2029.8333333331971</v>
      </c>
      <c r="O1800">
        <f t="shared" si="228"/>
        <v>0</v>
      </c>
      <c r="P1800">
        <f t="array" ref="P1800">+SUM($G$2:$G$18*SIN(2*PI()*(N1800)*$B$1/$F$2:$F$18+$H$2:$H$18))</f>
        <v>0.33294993396967687</v>
      </c>
      <c r="Q1800">
        <f t="shared" si="229"/>
        <v>0</v>
      </c>
      <c r="R1800">
        <f t="shared" si="230"/>
        <v>1.0722811609642087E-2</v>
      </c>
      <c r="S1800">
        <f t="array" ref="S1800">+$B$2*SIN(R1800*$B$3+$B$4)+0*R1800+ SUM($J$2:$J$20*SIN(2*PI()*N1800*$I$2:$I$20+$K$2:$K$20))</f>
        <v>0.12956705858338291</v>
      </c>
      <c r="AE1800">
        <v>2029.8333333331971</v>
      </c>
      <c r="AF1800">
        <v>0.12956705858338291</v>
      </c>
    </row>
    <row r="1801" spans="13:32" x14ac:dyDescent="0.35">
      <c r="M1801">
        <f t="shared" si="231"/>
        <v>1800</v>
      </c>
      <c r="N1801">
        <f t="shared" si="232"/>
        <v>2029.9166666665303</v>
      </c>
      <c r="O1801">
        <f t="shared" si="228"/>
        <v>0</v>
      </c>
      <c r="P1801">
        <f t="array" ref="P1801">+SUM($G$2:$G$18*SIN(2*PI()*(N1801)*$B$1/$F$2:$F$18+$H$2:$H$18))</f>
        <v>0.12403031792644753</v>
      </c>
      <c r="Q1801">
        <f t="shared" si="229"/>
        <v>0</v>
      </c>
      <c r="R1801">
        <f t="shared" si="230"/>
        <v>1.070631841421797E-2</v>
      </c>
      <c r="S1801">
        <f t="array" ref="S1801">+$B$2*SIN(R1801*$B$3+$B$4)+0*R1801+ SUM($J$2:$J$20*SIN(2*PI()*N1801*$I$2:$I$20+$K$2:$K$20))</f>
        <v>0.12726466997479005</v>
      </c>
      <c r="AE1801">
        <v>2029.9166666665303</v>
      </c>
      <c r="AF1801">
        <v>0.12726466997479005</v>
      </c>
    </row>
    <row r="1802" spans="13:32" x14ac:dyDescent="0.35">
      <c r="M1802">
        <f t="shared" si="231"/>
        <v>1801</v>
      </c>
      <c r="N1802">
        <f t="shared" si="232"/>
        <v>2029.9999999998636</v>
      </c>
      <c r="O1802">
        <f t="shared" si="228"/>
        <v>36.637715116165623</v>
      </c>
      <c r="P1802">
        <f t="array" ref="P1802">+SUM($G$2:$G$18*SIN(2*PI()*(N1802)*$B$1/$F$2:$F$18+$H$2:$H$18))</f>
        <v>-0.29602793200651667</v>
      </c>
      <c r="Q1802">
        <f t="shared" si="229"/>
        <v>-10.845787039282405</v>
      </c>
      <c r="R1802">
        <f t="shared" si="230"/>
        <v>-5.9924983782097384E-3</v>
      </c>
      <c r="S1802">
        <f t="array" ref="S1802">+$B$2*SIN(R1802*$B$3+$B$4)+0*R1802+ SUM($J$2:$J$20*SIN(2*PI()*N1802*$I$2:$I$20+$K$2:$K$20))</f>
        <v>-0.12628161323279388</v>
      </c>
      <c r="AE1802">
        <v>2029.9999999998636</v>
      </c>
      <c r="AF1802">
        <v>-0.12628161323279388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Pukite</dc:creator>
  <cp:lastModifiedBy>Paul Pukite</cp:lastModifiedBy>
  <dcterms:created xsi:type="dcterms:W3CDTF">2025-10-19T02:33:04Z</dcterms:created>
  <dcterms:modified xsi:type="dcterms:W3CDTF">2025-10-20T23:56:01Z</dcterms:modified>
</cp:coreProperties>
</file>